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4.xml" ContentType="application/vnd.ms-excel.controlproperties+xml"/>
  <Override PartName="/xl/drawings/drawing6.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MFSD010.MFSUK-D010\Desktop\SF calc\polaristest\frontend\integration\"/>
    </mc:Choice>
  </mc:AlternateContent>
  <xr:revisionPtr revIDLastSave="0" documentId="8_{FC698CC5-680E-466B-BF85-041376C3D414}" xr6:coauthVersionLast="47" xr6:coauthVersionMax="47" xr10:uidLastSave="{00000000-0000-0000-0000-000000000000}"/>
  <bookViews>
    <workbookView xWindow="-120" yWindow="-120" windowWidth="29040" windowHeight="15720" tabRatio="703" firstSheet="1" activeTab="1" xr2:uid="{00000000-000D-0000-FFFF-FFFF00000000}"/>
  </bookViews>
  <sheets>
    <sheet name="Main Calculations" sheetId="12" state="hidden" r:id="rId1"/>
    <sheet name="Input Sheet" sheetId="14" r:id="rId2"/>
    <sheet name="DIP Premier" sheetId="32" state="hidden" r:id="rId3"/>
    <sheet name="Indicative All 3" sheetId="21" r:id="rId4"/>
    <sheet name="Indicative 2 only" sheetId="22" state="hidden" r:id="rId5"/>
    <sheet name="Single Indicative" sheetId="23" state="hidden" r:id="rId6"/>
    <sheet name="DIP" sheetId="28" r:id="rId7"/>
    <sheet name="DIP Fusion" sheetId="29" state="hidden" r:id="rId8"/>
    <sheet name="Multi Property Deal" sheetId="20" r:id="rId9"/>
    <sheet name="Properties List For Indicatives" sheetId="26" state="hidden" r:id="rId10"/>
    <sheet name="Fusion Portfolio" sheetId="31" r:id="rId11"/>
    <sheet name="Payment Schedule" sheetId="25" r:id="rId12"/>
    <sheet name="EBITDA calc_" sheetId="30" r:id="rId13"/>
    <sheet name="Rates" sheetId="16" state="hidden" r:id="rId14"/>
    <sheet name="Dropdowns" sheetId="3" state="hidden" r:id="rId15"/>
  </sheets>
  <definedNames>
    <definedName name="_xlnm._FilterDatabase" localSheetId="10" hidden="1">'Fusion Portfolio'!$B$8:$AQ$8</definedName>
    <definedName name="_ftn1" localSheetId="6">DIP!#REF!</definedName>
    <definedName name="_ftn1" localSheetId="7">'DIP Fusion'!$O$20</definedName>
    <definedName name="_ftn2" localSheetId="6">DIP!#REF!</definedName>
    <definedName name="_ftn2" localSheetId="7">'DIP Fusion'!#REF!</definedName>
    <definedName name="_ftn3" localSheetId="6">DIP!#REF!</definedName>
    <definedName name="_ftn3" localSheetId="7">'DIP Fusion'!$O$21</definedName>
    <definedName name="_Hlk83203796" localSheetId="6">DIP!$A$73</definedName>
    <definedName name="_Hlk83203796" localSheetId="7">'DIP Fusion'!$A$87</definedName>
    <definedName name="_Hlk84245425" localSheetId="6">DIP!$A$56</definedName>
    <definedName name="_Hlk84245425" localSheetId="7">'DIP Fusion'!$A$61</definedName>
    <definedName name="_Hlk98754409" localSheetId="6">DIP!$M$59</definedName>
    <definedName name="_Hlk98754409" localSheetId="7">'DIP Fusion'!$M$63</definedName>
    <definedName name="Amber_P">#REF!</definedName>
    <definedName name="Application_Type" localSheetId="2">#REF!</definedName>
    <definedName name="Application_Type" localSheetId="10">#REF!</definedName>
    <definedName name="Application_Type">'Input Sheet'!$C$12</definedName>
    <definedName name="APR" localSheetId="12">#REF!</definedName>
    <definedName name="APR">#REF!</definedName>
    <definedName name="Bank_Rate" localSheetId="12">'EBITDA calc_'!#REF!</definedName>
    <definedName name="Bank_Rate">#REF!</definedName>
    <definedName name="BankBase">#REF!</definedName>
    <definedName name="BBR" localSheetId="2">#REF!</definedName>
    <definedName name="BBR" localSheetId="12">#REF!</definedName>
    <definedName name="BBR" localSheetId="10">#REF!</definedName>
    <definedName name="BBR" localSheetId="9">#REF!</definedName>
    <definedName name="BBR">'Input Sheet'!$C$41</definedName>
    <definedName name="BBR_Override" localSheetId="12">#REF!</definedName>
    <definedName name="BBR_Override">#REF!</definedName>
    <definedName name="Core_Net_loan" localSheetId="12">#REF!</definedName>
    <definedName name="Core_Net_loan">#REF!</definedName>
    <definedName name="DD_In_Month1" localSheetId="12">#REF!</definedName>
    <definedName name="DD_In_Month1">#REF!</definedName>
    <definedName name="Defer_Term_Override" localSheetId="12">#REF!</definedName>
    <definedName name="Defer_Term_Override">#REF!</definedName>
    <definedName name="Defer2" localSheetId="12">#REF!</definedName>
    <definedName name="Defer2">#REF!</definedName>
    <definedName name="Defer4" localSheetId="12">#REF!</definedName>
    <definedName name="Defer4">#REF!</definedName>
    <definedName name="Defer6" localSheetId="12">#REF!</definedName>
    <definedName name="Defer6">#REF!</definedName>
    <definedName name="DeferedIntPercent" localSheetId="12">#REF!</definedName>
    <definedName name="DeferedIntPercent">#REF!</definedName>
    <definedName name="Deferred_Int_Owed" localSheetId="12">#REF!</definedName>
    <definedName name="Deferred_Int_Owed">#REF!</definedName>
    <definedName name="Deferred_Owed" localSheetId="12">#REF!</definedName>
    <definedName name="Deferred_Owed">#REF!</definedName>
    <definedName name="DIP_Selection" localSheetId="2">#REF!</definedName>
    <definedName name="DIP_Selection" localSheetId="10">#REF!</definedName>
    <definedName name="DIP_Selection">'Input Sheet'!$P$2</definedName>
    <definedName name="EarthAve_P">#REF!</definedName>
    <definedName name="End_Date">#REF!</definedName>
    <definedName name="ERC_Rate">#REF!</definedName>
    <definedName name="Existing_Customer" localSheetId="12">#REF!</definedName>
    <definedName name="Existing_Customer">#REF!</definedName>
    <definedName name="Final_Month_DD_Req" localSheetId="12">#REF!</definedName>
    <definedName name="Final_Month_DD_Req">#REF!</definedName>
    <definedName name="Funder_Pic">INDIRECT(#REF!)</definedName>
    <definedName name="Funding_Line">#REF!</definedName>
    <definedName name="FusionP">'Input Sheet'!$C$15</definedName>
    <definedName name="Future_Rent_TBL" localSheetId="7">#REF!</definedName>
    <definedName name="Future_Rent_TBL" localSheetId="12">#REF!</definedName>
    <definedName name="Future_Rent_TBL">#REF!</definedName>
    <definedName name="Gross_Loan" localSheetId="12">#REF!</definedName>
    <definedName name="Gross_Loan">#REF!</definedName>
    <definedName name="HPIAdjusted2021" localSheetId="12">#REF!</definedName>
    <definedName name="HPIAdjusted2021">#REF!</definedName>
    <definedName name="HPIAdjusted2022" localSheetId="12">#REF!</definedName>
    <definedName name="HPIAdjusted2022">#REF!</definedName>
    <definedName name="HPIAdjusted2023" localSheetId="12">#REF!</definedName>
    <definedName name="HPIAdjusted2023">#REF!</definedName>
    <definedName name="HPIAdjusted2024" localSheetId="12">#REF!</definedName>
    <definedName name="HPIAdjusted2024">#REF!</definedName>
    <definedName name="HPIAdjusted2025" localSheetId="12">#REF!</definedName>
    <definedName name="HPIAdjusted2025">#REF!</definedName>
    <definedName name="HPIAdjusted5yrTotal" localSheetId="12">#REF!</definedName>
    <definedName name="HPIAdjusted5yrTotal">#REF!</definedName>
    <definedName name="ICRUsed" localSheetId="12">#REF!</definedName>
    <definedName name="ICRUsed">#REF!</definedName>
    <definedName name="Initial_Rate">#REF!</definedName>
    <definedName name="InitialRate" localSheetId="12">'EBITDA calc_'!#REF!</definedName>
    <definedName name="InitialRate">#REF!</definedName>
    <definedName name="MaxGrossLoan" localSheetId="12">#REF!</definedName>
    <definedName name="MaxGrossLoan">#REF!</definedName>
    <definedName name="MaxNetLoan" localSheetId="12">#REF!</definedName>
    <definedName name="MaxNetLoan">#REF!</definedName>
    <definedName name="Min_ICR" localSheetId="12">'EBITDA calc_'!#REF!</definedName>
    <definedName name="Min_ICR">#REF!</definedName>
    <definedName name="MinICR" localSheetId="12">'EBITDA calc_'!#REF!</definedName>
    <definedName name="Month_Payrate">#REF!</definedName>
    <definedName name="Month1_Remainder" localSheetId="12">#REF!</definedName>
    <definedName name="Month1_Remainder">#REF!</definedName>
    <definedName name="Monthly_DD" localSheetId="12">#REF!</definedName>
    <definedName name="Monthly_DD">#REF!</definedName>
    <definedName name="Monthly_Payment" localSheetId="12">#REF!</definedName>
    <definedName name="Monthly_Payment">#REF!</definedName>
    <definedName name="Monthly_Rent" localSheetId="12">#REF!</definedName>
    <definedName name="Monthly_Rent">#REF!</definedName>
    <definedName name="Months_Of_DD" localSheetId="12">#REF!</definedName>
    <definedName name="Months_Of_DD">#REF!</definedName>
    <definedName name="MVR" localSheetId="12">#REF!</definedName>
    <definedName name="MVR">#REF!</definedName>
    <definedName name="NetLoanUsed" localSheetId="12">#REF!</definedName>
    <definedName name="NetLoanUsed">#REF!</definedName>
    <definedName name="New_Build?" localSheetId="12">#REF!</definedName>
    <definedName name="New_Build?">#REF!</definedName>
    <definedName name="New_Build_LTV" localSheetId="12">#REF!</definedName>
    <definedName name="New_Build_LTV">#REF!</definedName>
    <definedName name="Pay_Rate" localSheetId="12">#REF!</definedName>
    <definedName name="Pay_Rate">#REF!</definedName>
    <definedName name="Pearl_P">#REF!</definedName>
    <definedName name="Pearl_Pic">#REF!</definedName>
    <definedName name="Penultimate_Month" localSheetId="12">#REF!</definedName>
    <definedName name="Penultimate_Month">#REF!</definedName>
    <definedName name="Picture" localSheetId="12">INDIRECT(#REF!)</definedName>
    <definedName name="Picture">INDIRECT(#REF!)</definedName>
    <definedName name="_xlnm.Print_Area" localSheetId="6">DIP!$A$3:$D$155</definedName>
    <definedName name="_xlnm.Print_Area" localSheetId="7">'DIP Fusion'!$A$3:$D$155</definedName>
    <definedName name="_xlnm.Print_Area" localSheetId="2">'DIP Premier'!$A$1:$C$638</definedName>
    <definedName name="_xlnm.Print_Area" localSheetId="4">'Indicative 2 only'!$A$1:$J$48</definedName>
    <definedName name="_xlnm.Print_Area" localSheetId="3">'Indicative All 3'!$A$1:$J$46</definedName>
    <definedName name="_xlnm.Print_Area" localSheetId="8">'Multi Property Deal'!$B$1:$X$65</definedName>
    <definedName name="_xlnm.Print_Area" localSheetId="5">'Single Indicative'!$A$1:$J$48</definedName>
    <definedName name="Prod_Fee_Chosen" localSheetId="12">#REF!</definedName>
    <definedName name="Prod_Fee_Chosen">#REF!</definedName>
    <definedName name="ProdFee" localSheetId="12">'EBITDA calc_'!#REF!</definedName>
    <definedName name="ProdFee">#REF!</definedName>
    <definedName name="Product_Fee_GBP" localSheetId="12">#REF!</definedName>
    <definedName name="Product_Fee_GBP">#REF!</definedName>
    <definedName name="Product_Selected" localSheetId="12">#REF!</definedName>
    <definedName name="Product_Selected" localSheetId="4">'Indicative 2 only'!#REF!</definedName>
    <definedName name="Product_Selected" localSheetId="3">'Indicative All 3'!#REF!</definedName>
    <definedName name="Product_Selected" localSheetId="5">'Single Indicative'!#REF!</definedName>
    <definedName name="Product_Selected">#REF!</definedName>
    <definedName name="Prop_Address">#REF!</definedName>
    <definedName name="Property_Value" localSheetId="12">#REF!</definedName>
    <definedName name="Property_Value" localSheetId="4">'Indicative 2 only'!$S$6</definedName>
    <definedName name="Property_Value" localSheetId="3">'Indicative All 3'!$S$6</definedName>
    <definedName name="Property_Value" localSheetId="5">'Single Indicative'!$S$6</definedName>
    <definedName name="Property_Value">#REF!</definedName>
    <definedName name="Rate_Override" localSheetId="12">#REF!</definedName>
    <definedName name="Rate_Override">#REF!</definedName>
    <definedName name="Rate_Type" localSheetId="12">#REF!</definedName>
    <definedName name="Rate_Type" localSheetId="4">'Indicative 2 only'!$I$22</definedName>
    <definedName name="Rate_Type" localSheetId="3">'Indicative All 3'!$I$22</definedName>
    <definedName name="Rate_Type" localSheetId="5">'Single Indicative'!$I$22</definedName>
    <definedName name="Rate_Type">#REF!</definedName>
    <definedName name="Redem1_Amount">#REF!</definedName>
    <definedName name="Redem1_Date">#REF!</definedName>
    <definedName name="Redem2_Amount">#REF!</definedName>
    <definedName name="Redem2_Date">#REF!</definedName>
    <definedName name="Redem3_Amount">#REF!</definedName>
    <definedName name="Redem3_Date">#REF!</definedName>
    <definedName name="Redem4_Amount">#REF!</definedName>
    <definedName name="Redem4_Date">#REF!</definedName>
    <definedName name="Redem5_Amount">#REF!</definedName>
    <definedName name="Redem5_Date">#REF!</definedName>
    <definedName name="RedemFull_Date">#REF!</definedName>
    <definedName name="Redemption_Term">#REF!</definedName>
    <definedName name="Rent_Over_Term" localSheetId="12">#REF!</definedName>
    <definedName name="Rent_Over_Term">#REF!</definedName>
    <definedName name="Revert" localSheetId="12">'EBITDA calc_'!#REF!</definedName>
    <definedName name="Revert">#REF!</definedName>
    <definedName name="Roll2" localSheetId="12">#REF!</definedName>
    <definedName name="Roll2">#REF!</definedName>
    <definedName name="Roll4" localSheetId="12">#REF!</definedName>
    <definedName name="Roll4">#REF!</definedName>
    <definedName name="Roll6" localSheetId="12">#REF!</definedName>
    <definedName name="Roll6">#REF!</definedName>
    <definedName name="rolled_Months" localSheetId="12">#REF!</definedName>
    <definedName name="rolled_Months">#REF!</definedName>
    <definedName name="Rolled_Owed" localSheetId="12">#REF!</definedName>
    <definedName name="Rolled_Owed">#REF!</definedName>
    <definedName name="Rolled_Rate_Override" localSheetId="12">#REF!</definedName>
    <definedName name="Rolled_Rate_Override">#REF!</definedName>
    <definedName name="RollupMonths" localSheetId="12">#REF!</definedName>
    <definedName name="RollupMonths">#REF!</definedName>
    <definedName name="RoundDown" localSheetId="12">#REF!</definedName>
    <definedName name="RoundDown">#REF!</definedName>
    <definedName name="Rounding">#REF!</definedName>
    <definedName name="Show_Custom_Panel" localSheetId="12">#REF!</definedName>
    <definedName name="Show_Custom_Panel">#REF!</definedName>
    <definedName name="Specific_Loan" localSheetId="12">#REF!</definedName>
    <definedName name="Specific_Loan">#REF!</definedName>
    <definedName name="Start_date">#REF!</definedName>
    <definedName name="SVR" localSheetId="12">'EBITDA calc_'!#REF!</definedName>
    <definedName name="SVR">#REF!</definedName>
    <definedName name="Term" localSheetId="12">#REF!</definedName>
    <definedName name="Term">#REF!</definedName>
    <definedName name="teset">#REF!</definedName>
    <definedName name="Tier_Standard_rate" localSheetId="12">#REF!</definedName>
    <definedName name="Tier_Standard_rate">#REF!</definedName>
    <definedName name="Tier1_Eligible" localSheetId="12">#REF!</definedName>
    <definedName name="Tier1_Eligible">#REF!</definedName>
    <definedName name="Tier2_Eligible" localSheetId="12">#REF!</definedName>
    <definedName name="Tier2_Eligible">#REF!</definedName>
    <definedName name="Tier3_Eligible" localSheetId="12">#REF!</definedName>
    <definedName name="Tier3_Eligible">#REF!</definedName>
    <definedName name="Tier4_Eligible" localSheetId="12">#REF!</definedName>
    <definedName name="Tier4_Eligible">#REF!</definedName>
    <definedName name="Top_Slice_PCM_GBP" localSheetId="12">#REF!</definedName>
    <definedName name="Top_Slice_PCM_GBP">#REF!</definedName>
    <definedName name="Tracker">#REF!</definedName>
    <definedName name="Zircon_P">#REF!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P10" i="31" l="1"/>
  <c r="AP11" i="31"/>
  <c r="AP12" i="31"/>
  <c r="AP13" i="31"/>
  <c r="AP14" i="31"/>
  <c r="AP15" i="31"/>
  <c r="AP16" i="31"/>
  <c r="AP17" i="31"/>
  <c r="AP18" i="31"/>
  <c r="AP19" i="31"/>
  <c r="AP20" i="31"/>
  <c r="AP21" i="31"/>
  <c r="AP22" i="31"/>
  <c r="AP23" i="31"/>
  <c r="AP24" i="31"/>
  <c r="AP25" i="31"/>
  <c r="AP26" i="31"/>
  <c r="AP27" i="31"/>
  <c r="AP28" i="31"/>
  <c r="AP29" i="31"/>
  <c r="AP30" i="31"/>
  <c r="AP31" i="31"/>
  <c r="AP32" i="31"/>
  <c r="AP33" i="31"/>
  <c r="AP34" i="31"/>
  <c r="AP35" i="31"/>
  <c r="AP36" i="31"/>
  <c r="AP37" i="31"/>
  <c r="AP38" i="31"/>
  <c r="AP39" i="31"/>
  <c r="AP40" i="31"/>
  <c r="AP41" i="31"/>
  <c r="AP42" i="31"/>
  <c r="AP43" i="31"/>
  <c r="AP44" i="31"/>
  <c r="AP45" i="31"/>
  <c r="AP46" i="31"/>
  <c r="AP47" i="31"/>
  <c r="AP48" i="31"/>
  <c r="AP49" i="31"/>
  <c r="AP50" i="31"/>
  <c r="AP51" i="31"/>
  <c r="AP52" i="31"/>
  <c r="AP53" i="31"/>
  <c r="AP54" i="31"/>
  <c r="AP55" i="31"/>
  <c r="AP56" i="31"/>
  <c r="AP57" i="31"/>
  <c r="AP58" i="31"/>
  <c r="AP59" i="31"/>
  <c r="AP60" i="31"/>
  <c r="AP61" i="31"/>
  <c r="AP62" i="31"/>
  <c r="AP63" i="31"/>
  <c r="AP64" i="31"/>
  <c r="AP65" i="31"/>
  <c r="AP66" i="31"/>
  <c r="AP67" i="31"/>
  <c r="AP68" i="31"/>
  <c r="AP69" i="31"/>
  <c r="AP70" i="31"/>
  <c r="AP71" i="31"/>
  <c r="AP72" i="31"/>
  <c r="AP73" i="31"/>
  <c r="AP74" i="31"/>
  <c r="AP75" i="31"/>
  <c r="AP76" i="31"/>
  <c r="AP77" i="31"/>
  <c r="AP78" i="31"/>
  <c r="AP79" i="31"/>
  <c r="AP80" i="31"/>
  <c r="AP81" i="31"/>
  <c r="AP82" i="31"/>
  <c r="AP83" i="31"/>
  <c r="AP84" i="31"/>
  <c r="AP85" i="31"/>
  <c r="AP86" i="31"/>
  <c r="AP87" i="31"/>
  <c r="AP88" i="31"/>
  <c r="AP89" i="31"/>
  <c r="AP90" i="31"/>
  <c r="AP91" i="31"/>
  <c r="AP92" i="31"/>
  <c r="AP93" i="31"/>
  <c r="AP94" i="31"/>
  <c r="AP95" i="31"/>
  <c r="AP96" i="31"/>
  <c r="AP97" i="31"/>
  <c r="AP98" i="31"/>
  <c r="AP99" i="31"/>
  <c r="AP100" i="31"/>
  <c r="AP101" i="31"/>
  <c r="AP102" i="31"/>
  <c r="AP103" i="31"/>
  <c r="AP104" i="31"/>
  <c r="AP105" i="31"/>
  <c r="AP106" i="31"/>
  <c r="AP107" i="31"/>
  <c r="AP108" i="31"/>
  <c r="AP109" i="31"/>
  <c r="AP110" i="31"/>
  <c r="AP111" i="31"/>
  <c r="AP112" i="31"/>
  <c r="AP113" i="31"/>
  <c r="AP114" i="31"/>
  <c r="AP115" i="31"/>
  <c r="AP116" i="31"/>
  <c r="AP117" i="31"/>
  <c r="AP118" i="31"/>
  <c r="AP119" i="31"/>
  <c r="AP120" i="31"/>
  <c r="AP121" i="31"/>
  <c r="AP122" i="31"/>
  <c r="AP123" i="31"/>
  <c r="AP124" i="31"/>
  <c r="AP125" i="31"/>
  <c r="AP126" i="31"/>
  <c r="AP127" i="31"/>
  <c r="AP128" i="31"/>
  <c r="AP129" i="31"/>
  <c r="AP130" i="31"/>
  <c r="AP131" i="31"/>
  <c r="AP132" i="31"/>
  <c r="AP133" i="31"/>
  <c r="AP134" i="31"/>
  <c r="AP135" i="31"/>
  <c r="AP136" i="31"/>
  <c r="AP137" i="31"/>
  <c r="AP138" i="31"/>
  <c r="AP139" i="31"/>
  <c r="AP140" i="31"/>
  <c r="AP141" i="31"/>
  <c r="AP142" i="31"/>
  <c r="AP143" i="31"/>
  <c r="AP144" i="31"/>
  <c r="AP145" i="31"/>
  <c r="AP146" i="31"/>
  <c r="AP147" i="31"/>
  <c r="AP148" i="31"/>
  <c r="AP149" i="31"/>
  <c r="AP150" i="31"/>
  <c r="AP151" i="31"/>
  <c r="AP152" i="31"/>
  <c r="AP153" i="31"/>
  <c r="AP154" i="31"/>
  <c r="AP155" i="31"/>
  <c r="AP156" i="31"/>
  <c r="AP157" i="31"/>
  <c r="AP158" i="31"/>
  <c r="AP159" i="31"/>
  <c r="AP160" i="31"/>
  <c r="AP161" i="31"/>
  <c r="AP162" i="31"/>
  <c r="AP163" i="31"/>
  <c r="AP164" i="31"/>
  <c r="AP165" i="31"/>
  <c r="AP166" i="31"/>
  <c r="AP167" i="31"/>
  <c r="AP168" i="31"/>
  <c r="AP169" i="31"/>
  <c r="AP170" i="31"/>
  <c r="AP171" i="31"/>
  <c r="AP172" i="31"/>
  <c r="AP173" i="31"/>
  <c r="AP174" i="31"/>
  <c r="AP175" i="31"/>
  <c r="AP176" i="31"/>
  <c r="AP177" i="31"/>
  <c r="AP178" i="31"/>
  <c r="AP179" i="31"/>
  <c r="AP180" i="31"/>
  <c r="AP181" i="31"/>
  <c r="AP182" i="31"/>
  <c r="AP183" i="31"/>
  <c r="AP184" i="31"/>
  <c r="AP185" i="31"/>
  <c r="AP186" i="31"/>
  <c r="AP187" i="31"/>
  <c r="AP188" i="31"/>
  <c r="AP189" i="31"/>
  <c r="AP190" i="31"/>
  <c r="AP191" i="31"/>
  <c r="AP192" i="31"/>
  <c r="AP193" i="31"/>
  <c r="AP194" i="31"/>
  <c r="AP195" i="31"/>
  <c r="AP196" i="31"/>
  <c r="AP197" i="31"/>
  <c r="AP198" i="31"/>
  <c r="AP199" i="31"/>
  <c r="AP200" i="31"/>
  <c r="AP201" i="31"/>
  <c r="AP202" i="31"/>
  <c r="AP203" i="31"/>
  <c r="AP204" i="31"/>
  <c r="AP205" i="31"/>
  <c r="AP206" i="31"/>
  <c r="AP207" i="31"/>
  <c r="AP208" i="31"/>
  <c r="AP209" i="31"/>
  <c r="AP210" i="31"/>
  <c r="AP211" i="31"/>
  <c r="AP212" i="31"/>
  <c r="AP213" i="31"/>
  <c r="AP214" i="31"/>
  <c r="AP215" i="31"/>
  <c r="AP216" i="31"/>
  <c r="AP217" i="31"/>
  <c r="AP218" i="31"/>
  <c r="AP219" i="31"/>
  <c r="AP220" i="31"/>
  <c r="AP221" i="31"/>
  <c r="AP222" i="31"/>
  <c r="AP223" i="31"/>
  <c r="AP224" i="31"/>
  <c r="AP225" i="31"/>
  <c r="AP226" i="31"/>
  <c r="AP227" i="31"/>
  <c r="AP228" i="31"/>
  <c r="AP229" i="31"/>
  <c r="AP230" i="31"/>
  <c r="AP231" i="31"/>
  <c r="AP232" i="31"/>
  <c r="AP233" i="31"/>
  <c r="AP234" i="31"/>
  <c r="AP235" i="31"/>
  <c r="AP236" i="31"/>
  <c r="AP237" i="31"/>
  <c r="AP238" i="31"/>
  <c r="AP239" i="31"/>
  <c r="AP240" i="31"/>
  <c r="AP241" i="31"/>
  <c r="AP242" i="31"/>
  <c r="AP243" i="31"/>
  <c r="AP244" i="31"/>
  <c r="AP245" i="31"/>
  <c r="AP246" i="31"/>
  <c r="AP247" i="31"/>
  <c r="AP248" i="31"/>
  <c r="AP249" i="31"/>
  <c r="AP250" i="31"/>
  <c r="AP251" i="31"/>
  <c r="AP252" i="31"/>
  <c r="AP253" i="31"/>
  <c r="AP254" i="31"/>
  <c r="AP255" i="31"/>
  <c r="AP256" i="31"/>
  <c r="AP257" i="31"/>
  <c r="AP258" i="31"/>
  <c r="AP259" i="31"/>
  <c r="AP260" i="31"/>
  <c r="AP261" i="31"/>
  <c r="AP262" i="31"/>
  <c r="AP263" i="31"/>
  <c r="AP264" i="31"/>
  <c r="AP265" i="31"/>
  <c r="AP266" i="31"/>
  <c r="AP267" i="31"/>
  <c r="AP268" i="31"/>
  <c r="AP269" i="31"/>
  <c r="AP270" i="31"/>
  <c r="AP271" i="31"/>
  <c r="AP272" i="31"/>
  <c r="AP273" i="31"/>
  <c r="AP274" i="31"/>
  <c r="AP275" i="31"/>
  <c r="AP276" i="31"/>
  <c r="AP277" i="31"/>
  <c r="AP278" i="31"/>
  <c r="AP279" i="31"/>
  <c r="AP280" i="31"/>
  <c r="AP281" i="31"/>
  <c r="AP282" i="31"/>
  <c r="AP283" i="31"/>
  <c r="AP284" i="31"/>
  <c r="AP285" i="31"/>
  <c r="AP286" i="31"/>
  <c r="AP287" i="31"/>
  <c r="AP288" i="31"/>
  <c r="AP289" i="31"/>
  <c r="AP290" i="31"/>
  <c r="AP291" i="31"/>
  <c r="AP292" i="31"/>
  <c r="AP293" i="31"/>
  <c r="AP294" i="31"/>
  <c r="AP295" i="31"/>
  <c r="AP296" i="31"/>
  <c r="AP297" i="31"/>
  <c r="AP298" i="31"/>
  <c r="AP299" i="31"/>
  <c r="AP300" i="31"/>
  <c r="AP301" i="31"/>
  <c r="AP302" i="31"/>
  <c r="AP303" i="31"/>
  <c r="AP304" i="31"/>
  <c r="AP305" i="31"/>
  <c r="AP306" i="31"/>
  <c r="AP307" i="31"/>
  <c r="AP308" i="31"/>
  <c r="AP309" i="31"/>
  <c r="AP310" i="31"/>
  <c r="AP311" i="31"/>
  <c r="AP312" i="31"/>
  <c r="AP313" i="31"/>
  <c r="AP314" i="31"/>
  <c r="AP315" i="31"/>
  <c r="AP316" i="31"/>
  <c r="AP317" i="31"/>
  <c r="AP318" i="31"/>
  <c r="AP319" i="31"/>
  <c r="AP320" i="31"/>
  <c r="AP321" i="31"/>
  <c r="AP322" i="31"/>
  <c r="AP323" i="31"/>
  <c r="AP324" i="31"/>
  <c r="AP325" i="31"/>
  <c r="AP326" i="31"/>
  <c r="AP327" i="31"/>
  <c r="AP328" i="31"/>
  <c r="AP329" i="31"/>
  <c r="AP330" i="31"/>
  <c r="AP331" i="31"/>
  <c r="AP332" i="31"/>
  <c r="AP333" i="31"/>
  <c r="AP334" i="31"/>
  <c r="AP335" i="31"/>
  <c r="AP336" i="31"/>
  <c r="AP337" i="31"/>
  <c r="AP338" i="31"/>
  <c r="AP339" i="31"/>
  <c r="AP340" i="31"/>
  <c r="AP341" i="31"/>
  <c r="AP342" i="31"/>
  <c r="AP343" i="31"/>
  <c r="AP344" i="31"/>
  <c r="AP345" i="31"/>
  <c r="AP346" i="31"/>
  <c r="AP347" i="31"/>
  <c r="AP348" i="31"/>
  <c r="AP349" i="31"/>
  <c r="AP350" i="31"/>
  <c r="AP351" i="31"/>
  <c r="AP352" i="31"/>
  <c r="AP353" i="31"/>
  <c r="AP354" i="31"/>
  <c r="AP355" i="31"/>
  <c r="AP356" i="31"/>
  <c r="AP357" i="31"/>
  <c r="AP358" i="31"/>
  <c r="AP359" i="31"/>
  <c r="AP360" i="31"/>
  <c r="AP361" i="31"/>
  <c r="AP362" i="31"/>
  <c r="AP363" i="31"/>
  <c r="AP364" i="31"/>
  <c r="AP365" i="31"/>
  <c r="AP366" i="31"/>
  <c r="AP367" i="31"/>
  <c r="AP368" i="31"/>
  <c r="AP369" i="31"/>
  <c r="AP370" i="31"/>
  <c r="AP371" i="31"/>
  <c r="AP372" i="31"/>
  <c r="AP373" i="31"/>
  <c r="AP374" i="31"/>
  <c r="AP375" i="31"/>
  <c r="AP376" i="31"/>
  <c r="AP377" i="31"/>
  <c r="AP378" i="31"/>
  <c r="AP379" i="31"/>
  <c r="AP380" i="31"/>
  <c r="AP381" i="31"/>
  <c r="AP382" i="31"/>
  <c r="AP383" i="31"/>
  <c r="AP384" i="31"/>
  <c r="AP385" i="31"/>
  <c r="AP386" i="31"/>
  <c r="AP387" i="31"/>
  <c r="AP388" i="31"/>
  <c r="AP389" i="31"/>
  <c r="AP390" i="31"/>
  <c r="AP391" i="31"/>
  <c r="AP392" i="31"/>
  <c r="AP393" i="31"/>
  <c r="AP394" i="31"/>
  <c r="AP395" i="31"/>
  <c r="AP396" i="31"/>
  <c r="AP397" i="31"/>
  <c r="AP398" i="31"/>
  <c r="AP399" i="31"/>
  <c r="AP400" i="31"/>
  <c r="AP401" i="31"/>
  <c r="AP402" i="31"/>
  <c r="AP403" i="31"/>
  <c r="AP404" i="31"/>
  <c r="AP405" i="31"/>
  <c r="AP406" i="31"/>
  <c r="AP407" i="31"/>
  <c r="AP408" i="31"/>
  <c r="AP409" i="31"/>
  <c r="AP410" i="31"/>
  <c r="AP411" i="31"/>
  <c r="AP412" i="31"/>
  <c r="AP413" i="31"/>
  <c r="AP414" i="31"/>
  <c r="AP415" i="31"/>
  <c r="AP416" i="31"/>
  <c r="AP417" i="31"/>
  <c r="AP418" i="31"/>
  <c r="AP419" i="31"/>
  <c r="AP420" i="31"/>
  <c r="AP421" i="31"/>
  <c r="AP422" i="31"/>
  <c r="AP423" i="31"/>
  <c r="AP424" i="31"/>
  <c r="AP425" i="31"/>
  <c r="AP426" i="31"/>
  <c r="AP427" i="31"/>
  <c r="AP428" i="31"/>
  <c r="AP429" i="31"/>
  <c r="AP430" i="31"/>
  <c r="AP431" i="31"/>
  <c r="AP432" i="31"/>
  <c r="AP433" i="31"/>
  <c r="AP434" i="31"/>
  <c r="AP435" i="31"/>
  <c r="AP436" i="31"/>
  <c r="AP437" i="31"/>
  <c r="AP438" i="31"/>
  <c r="AP439" i="31"/>
  <c r="AP440" i="31"/>
  <c r="AP441" i="31"/>
  <c r="AP442" i="31"/>
  <c r="AP443" i="31"/>
  <c r="AP444" i="31"/>
  <c r="AP445" i="31"/>
  <c r="AP446" i="31"/>
  <c r="AP447" i="31"/>
  <c r="AP448" i="31"/>
  <c r="AP449" i="31"/>
  <c r="AP450" i="31"/>
  <c r="AP451" i="31"/>
  <c r="AP452" i="31"/>
  <c r="AP453" i="31"/>
  <c r="AP454" i="31"/>
  <c r="AP455" i="31"/>
  <c r="AP456" i="31"/>
  <c r="AP457" i="31"/>
  <c r="AP458" i="31"/>
  <c r="AP459" i="31"/>
  <c r="AP460" i="31"/>
  <c r="AP461" i="31"/>
  <c r="AP462" i="31"/>
  <c r="AP463" i="31"/>
  <c r="AP464" i="31"/>
  <c r="AP465" i="31"/>
  <c r="AP466" i="31"/>
  <c r="AP467" i="31"/>
  <c r="AP468" i="31"/>
  <c r="AP469" i="31"/>
  <c r="AP470" i="31"/>
  <c r="AP471" i="31"/>
  <c r="AP472" i="31"/>
  <c r="AP473" i="31"/>
  <c r="AP474" i="31"/>
  <c r="AP475" i="31"/>
  <c r="AP476" i="31"/>
  <c r="AP477" i="31"/>
  <c r="AP478" i="31"/>
  <c r="AP479" i="31"/>
  <c r="AP480" i="31"/>
  <c r="AP481" i="31"/>
  <c r="AP482" i="31"/>
  <c r="AP483" i="31"/>
  <c r="AP484" i="31"/>
  <c r="AP485" i="31"/>
  <c r="AP486" i="31"/>
  <c r="AP487" i="31"/>
  <c r="AP488" i="31"/>
  <c r="AP489" i="31"/>
  <c r="AP490" i="31"/>
  <c r="AP491" i="31"/>
  <c r="AP492" i="31"/>
  <c r="AP493" i="31"/>
  <c r="AP494" i="31"/>
  <c r="AP495" i="31"/>
  <c r="AP496" i="31"/>
  <c r="AP497" i="31"/>
  <c r="AP498" i="31"/>
  <c r="AP499" i="31"/>
  <c r="AP500" i="31"/>
  <c r="AP501" i="31"/>
  <c r="AP502" i="31"/>
  <c r="AP503" i="31"/>
  <c r="AP504" i="31"/>
  <c r="AP505" i="31"/>
  <c r="AP506" i="31"/>
  <c r="AP507" i="31"/>
  <c r="AP508" i="31"/>
  <c r="AP509" i="31"/>
  <c r="AP510" i="31"/>
  <c r="AP511" i="31"/>
  <c r="AP512" i="31"/>
  <c r="AP513" i="31"/>
  <c r="AP514" i="31"/>
  <c r="AP515" i="31"/>
  <c r="AP516" i="31"/>
  <c r="AP517" i="31"/>
  <c r="AP518" i="31"/>
  <c r="AP519" i="31"/>
  <c r="AP520" i="31"/>
  <c r="AP521" i="31"/>
  <c r="AP522" i="31"/>
  <c r="AP523" i="31"/>
  <c r="AP524" i="31"/>
  <c r="AP525" i="31"/>
  <c r="AP526" i="31"/>
  <c r="AP527" i="31"/>
  <c r="AP528" i="31"/>
  <c r="AP529" i="31"/>
  <c r="AP530" i="31"/>
  <c r="AP531" i="31"/>
  <c r="AP532" i="31"/>
  <c r="AP533" i="31"/>
  <c r="AP534" i="31"/>
  <c r="AP535" i="31"/>
  <c r="AP536" i="31"/>
  <c r="AP537" i="31"/>
  <c r="AP538" i="31"/>
  <c r="AP539" i="31"/>
  <c r="AP540" i="31"/>
  <c r="AP541" i="31"/>
  <c r="AP542" i="31"/>
  <c r="AP543" i="31"/>
  <c r="AP544" i="31"/>
  <c r="AP545" i="31"/>
  <c r="AP546" i="31"/>
  <c r="AP547" i="31"/>
  <c r="AP548" i="31"/>
  <c r="AP549" i="31"/>
  <c r="AP550" i="31"/>
  <c r="AP551" i="31"/>
  <c r="AP552" i="31"/>
  <c r="AP553" i="31"/>
  <c r="AP554" i="31"/>
  <c r="AP555" i="31"/>
  <c r="AP556" i="31"/>
  <c r="AP557" i="31"/>
  <c r="AP558" i="31"/>
  <c r="AP559" i="31"/>
  <c r="AP560" i="31"/>
  <c r="AP561" i="31"/>
  <c r="AP562" i="31"/>
  <c r="AP563" i="31"/>
  <c r="AP564" i="31"/>
  <c r="AP565" i="31"/>
  <c r="AP566" i="31"/>
  <c r="AP567" i="31"/>
  <c r="AP568" i="31"/>
  <c r="AP569" i="31"/>
  <c r="AP570" i="31"/>
  <c r="AP571" i="31"/>
  <c r="AP572" i="31"/>
  <c r="AP573" i="31"/>
  <c r="AP574" i="31"/>
  <c r="AP575" i="31"/>
  <c r="AP576" i="31"/>
  <c r="AP577" i="31"/>
  <c r="AP578" i="31"/>
  <c r="AP579" i="31"/>
  <c r="AP580" i="31"/>
  <c r="AP581" i="31"/>
  <c r="AP582" i="31"/>
  <c r="AP583" i="31"/>
  <c r="AP584" i="31"/>
  <c r="AP585" i="31"/>
  <c r="AP586" i="31"/>
  <c r="AP587" i="31"/>
  <c r="AP588" i="31"/>
  <c r="AP589" i="31"/>
  <c r="AP590" i="31"/>
  <c r="AP591" i="31"/>
  <c r="AP592" i="31"/>
  <c r="AP593" i="31"/>
  <c r="AP594" i="31"/>
  <c r="AP595" i="31"/>
  <c r="AP596" i="31"/>
  <c r="AP597" i="31"/>
  <c r="AP598" i="31"/>
  <c r="AP599" i="31"/>
  <c r="AP600" i="31"/>
  <c r="AP601" i="31"/>
  <c r="AP602" i="31"/>
  <c r="AP603" i="31"/>
  <c r="AP604" i="31"/>
  <c r="AP605" i="31"/>
  <c r="AP606" i="31"/>
  <c r="AP607" i="31"/>
  <c r="AP608" i="31"/>
  <c r="AP609" i="31"/>
  <c r="AP610" i="31"/>
  <c r="AP611" i="31"/>
  <c r="AP612" i="31"/>
  <c r="AP613" i="31"/>
  <c r="AP614" i="31"/>
  <c r="AP615" i="31"/>
  <c r="AP616" i="31"/>
  <c r="AP617" i="31"/>
  <c r="AP618" i="31"/>
  <c r="AP619" i="31"/>
  <c r="AP620" i="31"/>
  <c r="AP621" i="31"/>
  <c r="AP622" i="31"/>
  <c r="AP623" i="31"/>
  <c r="AP624" i="31"/>
  <c r="AP625" i="31"/>
  <c r="AP626" i="31"/>
  <c r="AP627" i="31"/>
  <c r="AP628" i="31"/>
  <c r="AP629" i="31"/>
  <c r="AP630" i="31"/>
  <c r="AP631" i="31"/>
  <c r="AP632" i="31"/>
  <c r="AP633" i="31"/>
  <c r="AP634" i="31"/>
  <c r="AP635" i="31"/>
  <c r="AP636" i="31"/>
  <c r="AP637" i="31"/>
  <c r="AP638" i="31"/>
  <c r="AP639" i="31"/>
  <c r="AP640" i="31"/>
  <c r="AP641" i="31"/>
  <c r="AP642" i="31"/>
  <c r="AP643" i="31"/>
  <c r="AP644" i="31"/>
  <c r="AP645" i="31"/>
  <c r="AP646" i="31"/>
  <c r="AP647" i="31"/>
  <c r="AP648" i="31"/>
  <c r="AP649" i="31"/>
  <c r="AP650" i="31"/>
  <c r="AP651" i="31"/>
  <c r="AP652" i="31"/>
  <c r="AP653" i="31"/>
  <c r="AP654" i="31"/>
  <c r="AP655" i="31"/>
  <c r="AP656" i="31"/>
  <c r="AP657" i="31"/>
  <c r="AP658" i="31"/>
  <c r="AP659" i="31"/>
  <c r="AP660" i="31"/>
  <c r="AP661" i="31"/>
  <c r="AP662" i="31"/>
  <c r="AP663" i="31"/>
  <c r="AP664" i="31"/>
  <c r="AP665" i="31"/>
  <c r="AP666" i="31"/>
  <c r="AP667" i="31"/>
  <c r="AP668" i="31"/>
  <c r="AR9" i="31"/>
  <c r="AQ9" i="31"/>
  <c r="AO9" i="31"/>
  <c r="AE10" i="31"/>
  <c r="AE11" i="31"/>
  <c r="AE12" i="31"/>
  <c r="AE13" i="31"/>
  <c r="AE14" i="31"/>
  <c r="AE15" i="31"/>
  <c r="AE16" i="31"/>
  <c r="AE17" i="31"/>
  <c r="AE18" i="31"/>
  <c r="AE19" i="31"/>
  <c r="AE20" i="31"/>
  <c r="AE21" i="31"/>
  <c r="AE22" i="31"/>
  <c r="AE23" i="31"/>
  <c r="AE24" i="31"/>
  <c r="AE25" i="31"/>
  <c r="AE26" i="31"/>
  <c r="AE27" i="31"/>
  <c r="AE28" i="31"/>
  <c r="AE29" i="31"/>
  <c r="AE30" i="31"/>
  <c r="AE31" i="31"/>
  <c r="AE32" i="31"/>
  <c r="AE33" i="31"/>
  <c r="AE34" i="31"/>
  <c r="AE35" i="31"/>
  <c r="AE36" i="31"/>
  <c r="AE37" i="31"/>
  <c r="AE38" i="31"/>
  <c r="AE39" i="31"/>
  <c r="AE40" i="31"/>
  <c r="AE41" i="31"/>
  <c r="AE42" i="31"/>
  <c r="AE43" i="31"/>
  <c r="AE44" i="31"/>
  <c r="AE45" i="31"/>
  <c r="AE46" i="31"/>
  <c r="AE47" i="31"/>
  <c r="AE48" i="31"/>
  <c r="AE49" i="31"/>
  <c r="AE50" i="31"/>
  <c r="AE51" i="31"/>
  <c r="AE52" i="31"/>
  <c r="AE53" i="31"/>
  <c r="AE54" i="31"/>
  <c r="AE55" i="31"/>
  <c r="AE56" i="31"/>
  <c r="AE57" i="31"/>
  <c r="AE58" i="31"/>
  <c r="AE59" i="31"/>
  <c r="AE60" i="31"/>
  <c r="AE61" i="31"/>
  <c r="AE62" i="31"/>
  <c r="AE63" i="31"/>
  <c r="AE64" i="31"/>
  <c r="AE65" i="31"/>
  <c r="AE66" i="31"/>
  <c r="AE67" i="31"/>
  <c r="AE68" i="31"/>
  <c r="AE69" i="31"/>
  <c r="AE70" i="31"/>
  <c r="AE71" i="31"/>
  <c r="AE72" i="31"/>
  <c r="AE73" i="31"/>
  <c r="AE74" i="31"/>
  <c r="AE75" i="31"/>
  <c r="AE76" i="31"/>
  <c r="AE77" i="31"/>
  <c r="AE78" i="31"/>
  <c r="AE79" i="31"/>
  <c r="AE80" i="31"/>
  <c r="AE81" i="31"/>
  <c r="AE82" i="31"/>
  <c r="AE83" i="31"/>
  <c r="AE84" i="31"/>
  <c r="AE85" i="31"/>
  <c r="AE86" i="31"/>
  <c r="AE87" i="31"/>
  <c r="AE88" i="31"/>
  <c r="AE89" i="31"/>
  <c r="AE90" i="31"/>
  <c r="AE91" i="31"/>
  <c r="AE92" i="31"/>
  <c r="AE93" i="31"/>
  <c r="AE94" i="31"/>
  <c r="AE95" i="31"/>
  <c r="AE96" i="31"/>
  <c r="AE97" i="31"/>
  <c r="AE98" i="31"/>
  <c r="AE99" i="31"/>
  <c r="AE100" i="31"/>
  <c r="AE101" i="31"/>
  <c r="AE102" i="31"/>
  <c r="AE103" i="31"/>
  <c r="AE104" i="31"/>
  <c r="AE105" i="31"/>
  <c r="AE106" i="31"/>
  <c r="AE107" i="31"/>
  <c r="AE108" i="31"/>
  <c r="AE109" i="31"/>
  <c r="AE110" i="31"/>
  <c r="AE111" i="31"/>
  <c r="AE112" i="31"/>
  <c r="AE113" i="31"/>
  <c r="AE114" i="31"/>
  <c r="AE115" i="31"/>
  <c r="AE116" i="31"/>
  <c r="AE117" i="31"/>
  <c r="AE118" i="31"/>
  <c r="AE119" i="31"/>
  <c r="AE120" i="31"/>
  <c r="AE121" i="31"/>
  <c r="AE122" i="31"/>
  <c r="AE123" i="31"/>
  <c r="AE124" i="31"/>
  <c r="AE125" i="31"/>
  <c r="AE126" i="31"/>
  <c r="AE127" i="31"/>
  <c r="AE128" i="31"/>
  <c r="AE129" i="31"/>
  <c r="AE130" i="31"/>
  <c r="AE131" i="31"/>
  <c r="AE132" i="31"/>
  <c r="AE133" i="31"/>
  <c r="AE134" i="31"/>
  <c r="AE135" i="31"/>
  <c r="AE136" i="31"/>
  <c r="AE137" i="31"/>
  <c r="AE138" i="31"/>
  <c r="AE139" i="31"/>
  <c r="AE140" i="31"/>
  <c r="AE141" i="31"/>
  <c r="AE142" i="31"/>
  <c r="AE143" i="31"/>
  <c r="AE144" i="31"/>
  <c r="AE145" i="31"/>
  <c r="AE146" i="31"/>
  <c r="AE147" i="31"/>
  <c r="AE148" i="31"/>
  <c r="AE149" i="31"/>
  <c r="AE150" i="31"/>
  <c r="AE151" i="31"/>
  <c r="AE152" i="31"/>
  <c r="AE153" i="31"/>
  <c r="AE154" i="31"/>
  <c r="AE155" i="31"/>
  <c r="AE156" i="31"/>
  <c r="AE157" i="31"/>
  <c r="AE158" i="31"/>
  <c r="AE159" i="31"/>
  <c r="AE160" i="31"/>
  <c r="AE161" i="31"/>
  <c r="AE162" i="31"/>
  <c r="AE163" i="31"/>
  <c r="AE164" i="31"/>
  <c r="AE165" i="31"/>
  <c r="AE166" i="31"/>
  <c r="AE167" i="31"/>
  <c r="AE168" i="31"/>
  <c r="AE169" i="31"/>
  <c r="AE170" i="31"/>
  <c r="AE171" i="31"/>
  <c r="AE172" i="31"/>
  <c r="AE173" i="31"/>
  <c r="AE174" i="31"/>
  <c r="AE175" i="31"/>
  <c r="AE176" i="31"/>
  <c r="AE177" i="31"/>
  <c r="AE178" i="31"/>
  <c r="AE179" i="31"/>
  <c r="AE180" i="31"/>
  <c r="AE181" i="31"/>
  <c r="AE182" i="31"/>
  <c r="AE183" i="31"/>
  <c r="AE184" i="31"/>
  <c r="AE185" i="31"/>
  <c r="AE186" i="31"/>
  <c r="AE187" i="31"/>
  <c r="AE188" i="31"/>
  <c r="AE189" i="31"/>
  <c r="AE190" i="31"/>
  <c r="AE191" i="31"/>
  <c r="AE192" i="31"/>
  <c r="AE193" i="31"/>
  <c r="AE194" i="31"/>
  <c r="AE195" i="31"/>
  <c r="AE196" i="31"/>
  <c r="AE197" i="31"/>
  <c r="AE198" i="31"/>
  <c r="AE199" i="31"/>
  <c r="AE200" i="31"/>
  <c r="AE201" i="31"/>
  <c r="AE202" i="31"/>
  <c r="AE203" i="31"/>
  <c r="AE204" i="31"/>
  <c r="AE205" i="31"/>
  <c r="AE206" i="31"/>
  <c r="AE207" i="31"/>
  <c r="AE208" i="31"/>
  <c r="AE209" i="31"/>
  <c r="AE210" i="31"/>
  <c r="AE211" i="31"/>
  <c r="AE212" i="31"/>
  <c r="AE213" i="31"/>
  <c r="AE214" i="31"/>
  <c r="AE215" i="31"/>
  <c r="AE216" i="31"/>
  <c r="AE217" i="31"/>
  <c r="AE218" i="31"/>
  <c r="AE219" i="31"/>
  <c r="AE220" i="31"/>
  <c r="AE221" i="31"/>
  <c r="AE222" i="31"/>
  <c r="AE223" i="31"/>
  <c r="AE224" i="31"/>
  <c r="AE225" i="31"/>
  <c r="AE226" i="31"/>
  <c r="AE227" i="31"/>
  <c r="AE228" i="31"/>
  <c r="AE229" i="31"/>
  <c r="AE230" i="31"/>
  <c r="AE231" i="31"/>
  <c r="AE232" i="31"/>
  <c r="AE233" i="31"/>
  <c r="AE234" i="31"/>
  <c r="AE235" i="31"/>
  <c r="AE236" i="31"/>
  <c r="AE237" i="31"/>
  <c r="AE238" i="31"/>
  <c r="AE239" i="31"/>
  <c r="AE240" i="31"/>
  <c r="AE241" i="31"/>
  <c r="AE242" i="31"/>
  <c r="AE243" i="31"/>
  <c r="AE244" i="31"/>
  <c r="AE245" i="31"/>
  <c r="AE246" i="31"/>
  <c r="AE247" i="31"/>
  <c r="AE248" i="31"/>
  <c r="AE249" i="31"/>
  <c r="AE250" i="31"/>
  <c r="AE251" i="31"/>
  <c r="AE252" i="31"/>
  <c r="AE253" i="31"/>
  <c r="AE254" i="31"/>
  <c r="AE255" i="31"/>
  <c r="AE256" i="31"/>
  <c r="AE257" i="31"/>
  <c r="AE258" i="31"/>
  <c r="AE259" i="31"/>
  <c r="AE260" i="31"/>
  <c r="AE261" i="31"/>
  <c r="AE262" i="31"/>
  <c r="AE263" i="31"/>
  <c r="AE264" i="31"/>
  <c r="AE265" i="31"/>
  <c r="AE266" i="31"/>
  <c r="AE267" i="31"/>
  <c r="AE268" i="31"/>
  <c r="AE269" i="31"/>
  <c r="AE270" i="31"/>
  <c r="AE271" i="31"/>
  <c r="AE272" i="31"/>
  <c r="AE273" i="31"/>
  <c r="AE274" i="31"/>
  <c r="AE275" i="31"/>
  <c r="AE276" i="31"/>
  <c r="AE277" i="31"/>
  <c r="AE278" i="31"/>
  <c r="AE279" i="31"/>
  <c r="AE280" i="31"/>
  <c r="AE281" i="31"/>
  <c r="AE282" i="31"/>
  <c r="AE283" i="31"/>
  <c r="AE284" i="31"/>
  <c r="AE285" i="31"/>
  <c r="AE286" i="31"/>
  <c r="AE287" i="31"/>
  <c r="AE288" i="31"/>
  <c r="AE289" i="31"/>
  <c r="AE290" i="31"/>
  <c r="AE291" i="31"/>
  <c r="AE292" i="31"/>
  <c r="AE293" i="31"/>
  <c r="AE294" i="31"/>
  <c r="AE295" i="31"/>
  <c r="AE296" i="31"/>
  <c r="AE297" i="31"/>
  <c r="AE298" i="31"/>
  <c r="AE299" i="31"/>
  <c r="AE300" i="31"/>
  <c r="AE301" i="31"/>
  <c r="AE302" i="31"/>
  <c r="AE303" i="31"/>
  <c r="AE304" i="31"/>
  <c r="AE305" i="31"/>
  <c r="AE306" i="31"/>
  <c r="AE307" i="31"/>
  <c r="AE308" i="31"/>
  <c r="AE309" i="31"/>
  <c r="AE310" i="31"/>
  <c r="AE311" i="31"/>
  <c r="AE312" i="31"/>
  <c r="AE313" i="31"/>
  <c r="AE314" i="31"/>
  <c r="AE315" i="31"/>
  <c r="AE316" i="31"/>
  <c r="AE317" i="31"/>
  <c r="AE318" i="31"/>
  <c r="AE319" i="31"/>
  <c r="AE320" i="31"/>
  <c r="AE321" i="31"/>
  <c r="AE322" i="31"/>
  <c r="AE323" i="31"/>
  <c r="AE324" i="31"/>
  <c r="AE325" i="31"/>
  <c r="AE326" i="31"/>
  <c r="AE327" i="31"/>
  <c r="AE328" i="31"/>
  <c r="AE329" i="31"/>
  <c r="AE330" i="31"/>
  <c r="AE331" i="31"/>
  <c r="AE332" i="31"/>
  <c r="AE333" i="31"/>
  <c r="AE334" i="31"/>
  <c r="AE335" i="31"/>
  <c r="AE336" i="31"/>
  <c r="AE337" i="31"/>
  <c r="AE338" i="31"/>
  <c r="AE339" i="31"/>
  <c r="AE340" i="31"/>
  <c r="AE341" i="31"/>
  <c r="AE342" i="31"/>
  <c r="AE343" i="31"/>
  <c r="AE344" i="31"/>
  <c r="AE345" i="31"/>
  <c r="AE346" i="31"/>
  <c r="AE347" i="31"/>
  <c r="AE348" i="31"/>
  <c r="AE349" i="31"/>
  <c r="AE350" i="31"/>
  <c r="AE351" i="31"/>
  <c r="AE352" i="31"/>
  <c r="AE353" i="31"/>
  <c r="AE354" i="31"/>
  <c r="AE355" i="31"/>
  <c r="AE356" i="31"/>
  <c r="AE357" i="31"/>
  <c r="AE358" i="31"/>
  <c r="AE359" i="31"/>
  <c r="AE360" i="31"/>
  <c r="AE361" i="31"/>
  <c r="AE362" i="31"/>
  <c r="AE363" i="31"/>
  <c r="AE364" i="31"/>
  <c r="AE365" i="31"/>
  <c r="AE366" i="31"/>
  <c r="AE367" i="31"/>
  <c r="AE368" i="31"/>
  <c r="AE369" i="31"/>
  <c r="AE370" i="31"/>
  <c r="AE371" i="31"/>
  <c r="AE372" i="31"/>
  <c r="AE373" i="31"/>
  <c r="AE374" i="31"/>
  <c r="AE375" i="31"/>
  <c r="AE376" i="31"/>
  <c r="AE377" i="31"/>
  <c r="AE378" i="31"/>
  <c r="AE379" i="31"/>
  <c r="AE380" i="31"/>
  <c r="AE381" i="31"/>
  <c r="AE382" i="31"/>
  <c r="AE383" i="31"/>
  <c r="AE384" i="31"/>
  <c r="AE385" i="31"/>
  <c r="AE386" i="31"/>
  <c r="AE387" i="31"/>
  <c r="AE388" i="31"/>
  <c r="AE389" i="31"/>
  <c r="AE390" i="31"/>
  <c r="AE391" i="31"/>
  <c r="AE392" i="31"/>
  <c r="AE393" i="31"/>
  <c r="AE394" i="31"/>
  <c r="AE395" i="31"/>
  <c r="AE396" i="31"/>
  <c r="AE397" i="31"/>
  <c r="AE398" i="31"/>
  <c r="AE399" i="31"/>
  <c r="AE400" i="31"/>
  <c r="AE401" i="31"/>
  <c r="AE402" i="31"/>
  <c r="AE403" i="31"/>
  <c r="AE404" i="31"/>
  <c r="AE405" i="31"/>
  <c r="AE406" i="31"/>
  <c r="AE407" i="31"/>
  <c r="AE408" i="31"/>
  <c r="AE409" i="31"/>
  <c r="AE410" i="31"/>
  <c r="AE411" i="31"/>
  <c r="AE412" i="31"/>
  <c r="AE413" i="31"/>
  <c r="AE414" i="31"/>
  <c r="AE415" i="31"/>
  <c r="AE416" i="31"/>
  <c r="AE417" i="31"/>
  <c r="AE418" i="31"/>
  <c r="AE419" i="31"/>
  <c r="AE420" i="31"/>
  <c r="AE421" i="31"/>
  <c r="AE422" i="31"/>
  <c r="AE423" i="31"/>
  <c r="AE424" i="31"/>
  <c r="AE425" i="31"/>
  <c r="AE426" i="31"/>
  <c r="AE427" i="31"/>
  <c r="AE428" i="31"/>
  <c r="AE429" i="31"/>
  <c r="AE430" i="31"/>
  <c r="AE431" i="31"/>
  <c r="AE432" i="31"/>
  <c r="AE433" i="31"/>
  <c r="AE434" i="31"/>
  <c r="AE435" i="31"/>
  <c r="AE436" i="31"/>
  <c r="AE437" i="31"/>
  <c r="AE438" i="31"/>
  <c r="AE439" i="31"/>
  <c r="AE440" i="31"/>
  <c r="AE441" i="31"/>
  <c r="AE442" i="31"/>
  <c r="AE443" i="31"/>
  <c r="AE444" i="31"/>
  <c r="AE445" i="31"/>
  <c r="AE446" i="31"/>
  <c r="AE447" i="31"/>
  <c r="AE448" i="31"/>
  <c r="AE449" i="31"/>
  <c r="AE450" i="31"/>
  <c r="AE451" i="31"/>
  <c r="AE452" i="31"/>
  <c r="AE453" i="31"/>
  <c r="AE454" i="31"/>
  <c r="AE455" i="31"/>
  <c r="AE456" i="31"/>
  <c r="AE457" i="31"/>
  <c r="AE458" i="31"/>
  <c r="AE459" i="31"/>
  <c r="AE460" i="31"/>
  <c r="AE461" i="31"/>
  <c r="AE462" i="31"/>
  <c r="AE463" i="31"/>
  <c r="AE464" i="31"/>
  <c r="AE465" i="31"/>
  <c r="AE466" i="31"/>
  <c r="AE467" i="31"/>
  <c r="AE468" i="31"/>
  <c r="AE469" i="31"/>
  <c r="AE470" i="31"/>
  <c r="AE471" i="31"/>
  <c r="AE472" i="31"/>
  <c r="AE473" i="31"/>
  <c r="AE474" i="31"/>
  <c r="AE475" i="31"/>
  <c r="AE476" i="31"/>
  <c r="AE477" i="31"/>
  <c r="AE478" i="31"/>
  <c r="AE479" i="31"/>
  <c r="AE480" i="31"/>
  <c r="AE481" i="31"/>
  <c r="AE482" i="31"/>
  <c r="AE483" i="31"/>
  <c r="AE484" i="31"/>
  <c r="AE485" i="31"/>
  <c r="AE486" i="31"/>
  <c r="AE487" i="31"/>
  <c r="AE488" i="31"/>
  <c r="AE489" i="31"/>
  <c r="AE490" i="31"/>
  <c r="AE491" i="31"/>
  <c r="AE492" i="31"/>
  <c r="AE493" i="31"/>
  <c r="AE494" i="31"/>
  <c r="AE495" i="31"/>
  <c r="AE496" i="31"/>
  <c r="AE497" i="31"/>
  <c r="AE498" i="31"/>
  <c r="AE499" i="31"/>
  <c r="AE500" i="31"/>
  <c r="AE501" i="31"/>
  <c r="AE502" i="31"/>
  <c r="AE503" i="31"/>
  <c r="AE504" i="31"/>
  <c r="AE505" i="31"/>
  <c r="AE506" i="31"/>
  <c r="AE507" i="31"/>
  <c r="AE508" i="31"/>
  <c r="AE509" i="31"/>
  <c r="AE510" i="31"/>
  <c r="AE511" i="31"/>
  <c r="AE512" i="31"/>
  <c r="AE513" i="31"/>
  <c r="AE514" i="31"/>
  <c r="AE515" i="31"/>
  <c r="AE516" i="31"/>
  <c r="AE517" i="31"/>
  <c r="AE518" i="31"/>
  <c r="AE519" i="31"/>
  <c r="AE520" i="31"/>
  <c r="AE521" i="31"/>
  <c r="AE522" i="31"/>
  <c r="AE523" i="31"/>
  <c r="AE524" i="31"/>
  <c r="AE525" i="31"/>
  <c r="AE526" i="31"/>
  <c r="AE527" i="31"/>
  <c r="AE528" i="31"/>
  <c r="AE529" i="31"/>
  <c r="AE530" i="31"/>
  <c r="AE531" i="31"/>
  <c r="AE532" i="31"/>
  <c r="AE533" i="31"/>
  <c r="AE534" i="31"/>
  <c r="AE535" i="31"/>
  <c r="AE536" i="31"/>
  <c r="AE537" i="31"/>
  <c r="AE538" i="31"/>
  <c r="AE539" i="31"/>
  <c r="AE540" i="31"/>
  <c r="AE541" i="31"/>
  <c r="AE542" i="31"/>
  <c r="AE543" i="31"/>
  <c r="AE544" i="31"/>
  <c r="AE545" i="31"/>
  <c r="AE546" i="31"/>
  <c r="AE547" i="31"/>
  <c r="AE548" i="31"/>
  <c r="AE549" i="31"/>
  <c r="AE550" i="31"/>
  <c r="AE551" i="31"/>
  <c r="AE552" i="31"/>
  <c r="AE553" i="31"/>
  <c r="AE554" i="31"/>
  <c r="AE555" i="31"/>
  <c r="AE556" i="31"/>
  <c r="AE557" i="31"/>
  <c r="AE558" i="31"/>
  <c r="AE559" i="31"/>
  <c r="AE560" i="31"/>
  <c r="AE561" i="31"/>
  <c r="AE562" i="31"/>
  <c r="AE563" i="31"/>
  <c r="AE564" i="31"/>
  <c r="AE565" i="31"/>
  <c r="AE566" i="31"/>
  <c r="AE567" i="31"/>
  <c r="AE568" i="31"/>
  <c r="AE569" i="31"/>
  <c r="AE570" i="31"/>
  <c r="AE571" i="31"/>
  <c r="AE572" i="31"/>
  <c r="AE573" i="31"/>
  <c r="AE574" i="31"/>
  <c r="AE575" i="31"/>
  <c r="AE576" i="31"/>
  <c r="AE577" i="31"/>
  <c r="AE578" i="31"/>
  <c r="AE579" i="31"/>
  <c r="AE580" i="31"/>
  <c r="AE581" i="31"/>
  <c r="AE582" i="31"/>
  <c r="AE583" i="31"/>
  <c r="AE584" i="31"/>
  <c r="AE585" i="31"/>
  <c r="AE586" i="31"/>
  <c r="AE587" i="31"/>
  <c r="AE588" i="31"/>
  <c r="AE589" i="31"/>
  <c r="AE590" i="31"/>
  <c r="AE591" i="31"/>
  <c r="AE592" i="31"/>
  <c r="AE593" i="31"/>
  <c r="AE594" i="31"/>
  <c r="AE595" i="31"/>
  <c r="AE596" i="31"/>
  <c r="AE597" i="31"/>
  <c r="AE598" i="31"/>
  <c r="AE599" i="31"/>
  <c r="AE600" i="31"/>
  <c r="AE601" i="31"/>
  <c r="AE602" i="31"/>
  <c r="AE603" i="31"/>
  <c r="AE604" i="31"/>
  <c r="AE605" i="31"/>
  <c r="AE606" i="31"/>
  <c r="AE607" i="31"/>
  <c r="AE608" i="31"/>
  <c r="AE609" i="31"/>
  <c r="AE610" i="31"/>
  <c r="AE611" i="31"/>
  <c r="AE612" i="31"/>
  <c r="AE613" i="31"/>
  <c r="AE614" i="31"/>
  <c r="AE615" i="31"/>
  <c r="AE616" i="31"/>
  <c r="AE617" i="31"/>
  <c r="AE618" i="31"/>
  <c r="AE619" i="31"/>
  <c r="AE620" i="31"/>
  <c r="AE621" i="31"/>
  <c r="AE622" i="31"/>
  <c r="AE623" i="31"/>
  <c r="AE624" i="31"/>
  <c r="AE625" i="31"/>
  <c r="AE626" i="31"/>
  <c r="AE627" i="31"/>
  <c r="AE628" i="31"/>
  <c r="AE629" i="31"/>
  <c r="AE630" i="31"/>
  <c r="AE631" i="31"/>
  <c r="AE632" i="31"/>
  <c r="AE633" i="31"/>
  <c r="AE634" i="31"/>
  <c r="AE635" i="31"/>
  <c r="AE636" i="31"/>
  <c r="AE637" i="31"/>
  <c r="AE638" i="31"/>
  <c r="AE639" i="31"/>
  <c r="AE640" i="31"/>
  <c r="AE641" i="31"/>
  <c r="AE642" i="31"/>
  <c r="AE643" i="31"/>
  <c r="AE644" i="31"/>
  <c r="AE645" i="31"/>
  <c r="AE646" i="31"/>
  <c r="AE647" i="31"/>
  <c r="AE648" i="31"/>
  <c r="AE649" i="31"/>
  <c r="AE650" i="31"/>
  <c r="AE651" i="31"/>
  <c r="AE652" i="31"/>
  <c r="AE653" i="31"/>
  <c r="AE654" i="31"/>
  <c r="AE655" i="31"/>
  <c r="AE656" i="31"/>
  <c r="AE657" i="31"/>
  <c r="AE658" i="31"/>
  <c r="AE659" i="31"/>
  <c r="AE660" i="31"/>
  <c r="AE661" i="31"/>
  <c r="AE662" i="31"/>
  <c r="AE663" i="31"/>
  <c r="AE664" i="31"/>
  <c r="AE665" i="31"/>
  <c r="AE666" i="31"/>
  <c r="AE667" i="31"/>
  <c r="AE668" i="31"/>
  <c r="AE9" i="31"/>
  <c r="AC10" i="31"/>
  <c r="AC11" i="31"/>
  <c r="AC12" i="31"/>
  <c r="AC13" i="31"/>
  <c r="AC14" i="31"/>
  <c r="AC15" i="31"/>
  <c r="AC16" i="31"/>
  <c r="AC17" i="31"/>
  <c r="AC18" i="31"/>
  <c r="AC19" i="31"/>
  <c r="AC20" i="31"/>
  <c r="AC21" i="31"/>
  <c r="AC22" i="31"/>
  <c r="AC23" i="31"/>
  <c r="AC24" i="31"/>
  <c r="AC25" i="31"/>
  <c r="AC26" i="31"/>
  <c r="AC27" i="31"/>
  <c r="AC28" i="31"/>
  <c r="AC29" i="31"/>
  <c r="AC30" i="31"/>
  <c r="AC31" i="31"/>
  <c r="AC32" i="31"/>
  <c r="AC33" i="31"/>
  <c r="AC34" i="31"/>
  <c r="AC35" i="31"/>
  <c r="AC36" i="31"/>
  <c r="AC37" i="31"/>
  <c r="AC38" i="31"/>
  <c r="AC39" i="31"/>
  <c r="AC40" i="31"/>
  <c r="AC41" i="31"/>
  <c r="AC42" i="31"/>
  <c r="AC43" i="31"/>
  <c r="AC44" i="31"/>
  <c r="AC45" i="31"/>
  <c r="AC46" i="31"/>
  <c r="AC47" i="31"/>
  <c r="AC48" i="31"/>
  <c r="AC49" i="31"/>
  <c r="AC50" i="31"/>
  <c r="AC51" i="31"/>
  <c r="AC52" i="31"/>
  <c r="AC53" i="31"/>
  <c r="AC54" i="31"/>
  <c r="AC55" i="31"/>
  <c r="AC56" i="31"/>
  <c r="AC57" i="31"/>
  <c r="AC58" i="31"/>
  <c r="AC59" i="31"/>
  <c r="AC60" i="31"/>
  <c r="AC61" i="31"/>
  <c r="AC62" i="31"/>
  <c r="AC63" i="31"/>
  <c r="AC64" i="31"/>
  <c r="AC65" i="31"/>
  <c r="AC66" i="31"/>
  <c r="AC67" i="31"/>
  <c r="AC68" i="31"/>
  <c r="AC69" i="31"/>
  <c r="AC70" i="31"/>
  <c r="AC71" i="31"/>
  <c r="AC72" i="31"/>
  <c r="AC73" i="31"/>
  <c r="AC74" i="31"/>
  <c r="AC75" i="31"/>
  <c r="AC76" i="31"/>
  <c r="AC77" i="31"/>
  <c r="AC78" i="31"/>
  <c r="AC79" i="31"/>
  <c r="AC80" i="31"/>
  <c r="AC81" i="31"/>
  <c r="AC82" i="31"/>
  <c r="AC83" i="31"/>
  <c r="AC84" i="31"/>
  <c r="AC85" i="31"/>
  <c r="AC86" i="31"/>
  <c r="AC87" i="31"/>
  <c r="AC88" i="31"/>
  <c r="AC89" i="31"/>
  <c r="AC90" i="31"/>
  <c r="AC91" i="31"/>
  <c r="AC92" i="31"/>
  <c r="AC93" i="31"/>
  <c r="AC94" i="31"/>
  <c r="AC95" i="31"/>
  <c r="AC96" i="31"/>
  <c r="AC97" i="31"/>
  <c r="AC98" i="31"/>
  <c r="AC99" i="31"/>
  <c r="AC100" i="31"/>
  <c r="AC101" i="31"/>
  <c r="AC102" i="31"/>
  <c r="AC103" i="31"/>
  <c r="AC104" i="31"/>
  <c r="AC105" i="31"/>
  <c r="AC106" i="31"/>
  <c r="AC107" i="31"/>
  <c r="AC108" i="31"/>
  <c r="AC109" i="31"/>
  <c r="AC110" i="31"/>
  <c r="AC111" i="31"/>
  <c r="AC112" i="31"/>
  <c r="AC113" i="31"/>
  <c r="AC114" i="31"/>
  <c r="AC115" i="31"/>
  <c r="AC116" i="31"/>
  <c r="AC117" i="31"/>
  <c r="AC118" i="31"/>
  <c r="AC119" i="31"/>
  <c r="AC120" i="31"/>
  <c r="AC121" i="31"/>
  <c r="AC122" i="31"/>
  <c r="AC123" i="31"/>
  <c r="AC124" i="31"/>
  <c r="AC125" i="31"/>
  <c r="AC126" i="31"/>
  <c r="AC127" i="31"/>
  <c r="AC128" i="31"/>
  <c r="AC129" i="31"/>
  <c r="AC130" i="31"/>
  <c r="AC131" i="31"/>
  <c r="AC132" i="31"/>
  <c r="AC133" i="31"/>
  <c r="AC134" i="31"/>
  <c r="AC135" i="31"/>
  <c r="AC136" i="31"/>
  <c r="AC137" i="31"/>
  <c r="AC138" i="31"/>
  <c r="AC139" i="31"/>
  <c r="AC140" i="31"/>
  <c r="AC141" i="31"/>
  <c r="AC142" i="31"/>
  <c r="AC143" i="31"/>
  <c r="AC144" i="31"/>
  <c r="AC145" i="31"/>
  <c r="AC146" i="31"/>
  <c r="AC147" i="31"/>
  <c r="AC148" i="31"/>
  <c r="AC149" i="31"/>
  <c r="AC150" i="31"/>
  <c r="AC151" i="31"/>
  <c r="AC152" i="31"/>
  <c r="AC153" i="31"/>
  <c r="AC154" i="31"/>
  <c r="AC155" i="31"/>
  <c r="AC156" i="31"/>
  <c r="AC157" i="31"/>
  <c r="AC158" i="31"/>
  <c r="AC159" i="31"/>
  <c r="AC160" i="31"/>
  <c r="AC161" i="31"/>
  <c r="AC162" i="31"/>
  <c r="AC163" i="31"/>
  <c r="AC164" i="31"/>
  <c r="AC165" i="31"/>
  <c r="AC166" i="31"/>
  <c r="AC167" i="31"/>
  <c r="AC168" i="31"/>
  <c r="AC169" i="31"/>
  <c r="AC170" i="31"/>
  <c r="AC171" i="31"/>
  <c r="AC172" i="31"/>
  <c r="AC173" i="31"/>
  <c r="AC174" i="31"/>
  <c r="AC175" i="31"/>
  <c r="AC176" i="31"/>
  <c r="AC177" i="31"/>
  <c r="AC178" i="31"/>
  <c r="AC179" i="31"/>
  <c r="AC180" i="31"/>
  <c r="AC181" i="31"/>
  <c r="AC182" i="31"/>
  <c r="AC183" i="31"/>
  <c r="AC184" i="31"/>
  <c r="AC185" i="31"/>
  <c r="AC186" i="31"/>
  <c r="AC187" i="31"/>
  <c r="AC188" i="31"/>
  <c r="AC189" i="31"/>
  <c r="AC190" i="31"/>
  <c r="AC191" i="31"/>
  <c r="AC192" i="31"/>
  <c r="AC193" i="31"/>
  <c r="AC194" i="31"/>
  <c r="AC195" i="31"/>
  <c r="AC196" i="31"/>
  <c r="AC197" i="31"/>
  <c r="AC198" i="31"/>
  <c r="AC199" i="31"/>
  <c r="AC200" i="31"/>
  <c r="AC201" i="31"/>
  <c r="AC202" i="31"/>
  <c r="AC203" i="31"/>
  <c r="AC204" i="31"/>
  <c r="AC205" i="31"/>
  <c r="AC206" i="31"/>
  <c r="AC207" i="31"/>
  <c r="AC208" i="31"/>
  <c r="AC209" i="31"/>
  <c r="AC210" i="31"/>
  <c r="AC211" i="31"/>
  <c r="AC212" i="31"/>
  <c r="AC213" i="31"/>
  <c r="AC214" i="31"/>
  <c r="AC215" i="31"/>
  <c r="AC216" i="31"/>
  <c r="AC217" i="31"/>
  <c r="AC218" i="31"/>
  <c r="AC219" i="31"/>
  <c r="AC220" i="31"/>
  <c r="AC221" i="31"/>
  <c r="AC222" i="31"/>
  <c r="AC223" i="31"/>
  <c r="AC224" i="31"/>
  <c r="AC225" i="31"/>
  <c r="AC226" i="31"/>
  <c r="AC227" i="31"/>
  <c r="AC228" i="31"/>
  <c r="AC229" i="31"/>
  <c r="AC230" i="31"/>
  <c r="AC231" i="31"/>
  <c r="AC232" i="31"/>
  <c r="AC233" i="31"/>
  <c r="AC234" i="31"/>
  <c r="AC235" i="31"/>
  <c r="AC236" i="31"/>
  <c r="AC237" i="31"/>
  <c r="AC238" i="31"/>
  <c r="AC239" i="31"/>
  <c r="AC240" i="31"/>
  <c r="AC241" i="31"/>
  <c r="AC242" i="31"/>
  <c r="AC243" i="31"/>
  <c r="AC244" i="31"/>
  <c r="AC245" i="31"/>
  <c r="AC246" i="31"/>
  <c r="AC247" i="31"/>
  <c r="AC248" i="31"/>
  <c r="AC249" i="31"/>
  <c r="AC250" i="31"/>
  <c r="AC251" i="31"/>
  <c r="AC252" i="31"/>
  <c r="AC253" i="31"/>
  <c r="AC254" i="31"/>
  <c r="AC255" i="31"/>
  <c r="AC256" i="31"/>
  <c r="AC257" i="31"/>
  <c r="AC258" i="31"/>
  <c r="AC259" i="31"/>
  <c r="AC260" i="31"/>
  <c r="AC261" i="31"/>
  <c r="AC262" i="31"/>
  <c r="AC263" i="31"/>
  <c r="AC264" i="31"/>
  <c r="AC265" i="31"/>
  <c r="AC266" i="31"/>
  <c r="AC267" i="31"/>
  <c r="AC268" i="31"/>
  <c r="AC269" i="31"/>
  <c r="AC270" i="31"/>
  <c r="AC271" i="31"/>
  <c r="AC272" i="31"/>
  <c r="AC273" i="31"/>
  <c r="AC274" i="31"/>
  <c r="AC275" i="31"/>
  <c r="AC276" i="31"/>
  <c r="AC277" i="31"/>
  <c r="AC278" i="31"/>
  <c r="AC279" i="31"/>
  <c r="AC280" i="31"/>
  <c r="AC281" i="31"/>
  <c r="AC282" i="31"/>
  <c r="AC283" i="31"/>
  <c r="AC284" i="31"/>
  <c r="AC285" i="31"/>
  <c r="AC286" i="31"/>
  <c r="AC287" i="31"/>
  <c r="AC288" i="31"/>
  <c r="AC289" i="31"/>
  <c r="AC290" i="31"/>
  <c r="AC291" i="31"/>
  <c r="AC292" i="31"/>
  <c r="AC293" i="31"/>
  <c r="AC294" i="31"/>
  <c r="AC295" i="31"/>
  <c r="AC296" i="31"/>
  <c r="AC297" i="31"/>
  <c r="AC298" i="31"/>
  <c r="AC299" i="31"/>
  <c r="AC300" i="31"/>
  <c r="AC301" i="31"/>
  <c r="AC302" i="31"/>
  <c r="AC303" i="31"/>
  <c r="AC304" i="31"/>
  <c r="AC305" i="31"/>
  <c r="AC306" i="31"/>
  <c r="AC307" i="31"/>
  <c r="AC308" i="31"/>
  <c r="AC309" i="31"/>
  <c r="AC310" i="31"/>
  <c r="AC311" i="31"/>
  <c r="AC312" i="31"/>
  <c r="AC313" i="31"/>
  <c r="AC314" i="31"/>
  <c r="AC315" i="31"/>
  <c r="AC316" i="31"/>
  <c r="AC317" i="31"/>
  <c r="AC318" i="31"/>
  <c r="AC319" i="31"/>
  <c r="AC320" i="31"/>
  <c r="AC321" i="31"/>
  <c r="AC322" i="31"/>
  <c r="AC323" i="31"/>
  <c r="AC324" i="31"/>
  <c r="AC325" i="31"/>
  <c r="AC326" i="31"/>
  <c r="AC327" i="31"/>
  <c r="AC328" i="31"/>
  <c r="AC329" i="31"/>
  <c r="AC330" i="31"/>
  <c r="AC331" i="31"/>
  <c r="AC332" i="31"/>
  <c r="AC333" i="31"/>
  <c r="AC334" i="31"/>
  <c r="AC335" i="31"/>
  <c r="AC336" i="31"/>
  <c r="AC337" i="31"/>
  <c r="AC338" i="31"/>
  <c r="AC339" i="31"/>
  <c r="AC340" i="31"/>
  <c r="AC341" i="31"/>
  <c r="AC342" i="31"/>
  <c r="AC343" i="31"/>
  <c r="AC344" i="31"/>
  <c r="AC345" i="31"/>
  <c r="AC346" i="31"/>
  <c r="AC347" i="31"/>
  <c r="AC348" i="31"/>
  <c r="AC349" i="31"/>
  <c r="AC350" i="31"/>
  <c r="AC351" i="31"/>
  <c r="AC352" i="31"/>
  <c r="AC353" i="31"/>
  <c r="AC354" i="31"/>
  <c r="AC355" i="31"/>
  <c r="AC356" i="31"/>
  <c r="AC357" i="31"/>
  <c r="AC358" i="31"/>
  <c r="AC359" i="31"/>
  <c r="AC360" i="31"/>
  <c r="AC361" i="31"/>
  <c r="AC362" i="31"/>
  <c r="AC363" i="31"/>
  <c r="AC364" i="31"/>
  <c r="AC365" i="31"/>
  <c r="AC366" i="31"/>
  <c r="AC367" i="31"/>
  <c r="AC368" i="31"/>
  <c r="AC369" i="31"/>
  <c r="AC370" i="31"/>
  <c r="AC371" i="31"/>
  <c r="AC372" i="31"/>
  <c r="AC373" i="31"/>
  <c r="AC374" i="31"/>
  <c r="AC375" i="31"/>
  <c r="AC376" i="31"/>
  <c r="AC377" i="31"/>
  <c r="AC378" i="31"/>
  <c r="AC379" i="31"/>
  <c r="AC380" i="31"/>
  <c r="AC381" i="31"/>
  <c r="AC382" i="31"/>
  <c r="AC383" i="31"/>
  <c r="AC384" i="31"/>
  <c r="AC385" i="31"/>
  <c r="AC386" i="31"/>
  <c r="AC387" i="31"/>
  <c r="AC388" i="31"/>
  <c r="AC389" i="31"/>
  <c r="AC390" i="31"/>
  <c r="AC391" i="31"/>
  <c r="AC392" i="31"/>
  <c r="AC393" i="31"/>
  <c r="AC394" i="31"/>
  <c r="AC395" i="31"/>
  <c r="AC396" i="31"/>
  <c r="AC397" i="31"/>
  <c r="AC398" i="31"/>
  <c r="AC399" i="31"/>
  <c r="AC400" i="31"/>
  <c r="AC401" i="31"/>
  <c r="AC402" i="31"/>
  <c r="AC403" i="31"/>
  <c r="AC404" i="31"/>
  <c r="AC405" i="31"/>
  <c r="AC406" i="31"/>
  <c r="AC407" i="31"/>
  <c r="AC408" i="31"/>
  <c r="AC409" i="31"/>
  <c r="AC410" i="31"/>
  <c r="AC411" i="31"/>
  <c r="AC412" i="31"/>
  <c r="AC413" i="31"/>
  <c r="AC414" i="31"/>
  <c r="AC415" i="31"/>
  <c r="AC416" i="31"/>
  <c r="AC417" i="31"/>
  <c r="AC418" i="31"/>
  <c r="AC419" i="31"/>
  <c r="AC420" i="31"/>
  <c r="AC421" i="31"/>
  <c r="AC422" i="31"/>
  <c r="AC423" i="31"/>
  <c r="AC424" i="31"/>
  <c r="AC425" i="31"/>
  <c r="AC426" i="31"/>
  <c r="AC427" i="31"/>
  <c r="AC428" i="31"/>
  <c r="AC429" i="31"/>
  <c r="AC430" i="31"/>
  <c r="AC431" i="31"/>
  <c r="AC432" i="31"/>
  <c r="AC433" i="31"/>
  <c r="AC434" i="31"/>
  <c r="AC435" i="31"/>
  <c r="AC436" i="31"/>
  <c r="AC437" i="31"/>
  <c r="AC438" i="31"/>
  <c r="AC439" i="31"/>
  <c r="AC440" i="31"/>
  <c r="AC441" i="31"/>
  <c r="AC442" i="31"/>
  <c r="AC443" i="31"/>
  <c r="AC444" i="31"/>
  <c r="AC445" i="31"/>
  <c r="AC446" i="31"/>
  <c r="AC447" i="31"/>
  <c r="AC448" i="31"/>
  <c r="AC449" i="31"/>
  <c r="AC450" i="31"/>
  <c r="AC451" i="31"/>
  <c r="AC452" i="31"/>
  <c r="AC453" i="31"/>
  <c r="AC454" i="31"/>
  <c r="AC455" i="31"/>
  <c r="AC456" i="31"/>
  <c r="AC457" i="31"/>
  <c r="AC458" i="31"/>
  <c r="AC459" i="31"/>
  <c r="AC460" i="31"/>
  <c r="AC461" i="31"/>
  <c r="AC462" i="31"/>
  <c r="AC463" i="31"/>
  <c r="AC464" i="31"/>
  <c r="AC465" i="31"/>
  <c r="AC466" i="31"/>
  <c r="AC467" i="31"/>
  <c r="AC468" i="31"/>
  <c r="AC469" i="31"/>
  <c r="AC470" i="31"/>
  <c r="AC471" i="31"/>
  <c r="AC472" i="31"/>
  <c r="AC473" i="31"/>
  <c r="AC474" i="31"/>
  <c r="AC475" i="31"/>
  <c r="AC476" i="31"/>
  <c r="AC477" i="31"/>
  <c r="AC478" i="31"/>
  <c r="AC479" i="31"/>
  <c r="AC480" i="31"/>
  <c r="AC481" i="31"/>
  <c r="AC482" i="31"/>
  <c r="AC483" i="31"/>
  <c r="AC484" i="31"/>
  <c r="AC485" i="31"/>
  <c r="AC486" i="31"/>
  <c r="AC487" i="31"/>
  <c r="AC488" i="31"/>
  <c r="AC489" i="31"/>
  <c r="AC490" i="31"/>
  <c r="AC491" i="31"/>
  <c r="AC492" i="31"/>
  <c r="AC493" i="31"/>
  <c r="AC494" i="31"/>
  <c r="AC495" i="31"/>
  <c r="AC496" i="31"/>
  <c r="AC497" i="31"/>
  <c r="AC498" i="31"/>
  <c r="AC499" i="31"/>
  <c r="AC500" i="31"/>
  <c r="AC501" i="31"/>
  <c r="AC502" i="31"/>
  <c r="AC503" i="31"/>
  <c r="AC504" i="31"/>
  <c r="AC505" i="31"/>
  <c r="AC506" i="31"/>
  <c r="AC507" i="31"/>
  <c r="AC508" i="31"/>
  <c r="AC509" i="31"/>
  <c r="AC510" i="31"/>
  <c r="AC511" i="31"/>
  <c r="AC512" i="31"/>
  <c r="AC513" i="31"/>
  <c r="AC514" i="31"/>
  <c r="AC515" i="31"/>
  <c r="AC516" i="31"/>
  <c r="AC517" i="31"/>
  <c r="AC518" i="31"/>
  <c r="AC519" i="31"/>
  <c r="AC520" i="31"/>
  <c r="AC521" i="31"/>
  <c r="AC522" i="31"/>
  <c r="AC523" i="31"/>
  <c r="AC524" i="31"/>
  <c r="AC525" i="31"/>
  <c r="AC526" i="31"/>
  <c r="AC527" i="31"/>
  <c r="AC528" i="31"/>
  <c r="AC529" i="31"/>
  <c r="AC530" i="31"/>
  <c r="AC531" i="31"/>
  <c r="AC532" i="31"/>
  <c r="AC533" i="31"/>
  <c r="AC534" i="31"/>
  <c r="AC535" i="31"/>
  <c r="AC536" i="31"/>
  <c r="AC537" i="31"/>
  <c r="AC538" i="31"/>
  <c r="AC539" i="31"/>
  <c r="AC540" i="31"/>
  <c r="AC541" i="31"/>
  <c r="AC542" i="31"/>
  <c r="AC543" i="31"/>
  <c r="AC544" i="31"/>
  <c r="AC545" i="31"/>
  <c r="AC546" i="31"/>
  <c r="AC547" i="31"/>
  <c r="AC548" i="31"/>
  <c r="AC549" i="31"/>
  <c r="AC550" i="31"/>
  <c r="AC551" i="31"/>
  <c r="AC552" i="31"/>
  <c r="AC553" i="31"/>
  <c r="AC554" i="31"/>
  <c r="AC555" i="31"/>
  <c r="AC556" i="31"/>
  <c r="AC557" i="31"/>
  <c r="AC558" i="31"/>
  <c r="AC559" i="31"/>
  <c r="AC560" i="31"/>
  <c r="AC561" i="31"/>
  <c r="AC562" i="31"/>
  <c r="AC563" i="31"/>
  <c r="AC564" i="31"/>
  <c r="AC565" i="31"/>
  <c r="AC566" i="31"/>
  <c r="AC567" i="31"/>
  <c r="AC568" i="31"/>
  <c r="AC569" i="31"/>
  <c r="AC570" i="31"/>
  <c r="AC571" i="31"/>
  <c r="AC572" i="31"/>
  <c r="AC573" i="31"/>
  <c r="AC574" i="31"/>
  <c r="AC575" i="31"/>
  <c r="AC576" i="31"/>
  <c r="AC577" i="31"/>
  <c r="AC578" i="31"/>
  <c r="AC579" i="31"/>
  <c r="AC580" i="31"/>
  <c r="AC581" i="31"/>
  <c r="AC582" i="31"/>
  <c r="AC583" i="31"/>
  <c r="AC584" i="31"/>
  <c r="AC585" i="31"/>
  <c r="AC586" i="31"/>
  <c r="AC587" i="31"/>
  <c r="AC588" i="31"/>
  <c r="AC589" i="31"/>
  <c r="AC590" i="31"/>
  <c r="AC591" i="31"/>
  <c r="AC592" i="31"/>
  <c r="AC593" i="31"/>
  <c r="AC594" i="31"/>
  <c r="AC595" i="31"/>
  <c r="AC596" i="31"/>
  <c r="AC597" i="31"/>
  <c r="AC598" i="31"/>
  <c r="AC599" i="31"/>
  <c r="AC600" i="31"/>
  <c r="AC601" i="31"/>
  <c r="AC602" i="31"/>
  <c r="AC603" i="31"/>
  <c r="AC604" i="31"/>
  <c r="AC605" i="31"/>
  <c r="AC606" i="31"/>
  <c r="AC607" i="31"/>
  <c r="AC608" i="31"/>
  <c r="AC609" i="31"/>
  <c r="AC610" i="31"/>
  <c r="AC611" i="31"/>
  <c r="AC612" i="31"/>
  <c r="AC613" i="31"/>
  <c r="AC614" i="31"/>
  <c r="AC615" i="31"/>
  <c r="AC616" i="31"/>
  <c r="AC617" i="31"/>
  <c r="AC618" i="31"/>
  <c r="AC619" i="31"/>
  <c r="AC620" i="31"/>
  <c r="AC621" i="31"/>
  <c r="AC622" i="31"/>
  <c r="AC623" i="31"/>
  <c r="AC624" i="31"/>
  <c r="AC625" i="31"/>
  <c r="AC626" i="31"/>
  <c r="AC627" i="31"/>
  <c r="AC628" i="31"/>
  <c r="AC629" i="31"/>
  <c r="AC630" i="31"/>
  <c r="AC631" i="31"/>
  <c r="AC632" i="31"/>
  <c r="AC633" i="31"/>
  <c r="AC634" i="31"/>
  <c r="AC635" i="31"/>
  <c r="AC636" i="31"/>
  <c r="AC637" i="31"/>
  <c r="AC638" i="31"/>
  <c r="AC639" i="31"/>
  <c r="AC640" i="31"/>
  <c r="AC641" i="31"/>
  <c r="AC642" i="31"/>
  <c r="AC643" i="31"/>
  <c r="AC644" i="31"/>
  <c r="AC645" i="31"/>
  <c r="AC646" i="31"/>
  <c r="AC647" i="31"/>
  <c r="AC648" i="31"/>
  <c r="AC649" i="31"/>
  <c r="AC650" i="31"/>
  <c r="AC651" i="31"/>
  <c r="AC652" i="31"/>
  <c r="AC653" i="31"/>
  <c r="AC654" i="31"/>
  <c r="AC655" i="31"/>
  <c r="AC656" i="31"/>
  <c r="AC657" i="31"/>
  <c r="AC658" i="31"/>
  <c r="AC659" i="31"/>
  <c r="AC660" i="31"/>
  <c r="AC661" i="31"/>
  <c r="AC662" i="31"/>
  <c r="AC663" i="31"/>
  <c r="AC664" i="31"/>
  <c r="AC665" i="31"/>
  <c r="AC666" i="31"/>
  <c r="AC667" i="31"/>
  <c r="AC668" i="31"/>
  <c r="AC9" i="31"/>
  <c r="AD10" i="31"/>
  <c r="AD11" i="31"/>
  <c r="AD12" i="31"/>
  <c r="AD13" i="31"/>
  <c r="AD14" i="31"/>
  <c r="AD15" i="31"/>
  <c r="AD16" i="31"/>
  <c r="AD17" i="31"/>
  <c r="AD18" i="31"/>
  <c r="AD19" i="31"/>
  <c r="AD20" i="31"/>
  <c r="AD21" i="31"/>
  <c r="AD22" i="31"/>
  <c r="AD23" i="31"/>
  <c r="AD24" i="31"/>
  <c r="AD25" i="31"/>
  <c r="AD26" i="31"/>
  <c r="AD27" i="31"/>
  <c r="AD28" i="31"/>
  <c r="AD29" i="31"/>
  <c r="AD30" i="31"/>
  <c r="AD31" i="31"/>
  <c r="AD32" i="31"/>
  <c r="AD33" i="31"/>
  <c r="AD34" i="31"/>
  <c r="AD35" i="31"/>
  <c r="AD36" i="31"/>
  <c r="AD37" i="31"/>
  <c r="AD38" i="31"/>
  <c r="AD39" i="31"/>
  <c r="AD40" i="31"/>
  <c r="AD41" i="31"/>
  <c r="AD42" i="31"/>
  <c r="AD43" i="31"/>
  <c r="AD44" i="31"/>
  <c r="AD45" i="31"/>
  <c r="AD46" i="31"/>
  <c r="AD47" i="31"/>
  <c r="AD48" i="31"/>
  <c r="AD49" i="31"/>
  <c r="AD50" i="31"/>
  <c r="AD51" i="31"/>
  <c r="AD52" i="31"/>
  <c r="AD53" i="31"/>
  <c r="AD54" i="31"/>
  <c r="AD55" i="31"/>
  <c r="AD56" i="31"/>
  <c r="AD57" i="31"/>
  <c r="AD58" i="31"/>
  <c r="AD59" i="31"/>
  <c r="AD60" i="31"/>
  <c r="AD61" i="31"/>
  <c r="AD62" i="31"/>
  <c r="AD63" i="31"/>
  <c r="AD64" i="31"/>
  <c r="AD65" i="31"/>
  <c r="AD66" i="31"/>
  <c r="AD67" i="31"/>
  <c r="AD68" i="31"/>
  <c r="AD69" i="31"/>
  <c r="AD70" i="31"/>
  <c r="AD71" i="31"/>
  <c r="AD72" i="31"/>
  <c r="AD73" i="31"/>
  <c r="AD74" i="31"/>
  <c r="AD75" i="31"/>
  <c r="AD76" i="31"/>
  <c r="AD77" i="31"/>
  <c r="AD78" i="31"/>
  <c r="AD79" i="31"/>
  <c r="AD80" i="31"/>
  <c r="AD81" i="31"/>
  <c r="AD82" i="31"/>
  <c r="AD83" i="31"/>
  <c r="AD84" i="31"/>
  <c r="AD85" i="31"/>
  <c r="AD86" i="31"/>
  <c r="AD87" i="31"/>
  <c r="AD88" i="31"/>
  <c r="AD89" i="31"/>
  <c r="AD90" i="31"/>
  <c r="AD91" i="31"/>
  <c r="AD92" i="31"/>
  <c r="AD93" i="31"/>
  <c r="AD94" i="31"/>
  <c r="AD95" i="31"/>
  <c r="AD96" i="31"/>
  <c r="AD97" i="31"/>
  <c r="AD98" i="31"/>
  <c r="AD99" i="31"/>
  <c r="AD100" i="31"/>
  <c r="AD101" i="31"/>
  <c r="AD102" i="31"/>
  <c r="AD103" i="31"/>
  <c r="AD104" i="31"/>
  <c r="AD105" i="31"/>
  <c r="AD106" i="31"/>
  <c r="AD107" i="31"/>
  <c r="AD108" i="31"/>
  <c r="AD109" i="31"/>
  <c r="AD110" i="31"/>
  <c r="AD111" i="31"/>
  <c r="AD112" i="31"/>
  <c r="AD113" i="31"/>
  <c r="AD114" i="31"/>
  <c r="AD115" i="31"/>
  <c r="AD116" i="31"/>
  <c r="AD117" i="31"/>
  <c r="AD118" i="31"/>
  <c r="AD119" i="31"/>
  <c r="AD120" i="31"/>
  <c r="AD121" i="31"/>
  <c r="AD122" i="31"/>
  <c r="AD123" i="31"/>
  <c r="AD124" i="31"/>
  <c r="AD125" i="31"/>
  <c r="AD126" i="31"/>
  <c r="AD127" i="31"/>
  <c r="AD128" i="31"/>
  <c r="AD129" i="31"/>
  <c r="AD130" i="31"/>
  <c r="AD131" i="31"/>
  <c r="AD132" i="31"/>
  <c r="AD133" i="31"/>
  <c r="AD134" i="31"/>
  <c r="AD135" i="31"/>
  <c r="AD136" i="31"/>
  <c r="AD137" i="31"/>
  <c r="AD138" i="31"/>
  <c r="AD139" i="31"/>
  <c r="AD140" i="31"/>
  <c r="AD141" i="31"/>
  <c r="AD142" i="31"/>
  <c r="AD143" i="31"/>
  <c r="AD144" i="31"/>
  <c r="AD145" i="31"/>
  <c r="AD146" i="31"/>
  <c r="AD147" i="31"/>
  <c r="AD148" i="31"/>
  <c r="AD149" i="31"/>
  <c r="AD150" i="31"/>
  <c r="AD151" i="31"/>
  <c r="AD152" i="31"/>
  <c r="AD153" i="31"/>
  <c r="AD154" i="31"/>
  <c r="AD155" i="31"/>
  <c r="AD156" i="31"/>
  <c r="AD157" i="31"/>
  <c r="AD158" i="31"/>
  <c r="AD159" i="31"/>
  <c r="AD160" i="31"/>
  <c r="AD161" i="31"/>
  <c r="AD162" i="31"/>
  <c r="AD163" i="31"/>
  <c r="AD164" i="31"/>
  <c r="AD165" i="31"/>
  <c r="AD166" i="31"/>
  <c r="AD167" i="31"/>
  <c r="AD168" i="31"/>
  <c r="AD169" i="31"/>
  <c r="AD170" i="31"/>
  <c r="AD171" i="31"/>
  <c r="AD172" i="31"/>
  <c r="AD173" i="31"/>
  <c r="AD174" i="31"/>
  <c r="AD175" i="31"/>
  <c r="AD176" i="31"/>
  <c r="AD177" i="31"/>
  <c r="AD178" i="31"/>
  <c r="AD179" i="31"/>
  <c r="AD180" i="31"/>
  <c r="AD181" i="31"/>
  <c r="AD182" i="31"/>
  <c r="AD183" i="31"/>
  <c r="AD184" i="31"/>
  <c r="AD185" i="31"/>
  <c r="AD186" i="31"/>
  <c r="AD187" i="31"/>
  <c r="AD188" i="31"/>
  <c r="AD189" i="31"/>
  <c r="AD190" i="31"/>
  <c r="AD191" i="31"/>
  <c r="AD192" i="31"/>
  <c r="AD193" i="31"/>
  <c r="AD194" i="31"/>
  <c r="AD195" i="31"/>
  <c r="AD196" i="31"/>
  <c r="AD197" i="31"/>
  <c r="AD198" i="31"/>
  <c r="AD199" i="31"/>
  <c r="AD200" i="31"/>
  <c r="AD201" i="31"/>
  <c r="AD202" i="31"/>
  <c r="AD203" i="31"/>
  <c r="AD204" i="31"/>
  <c r="AD205" i="31"/>
  <c r="AD206" i="31"/>
  <c r="AD207" i="31"/>
  <c r="AD208" i="31"/>
  <c r="AD209" i="31"/>
  <c r="AD210" i="31"/>
  <c r="AD211" i="31"/>
  <c r="AD212" i="31"/>
  <c r="AD213" i="31"/>
  <c r="AD214" i="31"/>
  <c r="AD215" i="31"/>
  <c r="AD216" i="31"/>
  <c r="AD217" i="31"/>
  <c r="AD218" i="31"/>
  <c r="AD219" i="31"/>
  <c r="AD220" i="31"/>
  <c r="AD221" i="31"/>
  <c r="AD222" i="31"/>
  <c r="AD223" i="31"/>
  <c r="AD224" i="31"/>
  <c r="AD225" i="31"/>
  <c r="AD226" i="31"/>
  <c r="AD227" i="31"/>
  <c r="AD228" i="31"/>
  <c r="AD229" i="31"/>
  <c r="AD230" i="31"/>
  <c r="AD231" i="31"/>
  <c r="AD232" i="31"/>
  <c r="AD233" i="31"/>
  <c r="AD234" i="31"/>
  <c r="AD235" i="31"/>
  <c r="AD236" i="31"/>
  <c r="AD237" i="31"/>
  <c r="AD238" i="31"/>
  <c r="AD239" i="31"/>
  <c r="AD240" i="31"/>
  <c r="AD241" i="31"/>
  <c r="AD242" i="31"/>
  <c r="AD243" i="31"/>
  <c r="AD244" i="31"/>
  <c r="AD245" i="31"/>
  <c r="AD246" i="31"/>
  <c r="AD247" i="31"/>
  <c r="AD248" i="31"/>
  <c r="AD249" i="31"/>
  <c r="AD250" i="31"/>
  <c r="AD251" i="31"/>
  <c r="AD252" i="31"/>
  <c r="AD253" i="31"/>
  <c r="AD254" i="31"/>
  <c r="AD255" i="31"/>
  <c r="AD256" i="31"/>
  <c r="AD257" i="31"/>
  <c r="AD258" i="31"/>
  <c r="AD259" i="31"/>
  <c r="AD260" i="31"/>
  <c r="AD261" i="31"/>
  <c r="AD262" i="31"/>
  <c r="AD263" i="31"/>
  <c r="AD264" i="31"/>
  <c r="AD265" i="31"/>
  <c r="AD266" i="31"/>
  <c r="AD267" i="31"/>
  <c r="AD268" i="31"/>
  <c r="AD269" i="31"/>
  <c r="AD270" i="31"/>
  <c r="AD271" i="31"/>
  <c r="AD272" i="31"/>
  <c r="AD273" i="31"/>
  <c r="AD274" i="31"/>
  <c r="AD275" i="31"/>
  <c r="AD276" i="31"/>
  <c r="AD277" i="31"/>
  <c r="AD278" i="31"/>
  <c r="AD279" i="31"/>
  <c r="AD280" i="31"/>
  <c r="AD281" i="31"/>
  <c r="AD282" i="31"/>
  <c r="AD283" i="31"/>
  <c r="AD284" i="31"/>
  <c r="AD285" i="31"/>
  <c r="AD286" i="31"/>
  <c r="AD287" i="31"/>
  <c r="AD288" i="31"/>
  <c r="AD289" i="31"/>
  <c r="AD290" i="31"/>
  <c r="AD291" i="31"/>
  <c r="AD292" i="31"/>
  <c r="AD293" i="31"/>
  <c r="AD294" i="31"/>
  <c r="AD295" i="31"/>
  <c r="AD296" i="31"/>
  <c r="AD297" i="31"/>
  <c r="AD298" i="31"/>
  <c r="AD299" i="31"/>
  <c r="AD300" i="31"/>
  <c r="AD301" i="31"/>
  <c r="AD302" i="31"/>
  <c r="AD303" i="31"/>
  <c r="AD304" i="31"/>
  <c r="AD305" i="31"/>
  <c r="AD306" i="31"/>
  <c r="AD307" i="31"/>
  <c r="AD308" i="31"/>
  <c r="AD309" i="31"/>
  <c r="AD310" i="31"/>
  <c r="AD311" i="31"/>
  <c r="AD312" i="31"/>
  <c r="AD313" i="31"/>
  <c r="AD314" i="31"/>
  <c r="AD315" i="31"/>
  <c r="AD316" i="31"/>
  <c r="AD317" i="31"/>
  <c r="AD318" i="31"/>
  <c r="AD319" i="31"/>
  <c r="AD320" i="31"/>
  <c r="AD321" i="31"/>
  <c r="AD322" i="31"/>
  <c r="AD323" i="31"/>
  <c r="AD324" i="31"/>
  <c r="AD325" i="31"/>
  <c r="AD326" i="31"/>
  <c r="AD327" i="31"/>
  <c r="AD328" i="31"/>
  <c r="AD329" i="31"/>
  <c r="AD330" i="31"/>
  <c r="AD331" i="31"/>
  <c r="AD332" i="31"/>
  <c r="AD333" i="31"/>
  <c r="AD334" i="31"/>
  <c r="AD335" i="31"/>
  <c r="AD336" i="31"/>
  <c r="AD337" i="31"/>
  <c r="AD338" i="31"/>
  <c r="AD339" i="31"/>
  <c r="AD340" i="31"/>
  <c r="AD341" i="31"/>
  <c r="AD342" i="31"/>
  <c r="AD343" i="31"/>
  <c r="AD344" i="31"/>
  <c r="AD345" i="31"/>
  <c r="AD346" i="31"/>
  <c r="AD347" i="31"/>
  <c r="AD348" i="31"/>
  <c r="AD349" i="31"/>
  <c r="AD350" i="31"/>
  <c r="AD351" i="31"/>
  <c r="AD352" i="31"/>
  <c r="AD353" i="31"/>
  <c r="AD354" i="31"/>
  <c r="AD355" i="31"/>
  <c r="AD356" i="31"/>
  <c r="AD357" i="31"/>
  <c r="AD358" i="31"/>
  <c r="AD359" i="31"/>
  <c r="AD360" i="31"/>
  <c r="AD361" i="31"/>
  <c r="AD362" i="31"/>
  <c r="AD363" i="31"/>
  <c r="AD364" i="31"/>
  <c r="AD365" i="31"/>
  <c r="AD366" i="31"/>
  <c r="AD367" i="31"/>
  <c r="AD368" i="31"/>
  <c r="AD369" i="31"/>
  <c r="AD370" i="31"/>
  <c r="AD371" i="31"/>
  <c r="AD372" i="31"/>
  <c r="AD373" i="31"/>
  <c r="AD374" i="31"/>
  <c r="AD375" i="31"/>
  <c r="AD376" i="31"/>
  <c r="AD377" i="31"/>
  <c r="AD378" i="31"/>
  <c r="AD379" i="31"/>
  <c r="AD380" i="31"/>
  <c r="AD381" i="31"/>
  <c r="AD382" i="31"/>
  <c r="AD383" i="31"/>
  <c r="AD384" i="31"/>
  <c r="AD385" i="31"/>
  <c r="AD386" i="31"/>
  <c r="AD387" i="31"/>
  <c r="AD388" i="31"/>
  <c r="AD389" i="31"/>
  <c r="AD390" i="31"/>
  <c r="AD391" i="31"/>
  <c r="AD392" i="31"/>
  <c r="AD393" i="31"/>
  <c r="AD394" i="31"/>
  <c r="AD395" i="31"/>
  <c r="AD396" i="31"/>
  <c r="AD397" i="31"/>
  <c r="AD398" i="31"/>
  <c r="AD399" i="31"/>
  <c r="AD400" i="31"/>
  <c r="AD401" i="31"/>
  <c r="AD402" i="31"/>
  <c r="AD403" i="31"/>
  <c r="AD404" i="31"/>
  <c r="AD405" i="31"/>
  <c r="AD406" i="31"/>
  <c r="AD407" i="31"/>
  <c r="AD408" i="31"/>
  <c r="AD409" i="31"/>
  <c r="AD410" i="31"/>
  <c r="AD411" i="31"/>
  <c r="AD412" i="31"/>
  <c r="AD413" i="31"/>
  <c r="AD414" i="31"/>
  <c r="AD415" i="31"/>
  <c r="AD416" i="31"/>
  <c r="AD417" i="31"/>
  <c r="AD418" i="31"/>
  <c r="AD419" i="31"/>
  <c r="AD420" i="31"/>
  <c r="AD421" i="31"/>
  <c r="AD422" i="31"/>
  <c r="AD423" i="31"/>
  <c r="AD424" i="31"/>
  <c r="AD425" i="31"/>
  <c r="AD426" i="31"/>
  <c r="AD427" i="31"/>
  <c r="AD428" i="31"/>
  <c r="AD429" i="31"/>
  <c r="AD430" i="31"/>
  <c r="AD431" i="31"/>
  <c r="AD432" i="31"/>
  <c r="AD433" i="31"/>
  <c r="AD434" i="31"/>
  <c r="AD435" i="31"/>
  <c r="AD436" i="31"/>
  <c r="AD437" i="31"/>
  <c r="AD438" i="31"/>
  <c r="AD439" i="31"/>
  <c r="AD440" i="31"/>
  <c r="AD441" i="31"/>
  <c r="AD442" i="31"/>
  <c r="AD443" i="31"/>
  <c r="AD444" i="31"/>
  <c r="AD445" i="31"/>
  <c r="AD446" i="31"/>
  <c r="AD447" i="31"/>
  <c r="AD448" i="31"/>
  <c r="AD449" i="31"/>
  <c r="AD450" i="31"/>
  <c r="AD451" i="31"/>
  <c r="AD452" i="31"/>
  <c r="AD453" i="31"/>
  <c r="AD454" i="31"/>
  <c r="AD455" i="31"/>
  <c r="AD456" i="31"/>
  <c r="AD457" i="31"/>
  <c r="AD458" i="31"/>
  <c r="AD459" i="31"/>
  <c r="AD460" i="31"/>
  <c r="AD461" i="31"/>
  <c r="AD462" i="31"/>
  <c r="AD463" i="31"/>
  <c r="AD464" i="31"/>
  <c r="AD465" i="31"/>
  <c r="AD466" i="31"/>
  <c r="AD467" i="31"/>
  <c r="AD468" i="31"/>
  <c r="AD469" i="31"/>
  <c r="AD470" i="31"/>
  <c r="AD471" i="31"/>
  <c r="AD472" i="31"/>
  <c r="AD473" i="31"/>
  <c r="AD474" i="31"/>
  <c r="AD475" i="31"/>
  <c r="AD476" i="31"/>
  <c r="AD477" i="31"/>
  <c r="AD478" i="31"/>
  <c r="AD479" i="31"/>
  <c r="AD480" i="31"/>
  <c r="AD481" i="31"/>
  <c r="AD482" i="31"/>
  <c r="AD483" i="31"/>
  <c r="AD484" i="31"/>
  <c r="AD485" i="31"/>
  <c r="AD486" i="31"/>
  <c r="AD487" i="31"/>
  <c r="AD488" i="31"/>
  <c r="AD489" i="31"/>
  <c r="AD490" i="31"/>
  <c r="AD491" i="31"/>
  <c r="AD492" i="31"/>
  <c r="AD493" i="31"/>
  <c r="AD494" i="31"/>
  <c r="AD495" i="31"/>
  <c r="AD496" i="31"/>
  <c r="AD497" i="31"/>
  <c r="AD498" i="31"/>
  <c r="AD499" i="31"/>
  <c r="AD500" i="31"/>
  <c r="AD501" i="31"/>
  <c r="AD502" i="31"/>
  <c r="AD503" i="31"/>
  <c r="AD504" i="31"/>
  <c r="AD505" i="31"/>
  <c r="AD506" i="31"/>
  <c r="AD507" i="31"/>
  <c r="AD508" i="31"/>
  <c r="AD509" i="31"/>
  <c r="AD510" i="31"/>
  <c r="AD511" i="31"/>
  <c r="AD512" i="31"/>
  <c r="AD513" i="31"/>
  <c r="AD514" i="31"/>
  <c r="AD515" i="31"/>
  <c r="AD516" i="31"/>
  <c r="AD517" i="31"/>
  <c r="AD518" i="31"/>
  <c r="AD519" i="31"/>
  <c r="AD520" i="31"/>
  <c r="AD521" i="31"/>
  <c r="AD522" i="31"/>
  <c r="AD523" i="31"/>
  <c r="AD524" i="31"/>
  <c r="AD525" i="31"/>
  <c r="AD526" i="31"/>
  <c r="AD527" i="31"/>
  <c r="AD528" i="31"/>
  <c r="AD529" i="31"/>
  <c r="AD530" i="31"/>
  <c r="AD531" i="31"/>
  <c r="AD532" i="31"/>
  <c r="AD533" i="31"/>
  <c r="AD534" i="31"/>
  <c r="AD535" i="31"/>
  <c r="AD536" i="31"/>
  <c r="AD537" i="31"/>
  <c r="AD538" i="31"/>
  <c r="AD539" i="31"/>
  <c r="AD540" i="31"/>
  <c r="AD541" i="31"/>
  <c r="AD542" i="31"/>
  <c r="AD543" i="31"/>
  <c r="AD544" i="31"/>
  <c r="AD545" i="31"/>
  <c r="AD546" i="31"/>
  <c r="AD547" i="31"/>
  <c r="AD548" i="31"/>
  <c r="AD549" i="31"/>
  <c r="AD550" i="31"/>
  <c r="AD551" i="31"/>
  <c r="AD552" i="31"/>
  <c r="AD553" i="31"/>
  <c r="AD554" i="31"/>
  <c r="AD555" i="31"/>
  <c r="AD556" i="31"/>
  <c r="AD557" i="31"/>
  <c r="AD558" i="31"/>
  <c r="AD559" i="31"/>
  <c r="AD560" i="31"/>
  <c r="AD561" i="31"/>
  <c r="AD562" i="31"/>
  <c r="AD563" i="31"/>
  <c r="AD564" i="31"/>
  <c r="AD565" i="31"/>
  <c r="AD566" i="31"/>
  <c r="AD567" i="31"/>
  <c r="AD568" i="31"/>
  <c r="AD569" i="31"/>
  <c r="AD570" i="31"/>
  <c r="AD571" i="31"/>
  <c r="AD572" i="31"/>
  <c r="AD573" i="31"/>
  <c r="AD574" i="31"/>
  <c r="AD575" i="31"/>
  <c r="AD576" i="31"/>
  <c r="AD577" i="31"/>
  <c r="AD578" i="31"/>
  <c r="AD579" i="31"/>
  <c r="AD580" i="31"/>
  <c r="AD581" i="31"/>
  <c r="AD582" i="31"/>
  <c r="AD583" i="31"/>
  <c r="AD584" i="31"/>
  <c r="AD585" i="31"/>
  <c r="AD586" i="31"/>
  <c r="AD587" i="31"/>
  <c r="AD588" i="31"/>
  <c r="AD589" i="31"/>
  <c r="AD590" i="31"/>
  <c r="AD591" i="31"/>
  <c r="AD592" i="31"/>
  <c r="AD593" i="31"/>
  <c r="AD594" i="31"/>
  <c r="AD595" i="31"/>
  <c r="AD596" i="31"/>
  <c r="AD597" i="31"/>
  <c r="AD598" i="31"/>
  <c r="AD599" i="31"/>
  <c r="AD600" i="31"/>
  <c r="AD601" i="31"/>
  <c r="AD602" i="31"/>
  <c r="AD603" i="31"/>
  <c r="AD604" i="31"/>
  <c r="AD605" i="31"/>
  <c r="AD606" i="31"/>
  <c r="AD607" i="31"/>
  <c r="AD608" i="31"/>
  <c r="AD609" i="31"/>
  <c r="AD610" i="31"/>
  <c r="AD611" i="31"/>
  <c r="AD612" i="31"/>
  <c r="AD613" i="31"/>
  <c r="AD614" i="31"/>
  <c r="AD615" i="31"/>
  <c r="AD616" i="31"/>
  <c r="AD617" i="31"/>
  <c r="AD618" i="31"/>
  <c r="AD619" i="31"/>
  <c r="AD620" i="31"/>
  <c r="AD621" i="31"/>
  <c r="AD622" i="31"/>
  <c r="AD623" i="31"/>
  <c r="AD624" i="31"/>
  <c r="AD625" i="31"/>
  <c r="AD626" i="31"/>
  <c r="AD627" i="31"/>
  <c r="AD628" i="31"/>
  <c r="AD629" i="31"/>
  <c r="AD630" i="31"/>
  <c r="AD631" i="31"/>
  <c r="AD632" i="31"/>
  <c r="AD633" i="31"/>
  <c r="AD634" i="31"/>
  <c r="AD635" i="31"/>
  <c r="AD636" i="31"/>
  <c r="AD637" i="31"/>
  <c r="AD638" i="31"/>
  <c r="AD639" i="31"/>
  <c r="AD640" i="31"/>
  <c r="AD641" i="31"/>
  <c r="AD642" i="31"/>
  <c r="AD643" i="31"/>
  <c r="AD644" i="31"/>
  <c r="AD645" i="31"/>
  <c r="AD646" i="31"/>
  <c r="AD647" i="31"/>
  <c r="AD648" i="31"/>
  <c r="AD649" i="31"/>
  <c r="AD650" i="31"/>
  <c r="AD651" i="31"/>
  <c r="AD652" i="31"/>
  <c r="AD653" i="31"/>
  <c r="AD654" i="31"/>
  <c r="AD655" i="31"/>
  <c r="AD656" i="31"/>
  <c r="AD657" i="31"/>
  <c r="AD658" i="31"/>
  <c r="AD659" i="31"/>
  <c r="AD660" i="31"/>
  <c r="AD661" i="31"/>
  <c r="AD662" i="31"/>
  <c r="AD663" i="31"/>
  <c r="AD664" i="31"/>
  <c r="AD665" i="31"/>
  <c r="AD666" i="31"/>
  <c r="AD667" i="31"/>
  <c r="AD668" i="31"/>
  <c r="AD9" i="31"/>
  <c r="C24" i="32"/>
  <c r="N4" i="31"/>
  <c r="E13" i="12" l="1"/>
  <c r="D13" i="12"/>
  <c r="S10" i="31"/>
  <c r="S11" i="31"/>
  <c r="S12" i="31"/>
  <c r="S13" i="31"/>
  <c r="S14" i="31"/>
  <c r="S15" i="31"/>
  <c r="S16" i="31"/>
  <c r="S17" i="31"/>
  <c r="S18" i="31"/>
  <c r="S19" i="31"/>
  <c r="S20" i="31"/>
  <c r="S21" i="31"/>
  <c r="S22" i="31"/>
  <c r="S23" i="31"/>
  <c r="S24" i="31"/>
  <c r="S25" i="31"/>
  <c r="S26" i="31"/>
  <c r="S27" i="31"/>
  <c r="S28" i="31"/>
  <c r="S29" i="31"/>
  <c r="S30" i="31"/>
  <c r="S31"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57" i="31"/>
  <c r="S58" i="31"/>
  <c r="S59" i="31"/>
  <c r="S60" i="31"/>
  <c r="S61" i="31"/>
  <c r="S62" i="31"/>
  <c r="S63" i="31"/>
  <c r="S64" i="31"/>
  <c r="S65" i="31"/>
  <c r="S66" i="31"/>
  <c r="S67" i="31"/>
  <c r="S68" i="31"/>
  <c r="S69" i="31"/>
  <c r="S70" i="31"/>
  <c r="S71" i="31"/>
  <c r="S72" i="31"/>
  <c r="S73" i="31"/>
  <c r="S74" i="31"/>
  <c r="S75" i="31"/>
  <c r="S76" i="31"/>
  <c r="S77" i="31"/>
  <c r="S78" i="31"/>
  <c r="S79" i="31"/>
  <c r="S80" i="31"/>
  <c r="S81" i="31"/>
  <c r="S82" i="31"/>
  <c r="S83" i="31"/>
  <c r="S84" i="31"/>
  <c r="S85" i="31"/>
  <c r="S86" i="31"/>
  <c r="S87" i="31"/>
  <c r="S88" i="31"/>
  <c r="S89" i="31"/>
  <c r="S90" i="31"/>
  <c r="S91" i="31"/>
  <c r="S92" i="31"/>
  <c r="S93" i="31"/>
  <c r="S94" i="31"/>
  <c r="S95" i="31"/>
  <c r="S96" i="31"/>
  <c r="S97" i="31"/>
  <c r="S98" i="31"/>
  <c r="S99" i="31"/>
  <c r="S100" i="31"/>
  <c r="S101" i="31"/>
  <c r="S102" i="31"/>
  <c r="S103" i="31"/>
  <c r="S104" i="31"/>
  <c r="S105" i="31"/>
  <c r="S106" i="31"/>
  <c r="S107" i="31"/>
  <c r="S108" i="31"/>
  <c r="S109" i="31"/>
  <c r="S110" i="31"/>
  <c r="S111" i="31"/>
  <c r="S112" i="31"/>
  <c r="S113" i="31"/>
  <c r="S114" i="31"/>
  <c r="S115" i="31"/>
  <c r="S116" i="31"/>
  <c r="S117" i="31"/>
  <c r="S118" i="31"/>
  <c r="S119" i="31"/>
  <c r="S120" i="31"/>
  <c r="S121" i="31"/>
  <c r="S122" i="31"/>
  <c r="S123" i="31"/>
  <c r="S124" i="31"/>
  <c r="S125" i="31"/>
  <c r="S126" i="31"/>
  <c r="S127" i="31"/>
  <c r="S128" i="31"/>
  <c r="S129" i="31"/>
  <c r="S130" i="31"/>
  <c r="S131" i="31"/>
  <c r="S132" i="31"/>
  <c r="S133" i="31"/>
  <c r="S134" i="31"/>
  <c r="S135" i="31"/>
  <c r="S136" i="31"/>
  <c r="S137" i="31"/>
  <c r="S138" i="31"/>
  <c r="S139" i="31"/>
  <c r="S140" i="31"/>
  <c r="S141" i="31"/>
  <c r="S142" i="31"/>
  <c r="S143" i="31"/>
  <c r="S144" i="31"/>
  <c r="S145" i="31"/>
  <c r="S146" i="31"/>
  <c r="S147" i="31"/>
  <c r="S148" i="31"/>
  <c r="S149" i="31"/>
  <c r="S150" i="31"/>
  <c r="S151" i="31"/>
  <c r="S152" i="31"/>
  <c r="S153" i="31"/>
  <c r="S154" i="31"/>
  <c r="S155" i="31"/>
  <c r="S156" i="31"/>
  <c r="S157" i="31"/>
  <c r="S158" i="31"/>
  <c r="S159" i="31"/>
  <c r="S160" i="31"/>
  <c r="S161" i="31"/>
  <c r="S162" i="31"/>
  <c r="S163" i="31"/>
  <c r="S164" i="31"/>
  <c r="S165" i="31"/>
  <c r="S166" i="31"/>
  <c r="S167" i="31"/>
  <c r="S168" i="31"/>
  <c r="S169" i="31"/>
  <c r="S170" i="31"/>
  <c r="S171" i="31"/>
  <c r="S172" i="31"/>
  <c r="S173" i="31"/>
  <c r="S174" i="31"/>
  <c r="S175" i="31"/>
  <c r="S176" i="31"/>
  <c r="S177" i="31"/>
  <c r="S178" i="31"/>
  <c r="S179" i="31"/>
  <c r="S180" i="31"/>
  <c r="S181" i="31"/>
  <c r="S182" i="31"/>
  <c r="S183" i="31"/>
  <c r="S184" i="31"/>
  <c r="S185" i="31"/>
  <c r="S186" i="31"/>
  <c r="S187" i="31"/>
  <c r="S188" i="31"/>
  <c r="S189" i="31"/>
  <c r="S190" i="31"/>
  <c r="S191" i="31"/>
  <c r="S192" i="31"/>
  <c r="S193" i="31"/>
  <c r="S194" i="31"/>
  <c r="S195" i="31"/>
  <c r="S196" i="31"/>
  <c r="S197" i="31"/>
  <c r="S198" i="31"/>
  <c r="S199" i="31"/>
  <c r="S200" i="31"/>
  <c r="S201" i="31"/>
  <c r="S202" i="31"/>
  <c r="S203" i="31"/>
  <c r="S204" i="31"/>
  <c r="S205" i="31"/>
  <c r="S206" i="31"/>
  <c r="S207" i="31"/>
  <c r="S208" i="31"/>
  <c r="S209" i="31"/>
  <c r="S210" i="31"/>
  <c r="S211" i="31"/>
  <c r="S212" i="31"/>
  <c r="S213" i="31"/>
  <c r="S214" i="31"/>
  <c r="S215" i="31"/>
  <c r="S216" i="31"/>
  <c r="S217" i="31"/>
  <c r="S218" i="31"/>
  <c r="S219" i="31"/>
  <c r="S220" i="31"/>
  <c r="S221" i="31"/>
  <c r="S222" i="31"/>
  <c r="S223" i="31"/>
  <c r="S224" i="31"/>
  <c r="S225" i="31"/>
  <c r="S226" i="31"/>
  <c r="S227" i="31"/>
  <c r="S228" i="31"/>
  <c r="S229" i="31"/>
  <c r="S230" i="31"/>
  <c r="S231" i="31"/>
  <c r="S232" i="31"/>
  <c r="S233" i="31"/>
  <c r="S234" i="31"/>
  <c r="S235" i="31"/>
  <c r="S236" i="31"/>
  <c r="S237" i="31"/>
  <c r="S238" i="31"/>
  <c r="S239" i="31"/>
  <c r="S240" i="31"/>
  <c r="S241" i="31"/>
  <c r="S242" i="31"/>
  <c r="S243" i="31"/>
  <c r="S244" i="31"/>
  <c r="S245" i="31"/>
  <c r="S246" i="31"/>
  <c r="S247" i="31"/>
  <c r="S248" i="31"/>
  <c r="S249" i="31"/>
  <c r="S250" i="31"/>
  <c r="S251" i="31"/>
  <c r="S252" i="31"/>
  <c r="S253" i="31"/>
  <c r="S254" i="31"/>
  <c r="S255" i="31"/>
  <c r="S256" i="31"/>
  <c r="S257" i="31"/>
  <c r="S258" i="31"/>
  <c r="S259" i="31"/>
  <c r="S260" i="31"/>
  <c r="S261" i="31"/>
  <c r="S262" i="31"/>
  <c r="S263" i="31"/>
  <c r="S264" i="31"/>
  <c r="S265" i="31"/>
  <c r="S266" i="31"/>
  <c r="S267" i="31"/>
  <c r="S268" i="31"/>
  <c r="S269" i="31"/>
  <c r="S270" i="31"/>
  <c r="S271" i="31"/>
  <c r="S272" i="31"/>
  <c r="S273" i="31"/>
  <c r="S274" i="31"/>
  <c r="S275" i="31"/>
  <c r="S276" i="31"/>
  <c r="S277" i="31"/>
  <c r="S278" i="31"/>
  <c r="S279" i="31"/>
  <c r="S280" i="31"/>
  <c r="S281" i="31"/>
  <c r="S282" i="31"/>
  <c r="S283" i="31"/>
  <c r="S284" i="31"/>
  <c r="S285" i="31"/>
  <c r="S286" i="31"/>
  <c r="S287" i="31"/>
  <c r="S288" i="31"/>
  <c r="S289" i="31"/>
  <c r="S290" i="31"/>
  <c r="S291" i="31"/>
  <c r="S292" i="31"/>
  <c r="S293" i="31"/>
  <c r="S294" i="31"/>
  <c r="S295" i="31"/>
  <c r="S296" i="31"/>
  <c r="S297" i="31"/>
  <c r="S298" i="31"/>
  <c r="S299" i="31"/>
  <c r="S300" i="31"/>
  <c r="S301" i="31"/>
  <c r="S302" i="31"/>
  <c r="S303" i="31"/>
  <c r="S304" i="31"/>
  <c r="S305" i="31"/>
  <c r="S306" i="31"/>
  <c r="S307" i="31"/>
  <c r="S308" i="31"/>
  <c r="S309" i="31"/>
  <c r="S310" i="31"/>
  <c r="S311" i="31"/>
  <c r="S312" i="31"/>
  <c r="S313" i="31"/>
  <c r="S314" i="31"/>
  <c r="S315" i="31"/>
  <c r="S316" i="31"/>
  <c r="S317" i="31"/>
  <c r="S318" i="31"/>
  <c r="S319" i="31"/>
  <c r="S320" i="31"/>
  <c r="S321" i="31"/>
  <c r="S322" i="31"/>
  <c r="S323" i="31"/>
  <c r="S324" i="31"/>
  <c r="S325" i="31"/>
  <c r="S326" i="31"/>
  <c r="S327" i="31"/>
  <c r="S328" i="31"/>
  <c r="S329" i="31"/>
  <c r="S330" i="31"/>
  <c r="S331" i="31"/>
  <c r="S332" i="31"/>
  <c r="S333" i="31"/>
  <c r="S334" i="31"/>
  <c r="S335" i="31"/>
  <c r="S336" i="31"/>
  <c r="S337" i="31"/>
  <c r="S338" i="31"/>
  <c r="S339" i="31"/>
  <c r="S340" i="31"/>
  <c r="S341" i="31"/>
  <c r="S342" i="31"/>
  <c r="S343" i="31"/>
  <c r="S344" i="31"/>
  <c r="S345" i="31"/>
  <c r="S346" i="31"/>
  <c r="S347" i="31"/>
  <c r="S348" i="31"/>
  <c r="S349" i="31"/>
  <c r="S350" i="31"/>
  <c r="S351" i="31"/>
  <c r="S352" i="31"/>
  <c r="S353" i="31"/>
  <c r="S354" i="31"/>
  <c r="S355" i="31"/>
  <c r="S356" i="31"/>
  <c r="S357" i="31"/>
  <c r="S358" i="31"/>
  <c r="S359" i="31"/>
  <c r="S360" i="31"/>
  <c r="S361" i="31"/>
  <c r="S362" i="31"/>
  <c r="S363" i="31"/>
  <c r="S364" i="31"/>
  <c r="S365" i="31"/>
  <c r="S366" i="31"/>
  <c r="S367" i="31"/>
  <c r="S368" i="31"/>
  <c r="S369" i="31"/>
  <c r="S370" i="31"/>
  <c r="S371" i="31"/>
  <c r="S372" i="31"/>
  <c r="S373" i="31"/>
  <c r="S374" i="31"/>
  <c r="S375" i="31"/>
  <c r="S376" i="31"/>
  <c r="S377" i="31"/>
  <c r="S378" i="31"/>
  <c r="S379" i="31"/>
  <c r="S380" i="31"/>
  <c r="S381" i="31"/>
  <c r="S382" i="31"/>
  <c r="S383" i="31"/>
  <c r="S384" i="31"/>
  <c r="S385" i="31"/>
  <c r="S386" i="31"/>
  <c r="S387" i="31"/>
  <c r="S388" i="31"/>
  <c r="S389" i="31"/>
  <c r="S390" i="31"/>
  <c r="S391" i="31"/>
  <c r="S392" i="31"/>
  <c r="S393" i="31"/>
  <c r="S394" i="31"/>
  <c r="S395" i="31"/>
  <c r="S396" i="31"/>
  <c r="S397" i="31"/>
  <c r="S398" i="31"/>
  <c r="S399" i="31"/>
  <c r="S400" i="31"/>
  <c r="S401" i="31"/>
  <c r="S402" i="31"/>
  <c r="S403" i="31"/>
  <c r="S404" i="31"/>
  <c r="S405" i="31"/>
  <c r="S406" i="31"/>
  <c r="S407" i="31"/>
  <c r="S408" i="31"/>
  <c r="S409" i="31"/>
  <c r="S410" i="31"/>
  <c r="S411" i="31"/>
  <c r="S412" i="31"/>
  <c r="S413" i="31"/>
  <c r="S414" i="31"/>
  <c r="S415" i="31"/>
  <c r="S416" i="31"/>
  <c r="S417" i="31"/>
  <c r="S418" i="31"/>
  <c r="S419" i="31"/>
  <c r="S420" i="31"/>
  <c r="S421" i="31"/>
  <c r="S422" i="31"/>
  <c r="S423" i="31"/>
  <c r="S424" i="31"/>
  <c r="S425" i="31"/>
  <c r="S426" i="31"/>
  <c r="S427" i="31"/>
  <c r="S428" i="31"/>
  <c r="S429" i="31"/>
  <c r="S430" i="31"/>
  <c r="S431" i="31"/>
  <c r="S432" i="31"/>
  <c r="S433" i="31"/>
  <c r="S434" i="31"/>
  <c r="S435" i="31"/>
  <c r="S436" i="31"/>
  <c r="S437" i="31"/>
  <c r="S438" i="31"/>
  <c r="S439" i="31"/>
  <c r="S440" i="31"/>
  <c r="S441" i="31"/>
  <c r="S442" i="31"/>
  <c r="S443" i="31"/>
  <c r="S444" i="31"/>
  <c r="S445" i="31"/>
  <c r="S446" i="31"/>
  <c r="S447" i="31"/>
  <c r="S448" i="31"/>
  <c r="S449" i="31"/>
  <c r="S450" i="31"/>
  <c r="S451" i="31"/>
  <c r="S452" i="31"/>
  <c r="S453" i="31"/>
  <c r="S454" i="31"/>
  <c r="S455" i="31"/>
  <c r="S456" i="31"/>
  <c r="S457" i="31"/>
  <c r="S458" i="31"/>
  <c r="S459" i="31"/>
  <c r="S460" i="31"/>
  <c r="S461" i="31"/>
  <c r="S462" i="31"/>
  <c r="S463" i="31"/>
  <c r="S464" i="31"/>
  <c r="S465" i="31"/>
  <c r="S466" i="31"/>
  <c r="S467" i="31"/>
  <c r="S468" i="31"/>
  <c r="S469" i="31"/>
  <c r="S470" i="31"/>
  <c r="S471" i="31"/>
  <c r="S472" i="31"/>
  <c r="S473" i="31"/>
  <c r="S474" i="31"/>
  <c r="S475" i="31"/>
  <c r="S476" i="31"/>
  <c r="S477" i="31"/>
  <c r="S478" i="31"/>
  <c r="S479" i="31"/>
  <c r="S480" i="31"/>
  <c r="S481" i="31"/>
  <c r="S482" i="31"/>
  <c r="S483" i="31"/>
  <c r="S484" i="31"/>
  <c r="S485" i="31"/>
  <c r="S486" i="31"/>
  <c r="S487" i="31"/>
  <c r="S488" i="31"/>
  <c r="S489" i="31"/>
  <c r="S490" i="31"/>
  <c r="S491" i="31"/>
  <c r="S492" i="31"/>
  <c r="S493" i="31"/>
  <c r="S494" i="31"/>
  <c r="S495" i="31"/>
  <c r="S496" i="31"/>
  <c r="S497" i="31"/>
  <c r="S498" i="31"/>
  <c r="S499" i="31"/>
  <c r="S500" i="31"/>
  <c r="S501" i="31"/>
  <c r="S502" i="31"/>
  <c r="S503" i="31"/>
  <c r="S504" i="31"/>
  <c r="S505" i="31"/>
  <c r="S506" i="31"/>
  <c r="S507" i="31"/>
  <c r="S508" i="31"/>
  <c r="S509" i="31"/>
  <c r="S510" i="31"/>
  <c r="S511" i="31"/>
  <c r="S512" i="31"/>
  <c r="S513" i="31"/>
  <c r="S514" i="31"/>
  <c r="S515" i="31"/>
  <c r="S516" i="31"/>
  <c r="S517" i="31"/>
  <c r="S518" i="31"/>
  <c r="S519" i="31"/>
  <c r="S520" i="31"/>
  <c r="S521" i="31"/>
  <c r="S522" i="31"/>
  <c r="S523" i="31"/>
  <c r="S524" i="31"/>
  <c r="S525" i="31"/>
  <c r="S526" i="31"/>
  <c r="S527" i="31"/>
  <c r="S528" i="31"/>
  <c r="S529" i="31"/>
  <c r="S530" i="31"/>
  <c r="S531" i="31"/>
  <c r="S532" i="31"/>
  <c r="S533" i="31"/>
  <c r="S534" i="31"/>
  <c r="S535" i="31"/>
  <c r="S536" i="31"/>
  <c r="S537" i="31"/>
  <c r="S538" i="31"/>
  <c r="S539" i="31"/>
  <c r="S540" i="31"/>
  <c r="S541" i="31"/>
  <c r="S542" i="31"/>
  <c r="S543" i="31"/>
  <c r="S544" i="31"/>
  <c r="S545" i="31"/>
  <c r="S546" i="31"/>
  <c r="S547" i="31"/>
  <c r="S548" i="31"/>
  <c r="S549" i="31"/>
  <c r="S550" i="31"/>
  <c r="S551" i="31"/>
  <c r="S552" i="31"/>
  <c r="S553" i="31"/>
  <c r="S554" i="31"/>
  <c r="S555" i="31"/>
  <c r="S556" i="31"/>
  <c r="S557" i="31"/>
  <c r="S558" i="31"/>
  <c r="S559" i="31"/>
  <c r="S560" i="31"/>
  <c r="S561" i="31"/>
  <c r="S562" i="31"/>
  <c r="S563" i="31"/>
  <c r="S564" i="31"/>
  <c r="S565" i="31"/>
  <c r="S566" i="31"/>
  <c r="S567" i="31"/>
  <c r="S568" i="31"/>
  <c r="S569" i="31"/>
  <c r="S570" i="31"/>
  <c r="S571" i="31"/>
  <c r="S572" i="31"/>
  <c r="S573" i="31"/>
  <c r="S574" i="31"/>
  <c r="S575" i="31"/>
  <c r="S576" i="31"/>
  <c r="S577" i="31"/>
  <c r="S578" i="31"/>
  <c r="S579" i="31"/>
  <c r="S580" i="31"/>
  <c r="S581" i="31"/>
  <c r="S582" i="31"/>
  <c r="S583" i="31"/>
  <c r="S584" i="31"/>
  <c r="S585" i="31"/>
  <c r="S586" i="31"/>
  <c r="S587" i="31"/>
  <c r="S588" i="31"/>
  <c r="S589" i="31"/>
  <c r="S590" i="31"/>
  <c r="S591" i="31"/>
  <c r="S592" i="31"/>
  <c r="S593" i="31"/>
  <c r="S594" i="31"/>
  <c r="S595" i="31"/>
  <c r="S596" i="31"/>
  <c r="S597" i="31"/>
  <c r="S598" i="31"/>
  <c r="S599" i="31"/>
  <c r="S600" i="31"/>
  <c r="S601" i="31"/>
  <c r="S602" i="31"/>
  <c r="S603" i="31"/>
  <c r="S604" i="31"/>
  <c r="S605" i="31"/>
  <c r="S606" i="31"/>
  <c r="S607" i="31"/>
  <c r="S608" i="31"/>
  <c r="S609" i="31"/>
  <c r="S610" i="31"/>
  <c r="S611" i="31"/>
  <c r="S612" i="31"/>
  <c r="S613" i="31"/>
  <c r="S614" i="31"/>
  <c r="S615" i="31"/>
  <c r="S616" i="31"/>
  <c r="S617" i="31"/>
  <c r="S618" i="31"/>
  <c r="S619" i="31"/>
  <c r="S620" i="31"/>
  <c r="S621" i="31"/>
  <c r="S622" i="31"/>
  <c r="S623" i="31"/>
  <c r="S624" i="31"/>
  <c r="S625" i="31"/>
  <c r="S626" i="31"/>
  <c r="S627" i="31"/>
  <c r="S628" i="31"/>
  <c r="S629" i="31"/>
  <c r="S630" i="31"/>
  <c r="S631" i="31"/>
  <c r="S632" i="31"/>
  <c r="S633" i="31"/>
  <c r="S634" i="31"/>
  <c r="S635" i="31"/>
  <c r="S636" i="31"/>
  <c r="S637" i="31"/>
  <c r="S638" i="31"/>
  <c r="S639" i="31"/>
  <c r="S640" i="31"/>
  <c r="S641" i="31"/>
  <c r="S642" i="31"/>
  <c r="S643" i="31"/>
  <c r="S644" i="31"/>
  <c r="S645" i="31"/>
  <c r="S646" i="31"/>
  <c r="S647" i="31"/>
  <c r="S648" i="31"/>
  <c r="S649" i="31"/>
  <c r="S650" i="31"/>
  <c r="S651" i="31"/>
  <c r="S652" i="31"/>
  <c r="S653" i="31"/>
  <c r="S654" i="31"/>
  <c r="S655" i="31"/>
  <c r="S656" i="31"/>
  <c r="S657" i="31"/>
  <c r="S658" i="31"/>
  <c r="S659" i="31"/>
  <c r="S660" i="31"/>
  <c r="S661" i="31"/>
  <c r="S662" i="31"/>
  <c r="S663" i="31"/>
  <c r="S664" i="31"/>
  <c r="S665" i="31"/>
  <c r="S666" i="31"/>
  <c r="S667" i="31"/>
  <c r="S668" i="31"/>
  <c r="S9" i="31"/>
  <c r="D15" i="14"/>
  <c r="C33" i="32" l="1"/>
  <c r="C48" i="32"/>
  <c r="D19" i="21"/>
  <c r="C49" i="32"/>
  <c r="AF9" i="31"/>
  <c r="AG10" i="31"/>
  <c r="AG11" i="31"/>
  <c r="AG12" i="31"/>
  <c r="AG13" i="31"/>
  <c r="AG14" i="31"/>
  <c r="AG15" i="31"/>
  <c r="AG16" i="31"/>
  <c r="AG17" i="31"/>
  <c r="AG18" i="31"/>
  <c r="AG19" i="31"/>
  <c r="AG20" i="31"/>
  <c r="AG21" i="31"/>
  <c r="AG22" i="31"/>
  <c r="AG23" i="31"/>
  <c r="AG24" i="31"/>
  <c r="AG25" i="31"/>
  <c r="AG26" i="31"/>
  <c r="AG27" i="31"/>
  <c r="AG28" i="31"/>
  <c r="AG29" i="31"/>
  <c r="AG30" i="31"/>
  <c r="AG31" i="31"/>
  <c r="AG32" i="31"/>
  <c r="AG33" i="31"/>
  <c r="AG34" i="31"/>
  <c r="AG35" i="31"/>
  <c r="AG36" i="31"/>
  <c r="AG37" i="31"/>
  <c r="AG38" i="31"/>
  <c r="AG39" i="31"/>
  <c r="AG40" i="31"/>
  <c r="AG41" i="31"/>
  <c r="AG42" i="31"/>
  <c r="AG43" i="31"/>
  <c r="AG44" i="31"/>
  <c r="AG45" i="31"/>
  <c r="AG46" i="31"/>
  <c r="AG47" i="31"/>
  <c r="AG48" i="31"/>
  <c r="AG49" i="31"/>
  <c r="AG50" i="31"/>
  <c r="AG51" i="31"/>
  <c r="AG52" i="31"/>
  <c r="AG53" i="31"/>
  <c r="AG54" i="31"/>
  <c r="AG55" i="31"/>
  <c r="AG56" i="31"/>
  <c r="AG57" i="31"/>
  <c r="AG58" i="31"/>
  <c r="AG59" i="31"/>
  <c r="AG60" i="31"/>
  <c r="AG61" i="31"/>
  <c r="AG62" i="31"/>
  <c r="AG63" i="31"/>
  <c r="AG64" i="31"/>
  <c r="AG65" i="31"/>
  <c r="AG66" i="31"/>
  <c r="AG67" i="31"/>
  <c r="AG68" i="31"/>
  <c r="AG69" i="31"/>
  <c r="AG70" i="31"/>
  <c r="AG71" i="31"/>
  <c r="AG72" i="31"/>
  <c r="AG73" i="31"/>
  <c r="AG74" i="31"/>
  <c r="AG75" i="31"/>
  <c r="AG76" i="31"/>
  <c r="AG77" i="31"/>
  <c r="AG78" i="31"/>
  <c r="AG79" i="31"/>
  <c r="AG80" i="31"/>
  <c r="AG81" i="31"/>
  <c r="AG82" i="31"/>
  <c r="AG83" i="31"/>
  <c r="AG84" i="31"/>
  <c r="AG85" i="31"/>
  <c r="AG86" i="31"/>
  <c r="AG87" i="31"/>
  <c r="AG88" i="31"/>
  <c r="AG89" i="31"/>
  <c r="AG90" i="31"/>
  <c r="AG91" i="31"/>
  <c r="AG92" i="31"/>
  <c r="AG93" i="31"/>
  <c r="AG94" i="31"/>
  <c r="AG95" i="31"/>
  <c r="AG96" i="31"/>
  <c r="AG97" i="31"/>
  <c r="AG98" i="31"/>
  <c r="AG99" i="31"/>
  <c r="AG100" i="31"/>
  <c r="AG101" i="31"/>
  <c r="AG102" i="31"/>
  <c r="AG103" i="31"/>
  <c r="AG104" i="31"/>
  <c r="AG105" i="31"/>
  <c r="AG106" i="31"/>
  <c r="AG107" i="31"/>
  <c r="AG108" i="31"/>
  <c r="AG109" i="31"/>
  <c r="AG110" i="31"/>
  <c r="AG111" i="31"/>
  <c r="AG112" i="31"/>
  <c r="AG113" i="31"/>
  <c r="AG114" i="31"/>
  <c r="AG115" i="31"/>
  <c r="AG116" i="31"/>
  <c r="AG117" i="31"/>
  <c r="AG118" i="31"/>
  <c r="AG119" i="31"/>
  <c r="AG120" i="31"/>
  <c r="AG121" i="31"/>
  <c r="AG122" i="31"/>
  <c r="AG123" i="31"/>
  <c r="AG124" i="31"/>
  <c r="AG125" i="31"/>
  <c r="AG126" i="31"/>
  <c r="AG127" i="31"/>
  <c r="AG128" i="31"/>
  <c r="AG129" i="31"/>
  <c r="AG130" i="31"/>
  <c r="AG131" i="31"/>
  <c r="AG132" i="31"/>
  <c r="AG133" i="31"/>
  <c r="AG134" i="31"/>
  <c r="AG135" i="31"/>
  <c r="AG136" i="31"/>
  <c r="AG137" i="31"/>
  <c r="AG138" i="31"/>
  <c r="AG139" i="31"/>
  <c r="AG140" i="31"/>
  <c r="AG141" i="31"/>
  <c r="AG142" i="31"/>
  <c r="AG143" i="31"/>
  <c r="AG144" i="31"/>
  <c r="AG145" i="31"/>
  <c r="AG146" i="31"/>
  <c r="AG147" i="31"/>
  <c r="AG148" i="31"/>
  <c r="AG149" i="31"/>
  <c r="AG150" i="31"/>
  <c r="AG151" i="31"/>
  <c r="AG152" i="31"/>
  <c r="AG153" i="31"/>
  <c r="AG154" i="31"/>
  <c r="AG155" i="31"/>
  <c r="AG156" i="31"/>
  <c r="AG157" i="31"/>
  <c r="AG158" i="31"/>
  <c r="AG159" i="31"/>
  <c r="AG160" i="31"/>
  <c r="AG161" i="31"/>
  <c r="AG162" i="31"/>
  <c r="AG163" i="31"/>
  <c r="AG164" i="31"/>
  <c r="AG165" i="31"/>
  <c r="AG166" i="31"/>
  <c r="AG167" i="31"/>
  <c r="AG168" i="31"/>
  <c r="AG169" i="31"/>
  <c r="AG170" i="31"/>
  <c r="AG171" i="31"/>
  <c r="AG172" i="31"/>
  <c r="AG173" i="31"/>
  <c r="AG174" i="31"/>
  <c r="AG175" i="31"/>
  <c r="AG176" i="31"/>
  <c r="AG177" i="31"/>
  <c r="AG178" i="31"/>
  <c r="AG179" i="31"/>
  <c r="AG180" i="31"/>
  <c r="AG181" i="31"/>
  <c r="AG182" i="31"/>
  <c r="AG183" i="31"/>
  <c r="AG184" i="31"/>
  <c r="AG185" i="31"/>
  <c r="AG186" i="31"/>
  <c r="AG187" i="31"/>
  <c r="AG188" i="31"/>
  <c r="AG189" i="31"/>
  <c r="AG190" i="31"/>
  <c r="AG191" i="31"/>
  <c r="AG192" i="31"/>
  <c r="AG193" i="31"/>
  <c r="AG194" i="31"/>
  <c r="AG195" i="31"/>
  <c r="AG196" i="31"/>
  <c r="AG197" i="31"/>
  <c r="AG198" i="31"/>
  <c r="AG199" i="31"/>
  <c r="AG200" i="31"/>
  <c r="AG201" i="31"/>
  <c r="AG202" i="31"/>
  <c r="AG203" i="31"/>
  <c r="AG204" i="31"/>
  <c r="AG205" i="31"/>
  <c r="AG206" i="31"/>
  <c r="AG207" i="31"/>
  <c r="AG208" i="31"/>
  <c r="AG209" i="31"/>
  <c r="AG210" i="31"/>
  <c r="AG211" i="31"/>
  <c r="AG212" i="31"/>
  <c r="AG213" i="31"/>
  <c r="AG214" i="31"/>
  <c r="AG215" i="31"/>
  <c r="AG216" i="31"/>
  <c r="AG217" i="31"/>
  <c r="AG218" i="31"/>
  <c r="AG219" i="31"/>
  <c r="AG220" i="31"/>
  <c r="AG221" i="31"/>
  <c r="AG222" i="31"/>
  <c r="AG223" i="31"/>
  <c r="AG224" i="31"/>
  <c r="AG225" i="31"/>
  <c r="AG226" i="31"/>
  <c r="AG227" i="31"/>
  <c r="AG228" i="31"/>
  <c r="AG229" i="31"/>
  <c r="AG230" i="31"/>
  <c r="AG231" i="31"/>
  <c r="AG232" i="31"/>
  <c r="AG233" i="31"/>
  <c r="AG234" i="31"/>
  <c r="AG235" i="31"/>
  <c r="AG236" i="31"/>
  <c r="AG237" i="31"/>
  <c r="AG238" i="31"/>
  <c r="AG239" i="31"/>
  <c r="AG240" i="31"/>
  <c r="AG241" i="31"/>
  <c r="AG242" i="31"/>
  <c r="AG243" i="31"/>
  <c r="AG244" i="31"/>
  <c r="AG245" i="31"/>
  <c r="AG246" i="31"/>
  <c r="AG247" i="31"/>
  <c r="AG248" i="31"/>
  <c r="AG249" i="31"/>
  <c r="AG250" i="31"/>
  <c r="AG251" i="31"/>
  <c r="AG252" i="31"/>
  <c r="AG253" i="31"/>
  <c r="AG254" i="31"/>
  <c r="AG255" i="31"/>
  <c r="AG256" i="31"/>
  <c r="AG257" i="31"/>
  <c r="AG258" i="31"/>
  <c r="AG259" i="31"/>
  <c r="AG260" i="31"/>
  <c r="AG261" i="31"/>
  <c r="AG262" i="31"/>
  <c r="AG263" i="31"/>
  <c r="AG264" i="31"/>
  <c r="AG265" i="31"/>
  <c r="AG266" i="31"/>
  <c r="AG267" i="31"/>
  <c r="AG268" i="31"/>
  <c r="AG269" i="31"/>
  <c r="AG270" i="31"/>
  <c r="AG271" i="31"/>
  <c r="AG272" i="31"/>
  <c r="AG273" i="31"/>
  <c r="AG274" i="31"/>
  <c r="AG275" i="31"/>
  <c r="AG276" i="31"/>
  <c r="AG277" i="31"/>
  <c r="AG278" i="31"/>
  <c r="AG279" i="31"/>
  <c r="AG280" i="31"/>
  <c r="AG281" i="31"/>
  <c r="AG282" i="31"/>
  <c r="AG283" i="31"/>
  <c r="AG284" i="31"/>
  <c r="AG285" i="31"/>
  <c r="AG286" i="31"/>
  <c r="AG287" i="31"/>
  <c r="AG288" i="31"/>
  <c r="AG289" i="31"/>
  <c r="AG290" i="31"/>
  <c r="AG291" i="31"/>
  <c r="AG292" i="31"/>
  <c r="AG293" i="31"/>
  <c r="AG294" i="31"/>
  <c r="AG295" i="31"/>
  <c r="AG296" i="31"/>
  <c r="AG297" i="31"/>
  <c r="AG298" i="31"/>
  <c r="AG299" i="31"/>
  <c r="AG300" i="31"/>
  <c r="AG301" i="31"/>
  <c r="AG302" i="31"/>
  <c r="AG303" i="31"/>
  <c r="AG304" i="31"/>
  <c r="AG305" i="31"/>
  <c r="AG306" i="31"/>
  <c r="AG307" i="31"/>
  <c r="AG308" i="31"/>
  <c r="AG309" i="31"/>
  <c r="AG310" i="31"/>
  <c r="AG311" i="31"/>
  <c r="AG312" i="31"/>
  <c r="AG313" i="31"/>
  <c r="AG314" i="31"/>
  <c r="AG315" i="31"/>
  <c r="AG316" i="31"/>
  <c r="AG317" i="31"/>
  <c r="AG318" i="31"/>
  <c r="AG319" i="31"/>
  <c r="AG320" i="31"/>
  <c r="AG321" i="31"/>
  <c r="AG322" i="31"/>
  <c r="AG323" i="31"/>
  <c r="AG324" i="31"/>
  <c r="AG325" i="31"/>
  <c r="AG326" i="31"/>
  <c r="AG327" i="31"/>
  <c r="AG328" i="31"/>
  <c r="AG329" i="31"/>
  <c r="AG330" i="31"/>
  <c r="AG331" i="31"/>
  <c r="AG332" i="31"/>
  <c r="AG333" i="31"/>
  <c r="AG334" i="31"/>
  <c r="AG335" i="31"/>
  <c r="AG336" i="31"/>
  <c r="AG337" i="31"/>
  <c r="AG338" i="31"/>
  <c r="AG339" i="31"/>
  <c r="AG340" i="31"/>
  <c r="AG341" i="31"/>
  <c r="AG342" i="31"/>
  <c r="AG343" i="31"/>
  <c r="AG344" i="31"/>
  <c r="AG345" i="31"/>
  <c r="AG346" i="31"/>
  <c r="AG347" i="31"/>
  <c r="AG348" i="31"/>
  <c r="AG349" i="31"/>
  <c r="AG350" i="31"/>
  <c r="AG351" i="31"/>
  <c r="AG352" i="31"/>
  <c r="AG353" i="31"/>
  <c r="AG354" i="31"/>
  <c r="AG355" i="31"/>
  <c r="AG356" i="31"/>
  <c r="AG357" i="31"/>
  <c r="AG358" i="31"/>
  <c r="AG359" i="31"/>
  <c r="AG360" i="31"/>
  <c r="AG361" i="31"/>
  <c r="AG362" i="31"/>
  <c r="AG363" i="31"/>
  <c r="AG364" i="31"/>
  <c r="AG365" i="31"/>
  <c r="AG366" i="31"/>
  <c r="AG367" i="31"/>
  <c r="AG368" i="31"/>
  <c r="AG369" i="31"/>
  <c r="AG370" i="31"/>
  <c r="AG371" i="31"/>
  <c r="AG372" i="31"/>
  <c r="AG373" i="31"/>
  <c r="AG374" i="31"/>
  <c r="AG375" i="31"/>
  <c r="AG376" i="31"/>
  <c r="AG377" i="31"/>
  <c r="AG378" i="31"/>
  <c r="AG379" i="31"/>
  <c r="AG380" i="31"/>
  <c r="AG381" i="31"/>
  <c r="AG382" i="31"/>
  <c r="AG383" i="31"/>
  <c r="AG384" i="31"/>
  <c r="AG385" i="31"/>
  <c r="AG386" i="31"/>
  <c r="AG387" i="31"/>
  <c r="AG388" i="31"/>
  <c r="AG389" i="31"/>
  <c r="AG390" i="31"/>
  <c r="AG391" i="31"/>
  <c r="AG392" i="31"/>
  <c r="AG393" i="31"/>
  <c r="AG394" i="31"/>
  <c r="AG395" i="31"/>
  <c r="AG396" i="31"/>
  <c r="AG397" i="31"/>
  <c r="AG398" i="31"/>
  <c r="AG399" i="31"/>
  <c r="AG400" i="31"/>
  <c r="AG401" i="31"/>
  <c r="AG402" i="31"/>
  <c r="AG403" i="31"/>
  <c r="AG404" i="31"/>
  <c r="AG405" i="31"/>
  <c r="AG406" i="31"/>
  <c r="AG407" i="31"/>
  <c r="AG408" i="31"/>
  <c r="AG409" i="31"/>
  <c r="AG410" i="31"/>
  <c r="AG411" i="31"/>
  <c r="AG412" i="31"/>
  <c r="AG413" i="31"/>
  <c r="AG414" i="31"/>
  <c r="AG415" i="31"/>
  <c r="AG416" i="31"/>
  <c r="AG417" i="31"/>
  <c r="AG418" i="31"/>
  <c r="AG419" i="31"/>
  <c r="AG420" i="31"/>
  <c r="AG421" i="31"/>
  <c r="AG422" i="31"/>
  <c r="AG423" i="31"/>
  <c r="AG424" i="31"/>
  <c r="AG425" i="31"/>
  <c r="AG426" i="31"/>
  <c r="AG427" i="31"/>
  <c r="AG428" i="31"/>
  <c r="AG429" i="31"/>
  <c r="AG430" i="31"/>
  <c r="AG431" i="31"/>
  <c r="AG432" i="31"/>
  <c r="AG433" i="31"/>
  <c r="AG434" i="31"/>
  <c r="AG435" i="31"/>
  <c r="AG436" i="31"/>
  <c r="AG437" i="31"/>
  <c r="AG438" i="31"/>
  <c r="AG439" i="31"/>
  <c r="AG440" i="31"/>
  <c r="AG441" i="31"/>
  <c r="AG442" i="31"/>
  <c r="AG443" i="31"/>
  <c r="AG444" i="31"/>
  <c r="AG445" i="31"/>
  <c r="AG446" i="31"/>
  <c r="AG447" i="31"/>
  <c r="AG448" i="31"/>
  <c r="AG449" i="31"/>
  <c r="AG450" i="31"/>
  <c r="AG451" i="31"/>
  <c r="AG452" i="31"/>
  <c r="AG453" i="31"/>
  <c r="AG454" i="31"/>
  <c r="AG455" i="31"/>
  <c r="AG456" i="31"/>
  <c r="AG457" i="31"/>
  <c r="AG458" i="31"/>
  <c r="AG459" i="31"/>
  <c r="AG460" i="31"/>
  <c r="AG461" i="31"/>
  <c r="AG462" i="31"/>
  <c r="AG463" i="31"/>
  <c r="AG464" i="31"/>
  <c r="AG465" i="31"/>
  <c r="AG466" i="31"/>
  <c r="AG467" i="31"/>
  <c r="AG468" i="31"/>
  <c r="AG469" i="31"/>
  <c r="AG470" i="31"/>
  <c r="AG471" i="31"/>
  <c r="AG472" i="31"/>
  <c r="AG473" i="31"/>
  <c r="AG474" i="31"/>
  <c r="AG475" i="31"/>
  <c r="AG476" i="31"/>
  <c r="AG477" i="31"/>
  <c r="AG478" i="31"/>
  <c r="AG479" i="31"/>
  <c r="AG480" i="31"/>
  <c r="AG481" i="31"/>
  <c r="AG482" i="31"/>
  <c r="AG483" i="31"/>
  <c r="AG484" i="31"/>
  <c r="AG485" i="31"/>
  <c r="AG486" i="31"/>
  <c r="AG487" i="31"/>
  <c r="AG488" i="31"/>
  <c r="AG489" i="31"/>
  <c r="AG490" i="31"/>
  <c r="AG491" i="31"/>
  <c r="AG492" i="31"/>
  <c r="AG493" i="31"/>
  <c r="AG494" i="31"/>
  <c r="AG495" i="31"/>
  <c r="AG496" i="31"/>
  <c r="AG497" i="31"/>
  <c r="AG498" i="31"/>
  <c r="AG499" i="31"/>
  <c r="AG500" i="31"/>
  <c r="AG501" i="31"/>
  <c r="AG502" i="31"/>
  <c r="AG503" i="31"/>
  <c r="AG504" i="31"/>
  <c r="AG505" i="31"/>
  <c r="AG506" i="31"/>
  <c r="AG507" i="31"/>
  <c r="AG508" i="31"/>
  <c r="AG509" i="31"/>
  <c r="AG510" i="31"/>
  <c r="AG511" i="31"/>
  <c r="AG512" i="31"/>
  <c r="AG513" i="31"/>
  <c r="AG514" i="31"/>
  <c r="AG515" i="31"/>
  <c r="AG516" i="31"/>
  <c r="AG517" i="31"/>
  <c r="AG518" i="31"/>
  <c r="AG519" i="31"/>
  <c r="AG520" i="31"/>
  <c r="AG521" i="31"/>
  <c r="AG522" i="31"/>
  <c r="AG523" i="31"/>
  <c r="AG524" i="31"/>
  <c r="AG525" i="31"/>
  <c r="AG526" i="31"/>
  <c r="AG527" i="31"/>
  <c r="AG528" i="31"/>
  <c r="AG529" i="31"/>
  <c r="AG530" i="31"/>
  <c r="AG531" i="31"/>
  <c r="AG532" i="31"/>
  <c r="AG533" i="31"/>
  <c r="AG534" i="31"/>
  <c r="AG535" i="31"/>
  <c r="AG536" i="31"/>
  <c r="AG537" i="31"/>
  <c r="AG538" i="31"/>
  <c r="AG539" i="31"/>
  <c r="AG540" i="31"/>
  <c r="AG541" i="31"/>
  <c r="AG542" i="31"/>
  <c r="AG543" i="31"/>
  <c r="AG544" i="31"/>
  <c r="AG545" i="31"/>
  <c r="AG546" i="31"/>
  <c r="AG547" i="31"/>
  <c r="AG548" i="31"/>
  <c r="AG549" i="31"/>
  <c r="AG550" i="31"/>
  <c r="AG551" i="31"/>
  <c r="AG552" i="31"/>
  <c r="AG553" i="31"/>
  <c r="AG554" i="31"/>
  <c r="AG555" i="31"/>
  <c r="AG556" i="31"/>
  <c r="AG557" i="31"/>
  <c r="AG558" i="31"/>
  <c r="AG559" i="31"/>
  <c r="AG560" i="31"/>
  <c r="AG561" i="31"/>
  <c r="AG562" i="31"/>
  <c r="AG563" i="31"/>
  <c r="AG564" i="31"/>
  <c r="AG565" i="31"/>
  <c r="AG566" i="31"/>
  <c r="AG567" i="31"/>
  <c r="AG568" i="31"/>
  <c r="AG569" i="31"/>
  <c r="AG570" i="31"/>
  <c r="AG571" i="31"/>
  <c r="AG572" i="31"/>
  <c r="AG573" i="31"/>
  <c r="AG574" i="31"/>
  <c r="AG575" i="31"/>
  <c r="AG576" i="31"/>
  <c r="AG577" i="31"/>
  <c r="AG578" i="31"/>
  <c r="AG579" i="31"/>
  <c r="AG580" i="31"/>
  <c r="AG581" i="31"/>
  <c r="AG582" i="31"/>
  <c r="AG583" i="31"/>
  <c r="AG584" i="31"/>
  <c r="AG585" i="31"/>
  <c r="AG586" i="31"/>
  <c r="AG587" i="31"/>
  <c r="AG588" i="31"/>
  <c r="AG589" i="31"/>
  <c r="AG590" i="31"/>
  <c r="AG591" i="31"/>
  <c r="AG592" i="31"/>
  <c r="AG593" i="31"/>
  <c r="AG594" i="31"/>
  <c r="AG595" i="31"/>
  <c r="AG596" i="31"/>
  <c r="AG597" i="31"/>
  <c r="AG598" i="31"/>
  <c r="AG599" i="31"/>
  <c r="AG600" i="31"/>
  <c r="AG601" i="31"/>
  <c r="AG602" i="31"/>
  <c r="AG603" i="31"/>
  <c r="AG604" i="31"/>
  <c r="AG605" i="31"/>
  <c r="AG606" i="31"/>
  <c r="AG607" i="31"/>
  <c r="AG608" i="31"/>
  <c r="AG609" i="31"/>
  <c r="AG610" i="31"/>
  <c r="AG611" i="31"/>
  <c r="AG612" i="31"/>
  <c r="AG613" i="31"/>
  <c r="AG614" i="31"/>
  <c r="AG615" i="31"/>
  <c r="AG616" i="31"/>
  <c r="AG617" i="31"/>
  <c r="AG618" i="31"/>
  <c r="AG619" i="31"/>
  <c r="AG620" i="31"/>
  <c r="AG621" i="31"/>
  <c r="AG622" i="31"/>
  <c r="AG623" i="31"/>
  <c r="AG624" i="31"/>
  <c r="AG625" i="31"/>
  <c r="AG626" i="31"/>
  <c r="AG627" i="31"/>
  <c r="AG628" i="31"/>
  <c r="AG629" i="31"/>
  <c r="AG630" i="31"/>
  <c r="AG631" i="31"/>
  <c r="AG632" i="31"/>
  <c r="AG633" i="31"/>
  <c r="AG634" i="31"/>
  <c r="AG635" i="31"/>
  <c r="AG636" i="31"/>
  <c r="AG637" i="31"/>
  <c r="AG638" i="31"/>
  <c r="AG639" i="31"/>
  <c r="AG640" i="31"/>
  <c r="AG641" i="31"/>
  <c r="AG642" i="31"/>
  <c r="AG643" i="31"/>
  <c r="AG644" i="31"/>
  <c r="AG645" i="31"/>
  <c r="AG646" i="31"/>
  <c r="AG647" i="31"/>
  <c r="AG648" i="31"/>
  <c r="AG649" i="31"/>
  <c r="AG650" i="31"/>
  <c r="AG651" i="31"/>
  <c r="AG652" i="31"/>
  <c r="AG653" i="31"/>
  <c r="AG654" i="31"/>
  <c r="AG655" i="31"/>
  <c r="AG656" i="31"/>
  <c r="AG657" i="31"/>
  <c r="AG658" i="31"/>
  <c r="AG659" i="31"/>
  <c r="AG660" i="31"/>
  <c r="AG661" i="31"/>
  <c r="AG662" i="31"/>
  <c r="AG663" i="31"/>
  <c r="AG664" i="31"/>
  <c r="AG665" i="31"/>
  <c r="AG666" i="31"/>
  <c r="AG667" i="31"/>
  <c r="AG668" i="31"/>
  <c r="AG9" i="31"/>
  <c r="AH10" i="31"/>
  <c r="AH11" i="31"/>
  <c r="AH12" i="31"/>
  <c r="AH13" i="31"/>
  <c r="AH14" i="31"/>
  <c r="AH15" i="31"/>
  <c r="AH16" i="31"/>
  <c r="AH17" i="31"/>
  <c r="AH18" i="31"/>
  <c r="AH19" i="31"/>
  <c r="AH20" i="31"/>
  <c r="AH21" i="31"/>
  <c r="AH22" i="31"/>
  <c r="AH23" i="31"/>
  <c r="AH24" i="31"/>
  <c r="AH25" i="31"/>
  <c r="AH26" i="31"/>
  <c r="AH27" i="31"/>
  <c r="AH28" i="31"/>
  <c r="AH29" i="31"/>
  <c r="AH30" i="31"/>
  <c r="AH31" i="31"/>
  <c r="AH32" i="31"/>
  <c r="AH33" i="31"/>
  <c r="AH34" i="31"/>
  <c r="AH35" i="31"/>
  <c r="AH36" i="31"/>
  <c r="AH37" i="31"/>
  <c r="AH38" i="31"/>
  <c r="AH39" i="31"/>
  <c r="AH40" i="31"/>
  <c r="AH41" i="31"/>
  <c r="AH42" i="31"/>
  <c r="AH43" i="31"/>
  <c r="AH44" i="31"/>
  <c r="AH45" i="31"/>
  <c r="AH46" i="31"/>
  <c r="AH47" i="31"/>
  <c r="AH48" i="31"/>
  <c r="AH49" i="31"/>
  <c r="AH50" i="31"/>
  <c r="AH51" i="31"/>
  <c r="AH52" i="31"/>
  <c r="AH53" i="31"/>
  <c r="AH54" i="31"/>
  <c r="AH55" i="31"/>
  <c r="AH56" i="31"/>
  <c r="AH57" i="31"/>
  <c r="AH58" i="31"/>
  <c r="AH59" i="31"/>
  <c r="AH60" i="31"/>
  <c r="AH61" i="31"/>
  <c r="AH62" i="31"/>
  <c r="AH63" i="31"/>
  <c r="AH64" i="31"/>
  <c r="AH65" i="31"/>
  <c r="AH66" i="31"/>
  <c r="AH67" i="31"/>
  <c r="AH68" i="31"/>
  <c r="AH69" i="31"/>
  <c r="AH70" i="31"/>
  <c r="AH71" i="31"/>
  <c r="AH72" i="31"/>
  <c r="AH73" i="31"/>
  <c r="AH74" i="31"/>
  <c r="AH75" i="31"/>
  <c r="AH76" i="31"/>
  <c r="AH77" i="31"/>
  <c r="AH78" i="31"/>
  <c r="AH79" i="31"/>
  <c r="AH80" i="31"/>
  <c r="AH81" i="31"/>
  <c r="AH82" i="31"/>
  <c r="AH83" i="31"/>
  <c r="AH84" i="31"/>
  <c r="AH85" i="31"/>
  <c r="AH86" i="31"/>
  <c r="AH87" i="31"/>
  <c r="AH88" i="31"/>
  <c r="AH89" i="31"/>
  <c r="AH90" i="31"/>
  <c r="AH91" i="31"/>
  <c r="AH92" i="31"/>
  <c r="AH93" i="31"/>
  <c r="AH94" i="31"/>
  <c r="AH95" i="31"/>
  <c r="AH96" i="31"/>
  <c r="AH97" i="31"/>
  <c r="AH98" i="31"/>
  <c r="AH99" i="31"/>
  <c r="AH100" i="31"/>
  <c r="AH101" i="31"/>
  <c r="AH102" i="31"/>
  <c r="AH103" i="31"/>
  <c r="AH104" i="31"/>
  <c r="AH105" i="31"/>
  <c r="AH106" i="31"/>
  <c r="AH107" i="31"/>
  <c r="AH108" i="31"/>
  <c r="AH109" i="31"/>
  <c r="AH110" i="31"/>
  <c r="AH111" i="31"/>
  <c r="AH112" i="31"/>
  <c r="AH113" i="31"/>
  <c r="AH114" i="31"/>
  <c r="AH115" i="31"/>
  <c r="AH116" i="31"/>
  <c r="AH117" i="31"/>
  <c r="AH118" i="31"/>
  <c r="AH119" i="31"/>
  <c r="AH120" i="31"/>
  <c r="AH121" i="31"/>
  <c r="AH122" i="31"/>
  <c r="AH123" i="31"/>
  <c r="AH124" i="31"/>
  <c r="AH125" i="31"/>
  <c r="AH126" i="31"/>
  <c r="AH127" i="31"/>
  <c r="AH128" i="31"/>
  <c r="AH129" i="31"/>
  <c r="AH130" i="31"/>
  <c r="AH131" i="31"/>
  <c r="AH132" i="31"/>
  <c r="AH133" i="31"/>
  <c r="AH134" i="31"/>
  <c r="AH135" i="31"/>
  <c r="AH136" i="31"/>
  <c r="AH137" i="31"/>
  <c r="AH138" i="31"/>
  <c r="AH139" i="31"/>
  <c r="AH140" i="31"/>
  <c r="AH141" i="31"/>
  <c r="AH142" i="31"/>
  <c r="AH143" i="31"/>
  <c r="AH144" i="31"/>
  <c r="AH145" i="31"/>
  <c r="AH146" i="31"/>
  <c r="AH147" i="31"/>
  <c r="AH148" i="31"/>
  <c r="AH149" i="31"/>
  <c r="AH150" i="31"/>
  <c r="AH151" i="31"/>
  <c r="AH152" i="31"/>
  <c r="AH153" i="31"/>
  <c r="AH154" i="31"/>
  <c r="AH155" i="31"/>
  <c r="AH156" i="31"/>
  <c r="AH157" i="31"/>
  <c r="AH158" i="31"/>
  <c r="AH159" i="31"/>
  <c r="AH160" i="31"/>
  <c r="AH161" i="31"/>
  <c r="AH162" i="31"/>
  <c r="AH163" i="31"/>
  <c r="AH164" i="31"/>
  <c r="AH165" i="31"/>
  <c r="AH166" i="31"/>
  <c r="AH167" i="31"/>
  <c r="AH168" i="31"/>
  <c r="AH169" i="31"/>
  <c r="AH170" i="31"/>
  <c r="AH171" i="31"/>
  <c r="AH172" i="31"/>
  <c r="AH173" i="31"/>
  <c r="AH174" i="31"/>
  <c r="AH175" i="31"/>
  <c r="AH176" i="31"/>
  <c r="AH177" i="31"/>
  <c r="AH178" i="31"/>
  <c r="AH179" i="31"/>
  <c r="AH180" i="31"/>
  <c r="AH181" i="31"/>
  <c r="AH182" i="31"/>
  <c r="AH183" i="31"/>
  <c r="AH184" i="31"/>
  <c r="AH185" i="31"/>
  <c r="AH186" i="31"/>
  <c r="AH187" i="31"/>
  <c r="AH188" i="31"/>
  <c r="AH189" i="31"/>
  <c r="AH190" i="31"/>
  <c r="AH191" i="31"/>
  <c r="AH192" i="31"/>
  <c r="AH193" i="31"/>
  <c r="AH194" i="31"/>
  <c r="AH195" i="31"/>
  <c r="AH196" i="31"/>
  <c r="AH197" i="31"/>
  <c r="AH198" i="31"/>
  <c r="AH199" i="31"/>
  <c r="AH200" i="31"/>
  <c r="AH201" i="31"/>
  <c r="AH202" i="31"/>
  <c r="AH203" i="31"/>
  <c r="AH204" i="31"/>
  <c r="AH205" i="31"/>
  <c r="AH206" i="31"/>
  <c r="AH207" i="31"/>
  <c r="AH208" i="31"/>
  <c r="AH209" i="31"/>
  <c r="AH210" i="31"/>
  <c r="AH211" i="31"/>
  <c r="AH212" i="31"/>
  <c r="AH213" i="31"/>
  <c r="AH214" i="31"/>
  <c r="AH215" i="31"/>
  <c r="AH216" i="31"/>
  <c r="AH217" i="31"/>
  <c r="AH218" i="31"/>
  <c r="AH219" i="31"/>
  <c r="AH220" i="31"/>
  <c r="AH221" i="31"/>
  <c r="AH222" i="31"/>
  <c r="AH223" i="31"/>
  <c r="AH224" i="31"/>
  <c r="AH225" i="31"/>
  <c r="AH226" i="31"/>
  <c r="AH227" i="31"/>
  <c r="AH228" i="31"/>
  <c r="AH229" i="31"/>
  <c r="AH230" i="31"/>
  <c r="AH231" i="31"/>
  <c r="AH232" i="31"/>
  <c r="AH233" i="31"/>
  <c r="AH234" i="31"/>
  <c r="AH235" i="31"/>
  <c r="AH236" i="31"/>
  <c r="AH237" i="31"/>
  <c r="AH238" i="31"/>
  <c r="AH239" i="31"/>
  <c r="AH240" i="31"/>
  <c r="AH241" i="31"/>
  <c r="AH242" i="31"/>
  <c r="AH243" i="31"/>
  <c r="AH244" i="31"/>
  <c r="AH245" i="31"/>
  <c r="AH246" i="31"/>
  <c r="AH247" i="31"/>
  <c r="AH248" i="31"/>
  <c r="AH249" i="31"/>
  <c r="AH250" i="31"/>
  <c r="AH251" i="31"/>
  <c r="AH252" i="31"/>
  <c r="AH253" i="31"/>
  <c r="AH254" i="31"/>
  <c r="AH255" i="31"/>
  <c r="AH256" i="31"/>
  <c r="AH257" i="31"/>
  <c r="AH258" i="31"/>
  <c r="AH259" i="31"/>
  <c r="AH260" i="31"/>
  <c r="AH261" i="31"/>
  <c r="AH262" i="31"/>
  <c r="AH263" i="31"/>
  <c r="AH264" i="31"/>
  <c r="AH265" i="31"/>
  <c r="AH266" i="31"/>
  <c r="AH267" i="31"/>
  <c r="AH268" i="31"/>
  <c r="AH269" i="31"/>
  <c r="AH270" i="31"/>
  <c r="AH271" i="31"/>
  <c r="AH272" i="31"/>
  <c r="AH273" i="31"/>
  <c r="AH274" i="31"/>
  <c r="AH275" i="31"/>
  <c r="AH276" i="31"/>
  <c r="AH277" i="31"/>
  <c r="AH278" i="31"/>
  <c r="AH279" i="31"/>
  <c r="AH280" i="31"/>
  <c r="AH281" i="31"/>
  <c r="AH282" i="31"/>
  <c r="AH283" i="31"/>
  <c r="AH284" i="31"/>
  <c r="AH285" i="31"/>
  <c r="AH286" i="31"/>
  <c r="AH287" i="31"/>
  <c r="AH288" i="31"/>
  <c r="AH289" i="31"/>
  <c r="AH290" i="31"/>
  <c r="AH291" i="31"/>
  <c r="AH292" i="31"/>
  <c r="AH293" i="31"/>
  <c r="AH294" i="31"/>
  <c r="AH295" i="31"/>
  <c r="AH296" i="31"/>
  <c r="AH297" i="31"/>
  <c r="AH298" i="31"/>
  <c r="AH299" i="31"/>
  <c r="AH300" i="31"/>
  <c r="AH301" i="31"/>
  <c r="AH302" i="31"/>
  <c r="AH303" i="31"/>
  <c r="AH304" i="31"/>
  <c r="AH305" i="31"/>
  <c r="AH306" i="31"/>
  <c r="AH307" i="31"/>
  <c r="AH308" i="31"/>
  <c r="AH309" i="31"/>
  <c r="AH310" i="31"/>
  <c r="AH311" i="31"/>
  <c r="AH312" i="31"/>
  <c r="AH313" i="31"/>
  <c r="AH314" i="31"/>
  <c r="AH315" i="31"/>
  <c r="AH316" i="31"/>
  <c r="AH317" i="31"/>
  <c r="AH318" i="31"/>
  <c r="AH319" i="31"/>
  <c r="AH320" i="31"/>
  <c r="AH321" i="31"/>
  <c r="AH322" i="31"/>
  <c r="AH323" i="31"/>
  <c r="AH324" i="31"/>
  <c r="AH325" i="31"/>
  <c r="AH326" i="31"/>
  <c r="AH327" i="31"/>
  <c r="AH328" i="31"/>
  <c r="AH329" i="31"/>
  <c r="AH330" i="31"/>
  <c r="AH331" i="31"/>
  <c r="AH332" i="31"/>
  <c r="AH333" i="31"/>
  <c r="AH334" i="31"/>
  <c r="AH335" i="31"/>
  <c r="AH336" i="31"/>
  <c r="AH337" i="31"/>
  <c r="AH338" i="31"/>
  <c r="AH339" i="31"/>
  <c r="AH340" i="31"/>
  <c r="AH341" i="31"/>
  <c r="AH342" i="31"/>
  <c r="AH343" i="31"/>
  <c r="AH344" i="31"/>
  <c r="AH345" i="31"/>
  <c r="AH346" i="31"/>
  <c r="AH347" i="31"/>
  <c r="AH348" i="31"/>
  <c r="AH349" i="31"/>
  <c r="AH350" i="31"/>
  <c r="AH351" i="31"/>
  <c r="AH352" i="31"/>
  <c r="AH353" i="31"/>
  <c r="AH354" i="31"/>
  <c r="AH355" i="31"/>
  <c r="AH356" i="31"/>
  <c r="AH357" i="31"/>
  <c r="AH358" i="31"/>
  <c r="AH359" i="31"/>
  <c r="AH360" i="31"/>
  <c r="AH361" i="31"/>
  <c r="AH362" i="31"/>
  <c r="AH363" i="31"/>
  <c r="AH364" i="31"/>
  <c r="AH365" i="31"/>
  <c r="AH366" i="31"/>
  <c r="AH367" i="31"/>
  <c r="AH368" i="31"/>
  <c r="AH369" i="31"/>
  <c r="AH370" i="31"/>
  <c r="AH371" i="31"/>
  <c r="AH372" i="31"/>
  <c r="AH373" i="31"/>
  <c r="AH374" i="31"/>
  <c r="AH375" i="31"/>
  <c r="AH376" i="31"/>
  <c r="AH377" i="31"/>
  <c r="AH378" i="31"/>
  <c r="AH379" i="31"/>
  <c r="AH380" i="31"/>
  <c r="AH381" i="31"/>
  <c r="AH382" i="31"/>
  <c r="AH383" i="31"/>
  <c r="AH384" i="31"/>
  <c r="AH385" i="31"/>
  <c r="AH386" i="31"/>
  <c r="AH387" i="31"/>
  <c r="AH388" i="31"/>
  <c r="AH389" i="31"/>
  <c r="AH390" i="31"/>
  <c r="AH391" i="31"/>
  <c r="AH392" i="31"/>
  <c r="AH393" i="31"/>
  <c r="AH394" i="31"/>
  <c r="AH395" i="31"/>
  <c r="AH396" i="31"/>
  <c r="AH397" i="31"/>
  <c r="AH398" i="31"/>
  <c r="AH399" i="31"/>
  <c r="AH400" i="31"/>
  <c r="AH401" i="31"/>
  <c r="AH402" i="31"/>
  <c r="AH403" i="31"/>
  <c r="AH404" i="31"/>
  <c r="AH405" i="31"/>
  <c r="AH406" i="31"/>
  <c r="AH407" i="31"/>
  <c r="AH408" i="31"/>
  <c r="AH409" i="31"/>
  <c r="AH410" i="31"/>
  <c r="AH411" i="31"/>
  <c r="AH412" i="31"/>
  <c r="AH413" i="31"/>
  <c r="AH414" i="31"/>
  <c r="AH415" i="31"/>
  <c r="AH416" i="31"/>
  <c r="AH417" i="31"/>
  <c r="AH418" i="31"/>
  <c r="AH419" i="31"/>
  <c r="AH420" i="31"/>
  <c r="AH421" i="31"/>
  <c r="AH422" i="31"/>
  <c r="AH423" i="31"/>
  <c r="AH424" i="31"/>
  <c r="AH425" i="31"/>
  <c r="AH426" i="31"/>
  <c r="AH427" i="31"/>
  <c r="AH428" i="31"/>
  <c r="AH429" i="31"/>
  <c r="AH430" i="31"/>
  <c r="AH431" i="31"/>
  <c r="AH432" i="31"/>
  <c r="AH433" i="31"/>
  <c r="AH434" i="31"/>
  <c r="AH435" i="31"/>
  <c r="AH436" i="31"/>
  <c r="AH437" i="31"/>
  <c r="AH438" i="31"/>
  <c r="AH439" i="31"/>
  <c r="AH440" i="31"/>
  <c r="AH441" i="31"/>
  <c r="AH442" i="31"/>
  <c r="AH443" i="31"/>
  <c r="AH444" i="31"/>
  <c r="AH445" i="31"/>
  <c r="AH446" i="31"/>
  <c r="AH447" i="31"/>
  <c r="AH448" i="31"/>
  <c r="AH449" i="31"/>
  <c r="AH450" i="31"/>
  <c r="AH451" i="31"/>
  <c r="AH452" i="31"/>
  <c r="AH453" i="31"/>
  <c r="AH454" i="31"/>
  <c r="AH455" i="31"/>
  <c r="AH456" i="31"/>
  <c r="AH457" i="31"/>
  <c r="AH458" i="31"/>
  <c r="AH459" i="31"/>
  <c r="AH460" i="31"/>
  <c r="AH461" i="31"/>
  <c r="AH462" i="31"/>
  <c r="AH463" i="31"/>
  <c r="AH464" i="31"/>
  <c r="AH465" i="31"/>
  <c r="AH466" i="31"/>
  <c r="AH467" i="31"/>
  <c r="AH468" i="31"/>
  <c r="AH469" i="31"/>
  <c r="AH470" i="31"/>
  <c r="AH471" i="31"/>
  <c r="AH472" i="31"/>
  <c r="AH473" i="31"/>
  <c r="AH474" i="31"/>
  <c r="AH475" i="31"/>
  <c r="AH476" i="31"/>
  <c r="AH477" i="31"/>
  <c r="AH478" i="31"/>
  <c r="AH479" i="31"/>
  <c r="AH480" i="31"/>
  <c r="AH481" i="31"/>
  <c r="AH482" i="31"/>
  <c r="AH483" i="31"/>
  <c r="AH484" i="31"/>
  <c r="AH485" i="31"/>
  <c r="AH486" i="31"/>
  <c r="AH487" i="31"/>
  <c r="AH488" i="31"/>
  <c r="AH489" i="31"/>
  <c r="AH490" i="31"/>
  <c r="AH491" i="31"/>
  <c r="AH492" i="31"/>
  <c r="AH493" i="31"/>
  <c r="AH494" i="31"/>
  <c r="AH495" i="31"/>
  <c r="AH496" i="31"/>
  <c r="AH497" i="31"/>
  <c r="AH498" i="31"/>
  <c r="AH499" i="31"/>
  <c r="AH500" i="31"/>
  <c r="AH501" i="31"/>
  <c r="AH502" i="31"/>
  <c r="AH503" i="31"/>
  <c r="AH504" i="31"/>
  <c r="AH505" i="31"/>
  <c r="AH506" i="31"/>
  <c r="AH507" i="31"/>
  <c r="AH508" i="31"/>
  <c r="AH509" i="31"/>
  <c r="AH510" i="31"/>
  <c r="AH511" i="31"/>
  <c r="AH512" i="31"/>
  <c r="AH513" i="31"/>
  <c r="AH514" i="31"/>
  <c r="AH515" i="31"/>
  <c r="AH516" i="31"/>
  <c r="AH517" i="31"/>
  <c r="AH518" i="31"/>
  <c r="AH519" i="31"/>
  <c r="AH520" i="31"/>
  <c r="AH521" i="31"/>
  <c r="AH522" i="31"/>
  <c r="AH523" i="31"/>
  <c r="AH524" i="31"/>
  <c r="AH525" i="31"/>
  <c r="AH526" i="31"/>
  <c r="AH527" i="31"/>
  <c r="AH528" i="31"/>
  <c r="AH529" i="31"/>
  <c r="AH530" i="31"/>
  <c r="AH531" i="31"/>
  <c r="AH532" i="31"/>
  <c r="AH533" i="31"/>
  <c r="AH534" i="31"/>
  <c r="AH535" i="31"/>
  <c r="AH536" i="31"/>
  <c r="AH537" i="31"/>
  <c r="AH538" i="31"/>
  <c r="AH539" i="31"/>
  <c r="AH540" i="31"/>
  <c r="AH541" i="31"/>
  <c r="AH542" i="31"/>
  <c r="AH543" i="31"/>
  <c r="AH544" i="31"/>
  <c r="AH545" i="31"/>
  <c r="AH546" i="31"/>
  <c r="AH547" i="31"/>
  <c r="AH548" i="31"/>
  <c r="AH549" i="31"/>
  <c r="AH550" i="31"/>
  <c r="AH551" i="31"/>
  <c r="AH552" i="31"/>
  <c r="AH553" i="31"/>
  <c r="AH554" i="31"/>
  <c r="AH555" i="31"/>
  <c r="AH556" i="31"/>
  <c r="AH557" i="31"/>
  <c r="AH558" i="31"/>
  <c r="AH559" i="31"/>
  <c r="AH560" i="31"/>
  <c r="AH561" i="31"/>
  <c r="AH562" i="31"/>
  <c r="AH563" i="31"/>
  <c r="AH564" i="31"/>
  <c r="AH565" i="31"/>
  <c r="AH566" i="31"/>
  <c r="AH567" i="31"/>
  <c r="AH568" i="31"/>
  <c r="AH569" i="31"/>
  <c r="AH570" i="31"/>
  <c r="AH571" i="31"/>
  <c r="AH572" i="31"/>
  <c r="AH573" i="31"/>
  <c r="AH574" i="31"/>
  <c r="AH575" i="31"/>
  <c r="AH576" i="31"/>
  <c r="AH577" i="31"/>
  <c r="AH578" i="31"/>
  <c r="AH579" i="31"/>
  <c r="AH580" i="31"/>
  <c r="AH581" i="31"/>
  <c r="AH582" i="31"/>
  <c r="AH583" i="31"/>
  <c r="AH584" i="31"/>
  <c r="AH585" i="31"/>
  <c r="AH586" i="31"/>
  <c r="AH587" i="31"/>
  <c r="AH588" i="31"/>
  <c r="AH589" i="31"/>
  <c r="AH590" i="31"/>
  <c r="AH591" i="31"/>
  <c r="AH592" i="31"/>
  <c r="AH593" i="31"/>
  <c r="AH594" i="31"/>
  <c r="AH595" i="31"/>
  <c r="AH596" i="31"/>
  <c r="AH597" i="31"/>
  <c r="AH598" i="31"/>
  <c r="AH599" i="31"/>
  <c r="AH600" i="31"/>
  <c r="AH601" i="31"/>
  <c r="AH602" i="31"/>
  <c r="AH603" i="31"/>
  <c r="AH604" i="31"/>
  <c r="AH605" i="31"/>
  <c r="AH606" i="31"/>
  <c r="AH607" i="31"/>
  <c r="AH608" i="31"/>
  <c r="AH609" i="31"/>
  <c r="AH610" i="31"/>
  <c r="AH611" i="31"/>
  <c r="AH612" i="31"/>
  <c r="AH613" i="31"/>
  <c r="AH614" i="31"/>
  <c r="AH615" i="31"/>
  <c r="AH616" i="31"/>
  <c r="AH617" i="31"/>
  <c r="AH618" i="31"/>
  <c r="AH619" i="31"/>
  <c r="AH620" i="31"/>
  <c r="AH621" i="31"/>
  <c r="AH622" i="31"/>
  <c r="AH623" i="31"/>
  <c r="AH624" i="31"/>
  <c r="AH625" i="31"/>
  <c r="AH626" i="31"/>
  <c r="AH627" i="31"/>
  <c r="AH628" i="31"/>
  <c r="AH629" i="31"/>
  <c r="AH630" i="31"/>
  <c r="AH631" i="31"/>
  <c r="AH632" i="31"/>
  <c r="AH633" i="31"/>
  <c r="AH634" i="31"/>
  <c r="AH635" i="31"/>
  <c r="AH636" i="31"/>
  <c r="AH637" i="31"/>
  <c r="AH638" i="31"/>
  <c r="AH639" i="31"/>
  <c r="AH640" i="31"/>
  <c r="AH641" i="31"/>
  <c r="AH642" i="31"/>
  <c r="AH643" i="31"/>
  <c r="AH644" i="31"/>
  <c r="AH645" i="31"/>
  <c r="AH646" i="31"/>
  <c r="AH647" i="31"/>
  <c r="AH648" i="31"/>
  <c r="AH649" i="31"/>
  <c r="AH650" i="31"/>
  <c r="AH651" i="31"/>
  <c r="AH652" i="31"/>
  <c r="AH653" i="31"/>
  <c r="AH654" i="31"/>
  <c r="AH655" i="31"/>
  <c r="AH656" i="31"/>
  <c r="AH657" i="31"/>
  <c r="AH658" i="31"/>
  <c r="AH659" i="31"/>
  <c r="AH660" i="31"/>
  <c r="AH661" i="31"/>
  <c r="AH662" i="31"/>
  <c r="AH663" i="31"/>
  <c r="AH664" i="31"/>
  <c r="AH665" i="31"/>
  <c r="AH666" i="31"/>
  <c r="AH667" i="31"/>
  <c r="AH668" i="31"/>
  <c r="AH9" i="31"/>
  <c r="AJ10" i="31"/>
  <c r="AJ11" i="31"/>
  <c r="AJ12" i="31"/>
  <c r="AJ13" i="31"/>
  <c r="AJ14" i="31"/>
  <c r="AJ15" i="31"/>
  <c r="AJ16" i="31"/>
  <c r="AJ17" i="31"/>
  <c r="AJ18" i="31"/>
  <c r="AJ19" i="31"/>
  <c r="AJ20" i="31"/>
  <c r="AJ21" i="31"/>
  <c r="AJ22" i="31"/>
  <c r="AJ23" i="31"/>
  <c r="AJ24" i="31"/>
  <c r="AJ25" i="31"/>
  <c r="AJ26" i="31"/>
  <c r="AJ27" i="31"/>
  <c r="AJ28" i="31"/>
  <c r="AJ29" i="31"/>
  <c r="AJ30" i="31"/>
  <c r="AJ31" i="31"/>
  <c r="AJ32" i="31"/>
  <c r="AJ33" i="31"/>
  <c r="AJ34" i="31"/>
  <c r="AJ35" i="31"/>
  <c r="AJ36" i="31"/>
  <c r="AJ37" i="31"/>
  <c r="AJ38" i="31"/>
  <c r="AJ39" i="31"/>
  <c r="AJ40" i="31"/>
  <c r="AJ41" i="31"/>
  <c r="AJ42" i="31"/>
  <c r="AJ43" i="31"/>
  <c r="AJ44" i="31"/>
  <c r="AJ45" i="31"/>
  <c r="AJ46" i="31"/>
  <c r="AJ47" i="31"/>
  <c r="AJ48" i="31"/>
  <c r="AJ49" i="31"/>
  <c r="AJ50" i="31"/>
  <c r="AJ51" i="31"/>
  <c r="AJ52" i="31"/>
  <c r="AJ53" i="31"/>
  <c r="AJ54" i="31"/>
  <c r="AJ55" i="31"/>
  <c r="AJ56" i="31"/>
  <c r="AJ57" i="31"/>
  <c r="AJ58" i="31"/>
  <c r="AJ59" i="31"/>
  <c r="AJ60" i="31"/>
  <c r="AJ61" i="31"/>
  <c r="AJ62" i="31"/>
  <c r="AJ63" i="31"/>
  <c r="AJ64" i="31"/>
  <c r="AJ65" i="31"/>
  <c r="AJ66" i="31"/>
  <c r="AJ67" i="31"/>
  <c r="AJ68" i="31"/>
  <c r="AJ69" i="31"/>
  <c r="AJ70" i="31"/>
  <c r="AJ71" i="31"/>
  <c r="AJ72" i="31"/>
  <c r="AJ73" i="31"/>
  <c r="AJ74" i="31"/>
  <c r="AJ75" i="31"/>
  <c r="AJ76" i="31"/>
  <c r="AJ77" i="31"/>
  <c r="AJ78" i="31"/>
  <c r="AJ79" i="31"/>
  <c r="AJ80" i="31"/>
  <c r="AJ81" i="31"/>
  <c r="AJ82" i="31"/>
  <c r="AJ83" i="31"/>
  <c r="AJ84" i="31"/>
  <c r="AJ85" i="31"/>
  <c r="AJ86" i="31"/>
  <c r="AJ87" i="31"/>
  <c r="AJ88" i="31"/>
  <c r="AJ89" i="31"/>
  <c r="AJ90" i="31"/>
  <c r="AJ91" i="31"/>
  <c r="AJ92" i="31"/>
  <c r="AJ93" i="31"/>
  <c r="AJ94" i="31"/>
  <c r="AJ95" i="31"/>
  <c r="AJ96" i="31"/>
  <c r="AJ97" i="31"/>
  <c r="AJ98" i="31"/>
  <c r="AJ99" i="31"/>
  <c r="AJ100" i="31"/>
  <c r="AJ101" i="31"/>
  <c r="AJ102" i="31"/>
  <c r="AJ103" i="31"/>
  <c r="AJ104" i="31"/>
  <c r="AJ105" i="31"/>
  <c r="AJ106" i="31"/>
  <c r="AJ107" i="31"/>
  <c r="AJ108" i="31"/>
  <c r="AJ109" i="31"/>
  <c r="AJ110" i="31"/>
  <c r="AJ111" i="31"/>
  <c r="AJ112" i="31"/>
  <c r="AJ113" i="31"/>
  <c r="AJ114" i="31"/>
  <c r="AJ115" i="31"/>
  <c r="AJ116" i="31"/>
  <c r="AJ117" i="31"/>
  <c r="AJ118" i="31"/>
  <c r="AJ119" i="31"/>
  <c r="AJ120" i="31"/>
  <c r="AJ121" i="31"/>
  <c r="AJ122" i="31"/>
  <c r="AJ123" i="31"/>
  <c r="AJ124" i="31"/>
  <c r="AJ125" i="31"/>
  <c r="AJ126" i="31"/>
  <c r="AJ127" i="31"/>
  <c r="AJ128" i="31"/>
  <c r="AJ129" i="31"/>
  <c r="AJ130" i="31"/>
  <c r="AJ131" i="31"/>
  <c r="AJ132" i="31"/>
  <c r="AJ133" i="31"/>
  <c r="AJ134" i="31"/>
  <c r="AJ135" i="31"/>
  <c r="AJ136" i="31"/>
  <c r="AJ137" i="31"/>
  <c r="AJ138" i="31"/>
  <c r="AJ139" i="31"/>
  <c r="AJ140" i="31"/>
  <c r="AJ141" i="31"/>
  <c r="AJ142" i="31"/>
  <c r="AJ143" i="31"/>
  <c r="AJ144" i="31"/>
  <c r="AJ145" i="31"/>
  <c r="AJ146" i="31"/>
  <c r="AJ147" i="31"/>
  <c r="AJ148" i="31"/>
  <c r="AJ149" i="31"/>
  <c r="AJ150" i="31"/>
  <c r="AJ151" i="31"/>
  <c r="AJ152" i="31"/>
  <c r="AJ153" i="31"/>
  <c r="AJ154" i="31"/>
  <c r="AJ155" i="31"/>
  <c r="AJ156" i="31"/>
  <c r="AJ157" i="31"/>
  <c r="AJ158" i="31"/>
  <c r="AJ159" i="31"/>
  <c r="AJ160" i="31"/>
  <c r="AJ161" i="31"/>
  <c r="AJ162" i="31"/>
  <c r="AJ163" i="31"/>
  <c r="AJ164" i="31"/>
  <c r="AJ165" i="31"/>
  <c r="AJ166" i="31"/>
  <c r="AJ167" i="31"/>
  <c r="AJ168" i="31"/>
  <c r="AJ169" i="31"/>
  <c r="AJ170" i="31"/>
  <c r="AJ171" i="31"/>
  <c r="AJ172" i="31"/>
  <c r="AJ173" i="31"/>
  <c r="AJ174" i="31"/>
  <c r="AJ175" i="31"/>
  <c r="AJ176" i="31"/>
  <c r="AJ177" i="31"/>
  <c r="AJ178" i="31"/>
  <c r="AJ179" i="31"/>
  <c r="AJ180" i="31"/>
  <c r="AJ181" i="31"/>
  <c r="AJ182" i="31"/>
  <c r="AJ183" i="31"/>
  <c r="AJ184" i="31"/>
  <c r="AJ185" i="31"/>
  <c r="AJ186" i="31"/>
  <c r="AJ187" i="31"/>
  <c r="AJ188" i="31"/>
  <c r="AJ189" i="31"/>
  <c r="AJ190" i="31"/>
  <c r="AJ191" i="31"/>
  <c r="AJ192" i="31"/>
  <c r="AJ193" i="31"/>
  <c r="AJ194" i="31"/>
  <c r="AJ195" i="31"/>
  <c r="AJ196" i="31"/>
  <c r="AJ197" i="31"/>
  <c r="AJ198" i="31"/>
  <c r="AJ199" i="31"/>
  <c r="AJ200" i="31"/>
  <c r="AJ201" i="31"/>
  <c r="AJ202" i="31"/>
  <c r="AJ203" i="31"/>
  <c r="AJ204" i="31"/>
  <c r="AJ205" i="31"/>
  <c r="AJ206" i="31"/>
  <c r="AJ207" i="31"/>
  <c r="AJ208" i="31"/>
  <c r="AJ209" i="31"/>
  <c r="AJ210" i="31"/>
  <c r="AJ211" i="31"/>
  <c r="AJ212" i="31"/>
  <c r="AJ213" i="31"/>
  <c r="AJ214" i="31"/>
  <c r="AJ215" i="31"/>
  <c r="AJ216" i="31"/>
  <c r="AJ217" i="31"/>
  <c r="AJ218" i="31"/>
  <c r="AJ219" i="31"/>
  <c r="AJ220" i="31"/>
  <c r="AJ221" i="31"/>
  <c r="AJ222" i="31"/>
  <c r="AJ223" i="31"/>
  <c r="AJ224" i="31"/>
  <c r="AJ225" i="31"/>
  <c r="AJ226" i="31"/>
  <c r="AJ227" i="31"/>
  <c r="AJ228" i="31"/>
  <c r="AJ229" i="31"/>
  <c r="AJ230" i="31"/>
  <c r="AJ231" i="31"/>
  <c r="AJ232" i="31"/>
  <c r="AJ233" i="31"/>
  <c r="AJ234" i="31"/>
  <c r="AJ235" i="31"/>
  <c r="AJ236" i="31"/>
  <c r="AJ237" i="31"/>
  <c r="AJ238" i="31"/>
  <c r="AJ239" i="31"/>
  <c r="AJ240" i="31"/>
  <c r="AJ241" i="31"/>
  <c r="AJ242" i="31"/>
  <c r="AJ243" i="31"/>
  <c r="AJ244" i="31"/>
  <c r="AJ245" i="31"/>
  <c r="AJ246" i="31"/>
  <c r="AJ247" i="31"/>
  <c r="AJ248" i="31"/>
  <c r="AJ249" i="31"/>
  <c r="AJ250" i="31"/>
  <c r="AJ251" i="31"/>
  <c r="AJ252" i="31"/>
  <c r="AJ253" i="31"/>
  <c r="AJ254" i="31"/>
  <c r="AJ255" i="31"/>
  <c r="AJ256" i="31"/>
  <c r="AJ257" i="31"/>
  <c r="AJ258" i="31"/>
  <c r="AJ259" i="31"/>
  <c r="AJ260" i="31"/>
  <c r="AJ261" i="31"/>
  <c r="AJ262" i="31"/>
  <c r="AJ263" i="31"/>
  <c r="AJ264" i="31"/>
  <c r="AJ265" i="31"/>
  <c r="AJ266" i="31"/>
  <c r="AJ267" i="31"/>
  <c r="AJ268" i="31"/>
  <c r="AJ269" i="31"/>
  <c r="AJ270" i="31"/>
  <c r="AJ271" i="31"/>
  <c r="AJ272" i="31"/>
  <c r="AJ273" i="31"/>
  <c r="AJ274" i="31"/>
  <c r="AJ275" i="31"/>
  <c r="AJ276" i="31"/>
  <c r="AJ277" i="31"/>
  <c r="AJ278" i="31"/>
  <c r="AJ279" i="31"/>
  <c r="AJ280" i="31"/>
  <c r="AJ281" i="31"/>
  <c r="AJ282" i="31"/>
  <c r="AJ283" i="31"/>
  <c r="AJ284" i="31"/>
  <c r="AJ285" i="31"/>
  <c r="AJ286" i="31"/>
  <c r="AJ287" i="31"/>
  <c r="AJ288" i="31"/>
  <c r="AJ289" i="31"/>
  <c r="AJ290" i="31"/>
  <c r="AJ291" i="31"/>
  <c r="AJ292" i="31"/>
  <c r="AJ293" i="31"/>
  <c r="AJ294" i="31"/>
  <c r="AJ295" i="31"/>
  <c r="AJ296" i="31"/>
  <c r="AJ297" i="31"/>
  <c r="AJ298" i="31"/>
  <c r="AJ299" i="31"/>
  <c r="AJ300" i="31"/>
  <c r="AJ301" i="31"/>
  <c r="AJ302" i="31"/>
  <c r="AJ303" i="31"/>
  <c r="AJ304" i="31"/>
  <c r="AJ305" i="31"/>
  <c r="AJ306" i="31"/>
  <c r="AJ307" i="31"/>
  <c r="AJ308" i="31"/>
  <c r="AJ309" i="31"/>
  <c r="AJ310" i="31"/>
  <c r="AJ311" i="31"/>
  <c r="AJ312" i="31"/>
  <c r="AJ313" i="31"/>
  <c r="AJ314" i="31"/>
  <c r="AJ315" i="31"/>
  <c r="AJ316" i="31"/>
  <c r="AJ317" i="31"/>
  <c r="AJ318" i="31"/>
  <c r="AJ319" i="31"/>
  <c r="AJ320" i="31"/>
  <c r="AJ321" i="31"/>
  <c r="AJ322" i="31"/>
  <c r="AJ323" i="31"/>
  <c r="AJ324" i="31"/>
  <c r="AJ325" i="31"/>
  <c r="AJ326" i="31"/>
  <c r="AJ327" i="31"/>
  <c r="AJ328" i="31"/>
  <c r="AJ329" i="31"/>
  <c r="AJ330" i="31"/>
  <c r="AJ331" i="31"/>
  <c r="AJ332" i="31"/>
  <c r="AJ333" i="31"/>
  <c r="AJ334" i="31"/>
  <c r="AJ335" i="31"/>
  <c r="AJ336" i="31"/>
  <c r="AJ337" i="31"/>
  <c r="AJ338" i="31"/>
  <c r="AJ339" i="31"/>
  <c r="AJ340" i="31"/>
  <c r="AJ341" i="31"/>
  <c r="AJ342" i="31"/>
  <c r="AJ343" i="31"/>
  <c r="AJ344" i="31"/>
  <c r="AJ345" i="31"/>
  <c r="AJ346" i="31"/>
  <c r="AJ347" i="31"/>
  <c r="AJ348" i="31"/>
  <c r="AJ349" i="31"/>
  <c r="AJ350" i="31"/>
  <c r="AJ351" i="31"/>
  <c r="AJ352" i="31"/>
  <c r="AJ353" i="31"/>
  <c r="AJ354" i="31"/>
  <c r="AJ355" i="31"/>
  <c r="AJ356" i="31"/>
  <c r="AJ357" i="31"/>
  <c r="AJ358" i="31"/>
  <c r="AJ359" i="31"/>
  <c r="AJ360" i="31"/>
  <c r="AJ361" i="31"/>
  <c r="AJ362" i="31"/>
  <c r="AJ363" i="31"/>
  <c r="AJ364" i="31"/>
  <c r="AJ365" i="31"/>
  <c r="AJ366" i="31"/>
  <c r="AJ367" i="31"/>
  <c r="AJ368" i="31"/>
  <c r="AJ369" i="31"/>
  <c r="AJ370" i="31"/>
  <c r="AJ371" i="31"/>
  <c r="AJ372" i="31"/>
  <c r="AJ373" i="31"/>
  <c r="AJ374" i="31"/>
  <c r="AJ375" i="31"/>
  <c r="AJ376" i="31"/>
  <c r="AJ377" i="31"/>
  <c r="AJ378" i="31"/>
  <c r="AJ379" i="31"/>
  <c r="AJ380" i="31"/>
  <c r="AJ381" i="31"/>
  <c r="AJ382" i="31"/>
  <c r="AJ383" i="31"/>
  <c r="AJ384" i="31"/>
  <c r="AJ385" i="31"/>
  <c r="AJ386" i="31"/>
  <c r="AJ387" i="31"/>
  <c r="AJ388" i="31"/>
  <c r="AJ389" i="31"/>
  <c r="AJ390" i="31"/>
  <c r="AJ391" i="31"/>
  <c r="AJ392" i="31"/>
  <c r="AJ393" i="31"/>
  <c r="AJ394" i="31"/>
  <c r="AJ395" i="31"/>
  <c r="AJ396" i="31"/>
  <c r="AJ397" i="31"/>
  <c r="AJ398" i="31"/>
  <c r="AJ399" i="31"/>
  <c r="AJ400" i="31"/>
  <c r="AJ401" i="31"/>
  <c r="AJ402" i="31"/>
  <c r="AJ403" i="31"/>
  <c r="AJ404" i="31"/>
  <c r="AJ405" i="31"/>
  <c r="AJ406" i="31"/>
  <c r="AJ407" i="31"/>
  <c r="AJ408" i="31"/>
  <c r="AJ409" i="31"/>
  <c r="AJ410" i="31"/>
  <c r="AJ411" i="31"/>
  <c r="AJ412" i="31"/>
  <c r="AJ413" i="31"/>
  <c r="AJ414" i="31"/>
  <c r="AJ415" i="31"/>
  <c r="AJ416" i="31"/>
  <c r="AJ417" i="31"/>
  <c r="AJ418" i="31"/>
  <c r="AJ419" i="31"/>
  <c r="AJ420" i="31"/>
  <c r="AJ421" i="31"/>
  <c r="AJ422" i="31"/>
  <c r="AJ423" i="31"/>
  <c r="AJ424" i="31"/>
  <c r="AJ425" i="31"/>
  <c r="AJ426" i="31"/>
  <c r="AJ427" i="31"/>
  <c r="AJ428" i="31"/>
  <c r="AJ429" i="31"/>
  <c r="AJ430" i="31"/>
  <c r="AJ431" i="31"/>
  <c r="AJ432" i="31"/>
  <c r="AJ433" i="31"/>
  <c r="AJ434" i="31"/>
  <c r="AJ435" i="31"/>
  <c r="AJ436" i="31"/>
  <c r="AJ437" i="31"/>
  <c r="AJ438" i="31"/>
  <c r="AJ439" i="31"/>
  <c r="AJ440" i="31"/>
  <c r="AJ441" i="31"/>
  <c r="AJ442" i="31"/>
  <c r="AJ443" i="31"/>
  <c r="AJ444" i="31"/>
  <c r="AJ445" i="31"/>
  <c r="AJ446" i="31"/>
  <c r="AJ447" i="31"/>
  <c r="AJ448" i="31"/>
  <c r="AJ449" i="31"/>
  <c r="AJ450" i="31"/>
  <c r="AJ451" i="31"/>
  <c r="AJ452" i="31"/>
  <c r="AJ453" i="31"/>
  <c r="AJ454" i="31"/>
  <c r="AJ455" i="31"/>
  <c r="AJ456" i="31"/>
  <c r="AJ457" i="31"/>
  <c r="AJ458" i="31"/>
  <c r="AJ459" i="31"/>
  <c r="AJ460" i="31"/>
  <c r="AJ461" i="31"/>
  <c r="AJ462" i="31"/>
  <c r="AJ463" i="31"/>
  <c r="AJ464" i="31"/>
  <c r="AJ465" i="31"/>
  <c r="AJ466" i="31"/>
  <c r="AJ467" i="31"/>
  <c r="AJ468" i="31"/>
  <c r="AJ469" i="31"/>
  <c r="AJ470" i="31"/>
  <c r="AJ471" i="31"/>
  <c r="AJ472" i="31"/>
  <c r="AJ473" i="31"/>
  <c r="AJ474" i="31"/>
  <c r="AJ475" i="31"/>
  <c r="AJ476" i="31"/>
  <c r="AJ477" i="31"/>
  <c r="AJ478" i="31"/>
  <c r="AJ479" i="31"/>
  <c r="AJ480" i="31"/>
  <c r="AJ481" i="31"/>
  <c r="AJ482" i="31"/>
  <c r="AJ483" i="31"/>
  <c r="AJ484" i="31"/>
  <c r="AJ485" i="31"/>
  <c r="AJ486" i="31"/>
  <c r="AJ487" i="31"/>
  <c r="AJ488" i="31"/>
  <c r="AJ489" i="31"/>
  <c r="AJ490" i="31"/>
  <c r="AJ491" i="31"/>
  <c r="AJ492" i="31"/>
  <c r="AJ493" i="31"/>
  <c r="AJ494" i="31"/>
  <c r="AJ495" i="31"/>
  <c r="AJ496" i="31"/>
  <c r="AJ497" i="31"/>
  <c r="AJ498" i="31"/>
  <c r="AJ499" i="31"/>
  <c r="AJ500" i="31"/>
  <c r="AJ501" i="31"/>
  <c r="AJ502" i="31"/>
  <c r="AJ503" i="31"/>
  <c r="AJ504" i="31"/>
  <c r="AJ505" i="31"/>
  <c r="AJ506" i="31"/>
  <c r="AJ507" i="31"/>
  <c r="AJ508" i="31"/>
  <c r="AJ509" i="31"/>
  <c r="AJ510" i="31"/>
  <c r="AJ511" i="31"/>
  <c r="AJ512" i="31"/>
  <c r="AJ513" i="31"/>
  <c r="AJ514" i="31"/>
  <c r="AJ515" i="31"/>
  <c r="AJ516" i="31"/>
  <c r="AJ517" i="31"/>
  <c r="AJ518" i="31"/>
  <c r="AJ519" i="31"/>
  <c r="AJ520" i="31"/>
  <c r="AJ521" i="31"/>
  <c r="AJ522" i="31"/>
  <c r="AJ523" i="31"/>
  <c r="AJ524" i="31"/>
  <c r="AJ525" i="31"/>
  <c r="AJ526" i="31"/>
  <c r="AJ527" i="31"/>
  <c r="AJ528" i="31"/>
  <c r="AJ529" i="31"/>
  <c r="AJ530" i="31"/>
  <c r="AJ531" i="31"/>
  <c r="AJ532" i="31"/>
  <c r="AJ533" i="31"/>
  <c r="AJ534" i="31"/>
  <c r="AJ535" i="31"/>
  <c r="AJ536" i="31"/>
  <c r="AJ537" i="31"/>
  <c r="AJ538" i="31"/>
  <c r="AJ539" i="31"/>
  <c r="AJ540" i="31"/>
  <c r="AJ541" i="31"/>
  <c r="AJ542" i="31"/>
  <c r="AJ543" i="31"/>
  <c r="AJ544" i="31"/>
  <c r="AJ545" i="31"/>
  <c r="AJ546" i="31"/>
  <c r="AJ547" i="31"/>
  <c r="AJ548" i="31"/>
  <c r="AJ549" i="31"/>
  <c r="AJ550" i="31"/>
  <c r="AJ551" i="31"/>
  <c r="AJ552" i="31"/>
  <c r="AJ553" i="31"/>
  <c r="AJ554" i="31"/>
  <c r="AJ555" i="31"/>
  <c r="AJ556" i="31"/>
  <c r="AJ557" i="31"/>
  <c r="AJ558" i="31"/>
  <c r="AJ559" i="31"/>
  <c r="AJ560" i="31"/>
  <c r="AJ561" i="31"/>
  <c r="AJ562" i="31"/>
  <c r="AJ563" i="31"/>
  <c r="AJ564" i="31"/>
  <c r="AJ565" i="31"/>
  <c r="AJ566" i="31"/>
  <c r="AJ567" i="31"/>
  <c r="AJ568" i="31"/>
  <c r="AJ569" i="31"/>
  <c r="AJ570" i="31"/>
  <c r="AJ571" i="31"/>
  <c r="AJ572" i="31"/>
  <c r="AJ573" i="31"/>
  <c r="AJ574" i="31"/>
  <c r="AJ575" i="31"/>
  <c r="AJ576" i="31"/>
  <c r="AJ577" i="31"/>
  <c r="AJ578" i="31"/>
  <c r="AJ579" i="31"/>
  <c r="AJ580" i="31"/>
  <c r="AJ581" i="31"/>
  <c r="AJ582" i="31"/>
  <c r="AJ583" i="31"/>
  <c r="AJ584" i="31"/>
  <c r="AJ585" i="31"/>
  <c r="AJ586" i="31"/>
  <c r="AJ587" i="31"/>
  <c r="AJ588" i="31"/>
  <c r="AJ589" i="31"/>
  <c r="AJ590" i="31"/>
  <c r="AJ591" i="31"/>
  <c r="AJ592" i="31"/>
  <c r="AJ593" i="31"/>
  <c r="AJ594" i="31"/>
  <c r="AJ595" i="31"/>
  <c r="AJ596" i="31"/>
  <c r="AJ597" i="31"/>
  <c r="AJ598" i="31"/>
  <c r="AJ599" i="31"/>
  <c r="AJ600" i="31"/>
  <c r="AJ601" i="31"/>
  <c r="AJ602" i="31"/>
  <c r="AJ603" i="31"/>
  <c r="AJ604" i="31"/>
  <c r="AJ605" i="31"/>
  <c r="AJ606" i="31"/>
  <c r="AJ607" i="31"/>
  <c r="AJ608" i="31"/>
  <c r="AJ609" i="31"/>
  <c r="AJ610" i="31"/>
  <c r="AJ611" i="31"/>
  <c r="AJ612" i="31"/>
  <c r="AJ613" i="31"/>
  <c r="AJ614" i="31"/>
  <c r="AJ615" i="31"/>
  <c r="AJ616" i="31"/>
  <c r="AJ617" i="31"/>
  <c r="AJ618" i="31"/>
  <c r="AJ619" i="31"/>
  <c r="AJ620" i="31"/>
  <c r="AJ621" i="31"/>
  <c r="AJ622" i="31"/>
  <c r="AJ623" i="31"/>
  <c r="AJ624" i="31"/>
  <c r="AJ625" i="31"/>
  <c r="AJ626" i="31"/>
  <c r="AJ627" i="31"/>
  <c r="AJ628" i="31"/>
  <c r="AJ629" i="31"/>
  <c r="AJ630" i="31"/>
  <c r="AJ631" i="31"/>
  <c r="AJ632" i="31"/>
  <c r="AJ633" i="31"/>
  <c r="AJ634" i="31"/>
  <c r="AJ635" i="31"/>
  <c r="AJ636" i="31"/>
  <c r="AJ637" i="31"/>
  <c r="AJ638" i="31"/>
  <c r="AJ639" i="31"/>
  <c r="AJ640" i="31"/>
  <c r="AJ641" i="31"/>
  <c r="AJ642" i="31"/>
  <c r="AJ643" i="31"/>
  <c r="AJ644" i="31"/>
  <c r="AJ645" i="31"/>
  <c r="AJ646" i="31"/>
  <c r="AJ647" i="31"/>
  <c r="AJ648" i="31"/>
  <c r="AJ649" i="31"/>
  <c r="AJ650" i="31"/>
  <c r="AJ651" i="31"/>
  <c r="AJ652" i="31"/>
  <c r="AJ653" i="31"/>
  <c r="AJ654" i="31"/>
  <c r="AJ655" i="31"/>
  <c r="AJ656" i="31"/>
  <c r="AJ657" i="31"/>
  <c r="AJ658" i="31"/>
  <c r="AJ659" i="31"/>
  <c r="AJ660" i="31"/>
  <c r="AJ661" i="31"/>
  <c r="AJ662" i="31"/>
  <c r="AJ663" i="31"/>
  <c r="AJ664" i="31"/>
  <c r="AJ665" i="31"/>
  <c r="AJ666" i="31"/>
  <c r="AJ667" i="31"/>
  <c r="AJ668" i="31"/>
  <c r="AJ9" i="31"/>
  <c r="C37" i="32"/>
  <c r="C34" i="32"/>
  <c r="B760" i="32"/>
  <c r="B759" i="32"/>
  <c r="B758" i="32"/>
  <c r="B757" i="32"/>
  <c r="B756" i="32"/>
  <c r="B755" i="32"/>
  <c r="B754" i="32"/>
  <c r="B753" i="32"/>
  <c r="B752" i="32"/>
  <c r="B751" i="32"/>
  <c r="B750" i="32"/>
  <c r="B749" i="32"/>
  <c r="B748" i="32"/>
  <c r="B747" i="32"/>
  <c r="B746" i="32"/>
  <c r="B745" i="32"/>
  <c r="B744" i="32"/>
  <c r="B743" i="32"/>
  <c r="B742" i="32"/>
  <c r="B741" i="32"/>
  <c r="B740" i="32"/>
  <c r="B739" i="32"/>
  <c r="B738" i="32"/>
  <c r="B737" i="32"/>
  <c r="B736" i="32"/>
  <c r="B735" i="32"/>
  <c r="B734" i="32"/>
  <c r="B733" i="32"/>
  <c r="B732" i="32"/>
  <c r="B731" i="32"/>
  <c r="B730" i="32"/>
  <c r="B729" i="32"/>
  <c r="B728" i="32"/>
  <c r="B727" i="32"/>
  <c r="B726" i="32"/>
  <c r="B725" i="32"/>
  <c r="B724" i="32"/>
  <c r="B723" i="32"/>
  <c r="B722" i="32"/>
  <c r="B721" i="32"/>
  <c r="B720" i="32"/>
  <c r="B719" i="32"/>
  <c r="B718" i="32"/>
  <c r="B717" i="32"/>
  <c r="B716" i="32"/>
  <c r="B715" i="32"/>
  <c r="B714" i="32"/>
  <c r="B713" i="32"/>
  <c r="B712" i="32"/>
  <c r="B711" i="32"/>
  <c r="B710" i="32"/>
  <c r="B709" i="32"/>
  <c r="B708" i="32"/>
  <c r="B707" i="32"/>
  <c r="B706" i="32"/>
  <c r="B705" i="32"/>
  <c r="B704" i="32"/>
  <c r="B703" i="32"/>
  <c r="B702" i="32"/>
  <c r="B701" i="32"/>
  <c r="B700" i="32"/>
  <c r="B699" i="32"/>
  <c r="B698" i="32"/>
  <c r="B697" i="32"/>
  <c r="B696" i="32"/>
  <c r="B695" i="32"/>
  <c r="B694" i="32"/>
  <c r="B693" i="32"/>
  <c r="B692" i="32"/>
  <c r="B691" i="32"/>
  <c r="B690" i="32"/>
  <c r="B689" i="32"/>
  <c r="B688" i="32"/>
  <c r="B687" i="32"/>
  <c r="B686" i="32"/>
  <c r="B685" i="32"/>
  <c r="B684" i="32"/>
  <c r="B683" i="32"/>
  <c r="B682" i="32"/>
  <c r="B681" i="32"/>
  <c r="B680" i="32"/>
  <c r="B679" i="32"/>
  <c r="B678" i="32"/>
  <c r="B677" i="32"/>
  <c r="B676" i="32"/>
  <c r="B675" i="32"/>
  <c r="B674" i="32"/>
  <c r="B673" i="32"/>
  <c r="B672" i="32"/>
  <c r="B671" i="32"/>
  <c r="B670" i="32"/>
  <c r="B669" i="32"/>
  <c r="B668" i="32"/>
  <c r="B667" i="32"/>
  <c r="B666" i="32"/>
  <c r="B665" i="32"/>
  <c r="B664" i="32"/>
  <c r="B663" i="32"/>
  <c r="B662" i="32"/>
  <c r="B661" i="32"/>
  <c r="B660" i="32"/>
  <c r="B659" i="32"/>
  <c r="B658" i="32"/>
  <c r="B657" i="32"/>
  <c r="B656" i="32"/>
  <c r="B655" i="32"/>
  <c r="B654" i="32"/>
  <c r="B653" i="32"/>
  <c r="B652" i="32"/>
  <c r="B651" i="32"/>
  <c r="B650" i="32"/>
  <c r="B649" i="32"/>
  <c r="B648" i="32"/>
  <c r="B647" i="32"/>
  <c r="B646" i="32"/>
  <c r="B645" i="32"/>
  <c r="B644" i="32"/>
  <c r="B643" i="32"/>
  <c r="B642" i="32"/>
  <c r="B641" i="32"/>
  <c r="B640" i="32"/>
  <c r="B639" i="32"/>
  <c r="B638" i="32"/>
  <c r="B637" i="32"/>
  <c r="B636" i="32"/>
  <c r="B635" i="32"/>
  <c r="B634" i="32"/>
  <c r="B633" i="32"/>
  <c r="B632" i="32"/>
  <c r="B631" i="32"/>
  <c r="B630" i="32"/>
  <c r="B629" i="32"/>
  <c r="B628" i="32"/>
  <c r="B627" i="32"/>
  <c r="B626" i="32"/>
  <c r="B625" i="32"/>
  <c r="B624" i="32"/>
  <c r="B623" i="32"/>
  <c r="B622" i="32"/>
  <c r="B621" i="32"/>
  <c r="B620" i="32"/>
  <c r="B619" i="32"/>
  <c r="B618" i="32"/>
  <c r="B617" i="32"/>
  <c r="B616" i="32"/>
  <c r="B615" i="32"/>
  <c r="B614" i="32"/>
  <c r="B613" i="32"/>
  <c r="B612" i="32"/>
  <c r="B611" i="32"/>
  <c r="B610" i="32"/>
  <c r="B609" i="32"/>
  <c r="B608" i="32"/>
  <c r="B607" i="32"/>
  <c r="B606" i="32"/>
  <c r="B605" i="32"/>
  <c r="B604" i="32"/>
  <c r="B603" i="32"/>
  <c r="B602" i="32"/>
  <c r="B601" i="32"/>
  <c r="B600" i="32"/>
  <c r="B599" i="32"/>
  <c r="B598" i="32"/>
  <c r="B597" i="32"/>
  <c r="B596" i="32"/>
  <c r="B595" i="32"/>
  <c r="B594" i="32"/>
  <c r="B593" i="32"/>
  <c r="B592" i="32"/>
  <c r="B591" i="32"/>
  <c r="B590" i="32"/>
  <c r="B589" i="32"/>
  <c r="B588" i="32"/>
  <c r="B587" i="32"/>
  <c r="B586" i="32"/>
  <c r="B585" i="32"/>
  <c r="B584" i="32"/>
  <c r="B583" i="32"/>
  <c r="B582" i="32"/>
  <c r="B581" i="32"/>
  <c r="B580" i="32"/>
  <c r="B579" i="32"/>
  <c r="B578" i="32"/>
  <c r="B577" i="32"/>
  <c r="B576" i="32"/>
  <c r="B575" i="32"/>
  <c r="B574" i="32"/>
  <c r="B573" i="32"/>
  <c r="B572" i="32"/>
  <c r="B571" i="32"/>
  <c r="B570" i="32"/>
  <c r="B569" i="32"/>
  <c r="B568" i="32"/>
  <c r="B567" i="32"/>
  <c r="B566" i="32"/>
  <c r="B565" i="32"/>
  <c r="B564" i="32"/>
  <c r="B563" i="32"/>
  <c r="B562" i="32"/>
  <c r="B561" i="32"/>
  <c r="B560" i="32"/>
  <c r="B559" i="32"/>
  <c r="B558" i="32"/>
  <c r="B557" i="32"/>
  <c r="B556" i="32"/>
  <c r="B555" i="32"/>
  <c r="B554" i="32"/>
  <c r="B553" i="32"/>
  <c r="B552" i="32"/>
  <c r="B551" i="32"/>
  <c r="B550" i="32"/>
  <c r="B549" i="32"/>
  <c r="B548" i="32"/>
  <c r="B547" i="32"/>
  <c r="B546" i="32"/>
  <c r="B545" i="32"/>
  <c r="B544" i="32"/>
  <c r="B543" i="32"/>
  <c r="B542" i="32"/>
  <c r="B541" i="32"/>
  <c r="B540" i="32"/>
  <c r="B539" i="32"/>
  <c r="B538" i="32"/>
  <c r="B537" i="32"/>
  <c r="B536" i="32"/>
  <c r="B535" i="32"/>
  <c r="B534" i="32"/>
  <c r="B533" i="32"/>
  <c r="B532" i="32"/>
  <c r="B531" i="32"/>
  <c r="B530" i="32"/>
  <c r="B529" i="32"/>
  <c r="B528" i="32"/>
  <c r="B527" i="32"/>
  <c r="B526" i="32"/>
  <c r="B525" i="32"/>
  <c r="B524" i="32"/>
  <c r="B523" i="32"/>
  <c r="B522" i="32"/>
  <c r="B521" i="32"/>
  <c r="B520" i="32"/>
  <c r="B519" i="32"/>
  <c r="B518" i="32"/>
  <c r="B517" i="32"/>
  <c r="B516" i="32"/>
  <c r="B515" i="32"/>
  <c r="B514" i="32"/>
  <c r="B513" i="32"/>
  <c r="B512" i="32"/>
  <c r="B511" i="32"/>
  <c r="B510" i="32"/>
  <c r="B509" i="32"/>
  <c r="B508" i="32"/>
  <c r="B507" i="32"/>
  <c r="B506" i="32"/>
  <c r="B505" i="32"/>
  <c r="B504" i="32"/>
  <c r="B503" i="32"/>
  <c r="B502" i="32"/>
  <c r="B501" i="32"/>
  <c r="B500" i="32"/>
  <c r="B499" i="32"/>
  <c r="B498" i="32"/>
  <c r="B497" i="32"/>
  <c r="B496" i="32"/>
  <c r="B495" i="32"/>
  <c r="B494" i="32"/>
  <c r="B493" i="32"/>
  <c r="B492" i="32"/>
  <c r="B491" i="32"/>
  <c r="B490" i="32"/>
  <c r="B489" i="32"/>
  <c r="B488" i="32"/>
  <c r="B487" i="32"/>
  <c r="B486" i="32"/>
  <c r="B485" i="32"/>
  <c r="B484" i="32"/>
  <c r="B483" i="32"/>
  <c r="B482" i="32"/>
  <c r="B481" i="32"/>
  <c r="B480" i="32"/>
  <c r="B479" i="32"/>
  <c r="B478" i="32"/>
  <c r="B477" i="32"/>
  <c r="B476" i="32"/>
  <c r="B475" i="32"/>
  <c r="B474" i="32"/>
  <c r="B473" i="32"/>
  <c r="B472" i="32"/>
  <c r="B471" i="32"/>
  <c r="B470" i="32"/>
  <c r="B469" i="32"/>
  <c r="B468" i="32"/>
  <c r="B467" i="32"/>
  <c r="B466" i="32"/>
  <c r="B465" i="32"/>
  <c r="B464" i="32"/>
  <c r="B463" i="32"/>
  <c r="B462" i="32"/>
  <c r="B461" i="32"/>
  <c r="B460" i="32"/>
  <c r="B459" i="32"/>
  <c r="B458" i="32"/>
  <c r="B457" i="32"/>
  <c r="B456" i="32"/>
  <c r="B455" i="32"/>
  <c r="B454" i="32"/>
  <c r="B453" i="32"/>
  <c r="B452" i="32"/>
  <c r="B451" i="32"/>
  <c r="B450" i="32"/>
  <c r="B449" i="32"/>
  <c r="B448" i="32"/>
  <c r="B447" i="32"/>
  <c r="B446" i="32"/>
  <c r="B445" i="32"/>
  <c r="B444" i="32"/>
  <c r="B443" i="32"/>
  <c r="B442" i="32"/>
  <c r="B441" i="32"/>
  <c r="B440" i="32"/>
  <c r="B439" i="32"/>
  <c r="B438" i="32"/>
  <c r="B437" i="32"/>
  <c r="B436" i="32"/>
  <c r="B435" i="32"/>
  <c r="B434" i="32"/>
  <c r="B433" i="32"/>
  <c r="B432" i="32"/>
  <c r="B431" i="32"/>
  <c r="B430" i="32"/>
  <c r="B429" i="32"/>
  <c r="B428" i="32"/>
  <c r="B427" i="32"/>
  <c r="B426" i="32"/>
  <c r="B425" i="32"/>
  <c r="B424" i="32"/>
  <c r="B423" i="32"/>
  <c r="B422" i="32"/>
  <c r="B421" i="32"/>
  <c r="B420" i="32"/>
  <c r="B419" i="32"/>
  <c r="B418" i="32"/>
  <c r="B417" i="32"/>
  <c r="B416" i="32"/>
  <c r="B415" i="32"/>
  <c r="B414" i="32"/>
  <c r="B413" i="32"/>
  <c r="B412" i="32"/>
  <c r="B411" i="32"/>
  <c r="B410" i="32"/>
  <c r="B409" i="32"/>
  <c r="B408" i="32"/>
  <c r="B407" i="32"/>
  <c r="B406" i="32"/>
  <c r="B405" i="32"/>
  <c r="B404" i="32"/>
  <c r="B403" i="32"/>
  <c r="B402" i="32"/>
  <c r="B401" i="32"/>
  <c r="B400" i="32"/>
  <c r="B399" i="32"/>
  <c r="B398" i="32"/>
  <c r="B397" i="32"/>
  <c r="B396" i="32"/>
  <c r="B395" i="32"/>
  <c r="B394" i="32"/>
  <c r="B393" i="32"/>
  <c r="B392" i="32"/>
  <c r="B391" i="32"/>
  <c r="B390" i="32"/>
  <c r="B389" i="32"/>
  <c r="B388" i="32"/>
  <c r="B387" i="32"/>
  <c r="B386" i="32"/>
  <c r="B385" i="32"/>
  <c r="B384" i="32"/>
  <c r="B383" i="32"/>
  <c r="B382" i="32"/>
  <c r="B381" i="32"/>
  <c r="B380" i="32"/>
  <c r="B379" i="32"/>
  <c r="B378" i="32"/>
  <c r="B377" i="32"/>
  <c r="B376" i="32"/>
  <c r="B375" i="32"/>
  <c r="B374" i="32"/>
  <c r="B373" i="32"/>
  <c r="B372" i="32"/>
  <c r="B371" i="32"/>
  <c r="B370" i="32"/>
  <c r="B369" i="32"/>
  <c r="B368" i="32"/>
  <c r="B367" i="32"/>
  <c r="B366" i="32"/>
  <c r="B365" i="32"/>
  <c r="B364" i="32"/>
  <c r="B363" i="32"/>
  <c r="B362" i="32"/>
  <c r="B361" i="32"/>
  <c r="B360" i="32"/>
  <c r="B359" i="32"/>
  <c r="B358" i="32"/>
  <c r="B357" i="32"/>
  <c r="B356" i="32"/>
  <c r="B355" i="32"/>
  <c r="B354" i="32"/>
  <c r="B353" i="32"/>
  <c r="B352" i="32"/>
  <c r="B351" i="32"/>
  <c r="B350" i="32"/>
  <c r="B349" i="32"/>
  <c r="B348" i="32"/>
  <c r="B347" i="32"/>
  <c r="B346" i="32"/>
  <c r="B345" i="32"/>
  <c r="B344" i="32"/>
  <c r="B343" i="32"/>
  <c r="B342" i="32"/>
  <c r="B341" i="32"/>
  <c r="B340" i="32"/>
  <c r="B339" i="32"/>
  <c r="B338" i="32"/>
  <c r="B337" i="32"/>
  <c r="B336" i="32"/>
  <c r="B335" i="32"/>
  <c r="B334" i="32"/>
  <c r="B333" i="32"/>
  <c r="B332" i="32"/>
  <c r="B331" i="32"/>
  <c r="B330" i="32"/>
  <c r="B329" i="32"/>
  <c r="B328" i="32"/>
  <c r="B327" i="32"/>
  <c r="B326" i="32"/>
  <c r="B325" i="32"/>
  <c r="B324" i="32"/>
  <c r="B323" i="32"/>
  <c r="B322" i="32"/>
  <c r="B321" i="32"/>
  <c r="B320" i="32"/>
  <c r="B319" i="32"/>
  <c r="B318" i="32"/>
  <c r="B317" i="32"/>
  <c r="B316" i="32"/>
  <c r="B315" i="32"/>
  <c r="B314" i="32"/>
  <c r="B313" i="32"/>
  <c r="B312" i="32"/>
  <c r="B311" i="32"/>
  <c r="B310" i="32"/>
  <c r="B309" i="32"/>
  <c r="B308" i="32"/>
  <c r="B307" i="32"/>
  <c r="B306" i="32"/>
  <c r="B305" i="32"/>
  <c r="B304" i="32"/>
  <c r="B303" i="32"/>
  <c r="B302" i="32"/>
  <c r="B301" i="32"/>
  <c r="B300" i="32"/>
  <c r="B299" i="32"/>
  <c r="B298" i="32"/>
  <c r="B297" i="32"/>
  <c r="B296" i="32"/>
  <c r="B295" i="32"/>
  <c r="B294" i="32"/>
  <c r="B293" i="32"/>
  <c r="B292" i="32"/>
  <c r="B291" i="32"/>
  <c r="B290" i="32"/>
  <c r="B289" i="32"/>
  <c r="B288" i="32"/>
  <c r="B287" i="32"/>
  <c r="B286" i="32"/>
  <c r="B285" i="32"/>
  <c r="B284" i="32"/>
  <c r="B283" i="32"/>
  <c r="B282" i="32"/>
  <c r="B281" i="32"/>
  <c r="B280" i="32"/>
  <c r="B279" i="32"/>
  <c r="B278" i="32"/>
  <c r="B277" i="32"/>
  <c r="B276" i="32"/>
  <c r="B275" i="32"/>
  <c r="B274" i="32"/>
  <c r="B273" i="32"/>
  <c r="B272" i="32"/>
  <c r="B271" i="32"/>
  <c r="B270" i="32"/>
  <c r="B269" i="32"/>
  <c r="B268" i="32"/>
  <c r="B267" i="32"/>
  <c r="B266" i="32"/>
  <c r="B265" i="32"/>
  <c r="B264" i="32"/>
  <c r="B263" i="32"/>
  <c r="B262" i="32"/>
  <c r="B261" i="32"/>
  <c r="B260" i="32"/>
  <c r="B259" i="32"/>
  <c r="B258" i="32"/>
  <c r="B257" i="32"/>
  <c r="B256" i="32"/>
  <c r="B255" i="32"/>
  <c r="B254" i="32"/>
  <c r="B253" i="32"/>
  <c r="B252" i="32"/>
  <c r="B251" i="32"/>
  <c r="B250" i="32"/>
  <c r="B249" i="32"/>
  <c r="B248" i="32"/>
  <c r="B247" i="32"/>
  <c r="B246" i="32"/>
  <c r="B245" i="32"/>
  <c r="B244" i="32"/>
  <c r="B243" i="32"/>
  <c r="B242" i="32"/>
  <c r="B241" i="32"/>
  <c r="B240" i="32"/>
  <c r="B239" i="32"/>
  <c r="B238" i="32"/>
  <c r="B237" i="32"/>
  <c r="B236" i="32"/>
  <c r="B235" i="32"/>
  <c r="B234" i="32"/>
  <c r="B233" i="32"/>
  <c r="B232" i="32"/>
  <c r="B231" i="32"/>
  <c r="B230" i="32"/>
  <c r="B229" i="32"/>
  <c r="B228" i="32"/>
  <c r="B227" i="32"/>
  <c r="B226" i="32"/>
  <c r="B225" i="32"/>
  <c r="B224" i="32"/>
  <c r="B223" i="32"/>
  <c r="B222" i="32"/>
  <c r="B221" i="32"/>
  <c r="B220" i="32"/>
  <c r="B219" i="32"/>
  <c r="B218" i="32"/>
  <c r="B217" i="32"/>
  <c r="B216" i="32"/>
  <c r="B215" i="32"/>
  <c r="B214" i="32"/>
  <c r="B213" i="32"/>
  <c r="B212" i="32"/>
  <c r="B211" i="32"/>
  <c r="B210" i="32"/>
  <c r="B209" i="32"/>
  <c r="B208" i="32"/>
  <c r="B207" i="32"/>
  <c r="B206" i="32"/>
  <c r="B205" i="32"/>
  <c r="B204" i="32"/>
  <c r="B203" i="32"/>
  <c r="B202" i="32"/>
  <c r="B201" i="32"/>
  <c r="B200" i="32"/>
  <c r="B199" i="32"/>
  <c r="B198" i="32"/>
  <c r="B197" i="32"/>
  <c r="B196" i="32"/>
  <c r="B195" i="32"/>
  <c r="B194" i="32"/>
  <c r="B193" i="32"/>
  <c r="B192" i="32"/>
  <c r="B191" i="32"/>
  <c r="B190" i="32"/>
  <c r="B189" i="32"/>
  <c r="B188" i="32"/>
  <c r="B187" i="32"/>
  <c r="B186" i="32"/>
  <c r="B185" i="32"/>
  <c r="B184" i="32"/>
  <c r="B183" i="32"/>
  <c r="B182" i="32"/>
  <c r="B181" i="32"/>
  <c r="B180" i="32"/>
  <c r="B179" i="32"/>
  <c r="B178" i="32"/>
  <c r="B177" i="32"/>
  <c r="B176" i="32"/>
  <c r="B175" i="32"/>
  <c r="B174" i="32"/>
  <c r="B173" i="32"/>
  <c r="B172" i="32"/>
  <c r="B171" i="32"/>
  <c r="B170" i="32"/>
  <c r="B169" i="32"/>
  <c r="B168" i="32"/>
  <c r="B167" i="32"/>
  <c r="B166" i="32"/>
  <c r="B165" i="32"/>
  <c r="B164" i="32"/>
  <c r="B163" i="32"/>
  <c r="B162" i="32"/>
  <c r="B161" i="32"/>
  <c r="B160" i="32"/>
  <c r="B159" i="32"/>
  <c r="B158" i="32"/>
  <c r="B157" i="32"/>
  <c r="B156" i="32"/>
  <c r="B155" i="32"/>
  <c r="B154" i="32"/>
  <c r="B153" i="32"/>
  <c r="B152" i="32"/>
  <c r="B151" i="32"/>
  <c r="B150" i="32"/>
  <c r="B149" i="32"/>
  <c r="B148" i="32"/>
  <c r="B147" i="32"/>
  <c r="B146" i="32"/>
  <c r="B145" i="32"/>
  <c r="B144" i="32"/>
  <c r="B143" i="32"/>
  <c r="B142" i="32"/>
  <c r="B141" i="32"/>
  <c r="B140" i="32"/>
  <c r="B139" i="32"/>
  <c r="B138" i="32"/>
  <c r="B137" i="32"/>
  <c r="B136" i="32"/>
  <c r="B135" i="32"/>
  <c r="B134" i="32"/>
  <c r="B133" i="32"/>
  <c r="B132" i="32"/>
  <c r="B131" i="32"/>
  <c r="B130" i="32"/>
  <c r="B129" i="32"/>
  <c r="B128" i="32"/>
  <c r="B127" i="32"/>
  <c r="B126" i="32"/>
  <c r="B125" i="32"/>
  <c r="B124" i="32"/>
  <c r="B123" i="32"/>
  <c r="B122" i="32"/>
  <c r="B121" i="32"/>
  <c r="B120" i="32"/>
  <c r="B119" i="32"/>
  <c r="B118" i="32"/>
  <c r="B117" i="32"/>
  <c r="B116" i="32"/>
  <c r="B115" i="32"/>
  <c r="B114" i="32"/>
  <c r="B113" i="32"/>
  <c r="B112" i="32"/>
  <c r="B111" i="32"/>
  <c r="B110" i="32"/>
  <c r="B109" i="32"/>
  <c r="B108" i="32"/>
  <c r="B107" i="32"/>
  <c r="B106" i="32"/>
  <c r="B105" i="32"/>
  <c r="B104" i="32"/>
  <c r="B103" i="32"/>
  <c r="B102" i="32"/>
  <c r="G25" i="32"/>
  <c r="N23" i="28" l="1"/>
  <c r="M23" i="28"/>
  <c r="P2" i="14" a="1"/>
  <c r="P2" i="14" s="1"/>
  <c r="D2" i="3"/>
  <c r="B101" i="32"/>
  <c r="C11" i="32"/>
  <c r="C9" i="32"/>
  <c r="C51" i="32"/>
  <c r="C14" i="32"/>
  <c r="AK668" i="31"/>
  <c r="AF668" i="31"/>
  <c r="AK667" i="31"/>
  <c r="AF667" i="31"/>
  <c r="AK666" i="31"/>
  <c r="AF666" i="31"/>
  <c r="AK665" i="31"/>
  <c r="AF665" i="31"/>
  <c r="AK664" i="31"/>
  <c r="AF664" i="31"/>
  <c r="AK663" i="31"/>
  <c r="AF663" i="31"/>
  <c r="AK662" i="31"/>
  <c r="AF662" i="31"/>
  <c r="AK661" i="31"/>
  <c r="AF661" i="31"/>
  <c r="AK660" i="31"/>
  <c r="AF660" i="31"/>
  <c r="AK659" i="31"/>
  <c r="AF659" i="31"/>
  <c r="AK658" i="31"/>
  <c r="AF658" i="31"/>
  <c r="AK657" i="31"/>
  <c r="AF657" i="31"/>
  <c r="AK656" i="31"/>
  <c r="AF656" i="31"/>
  <c r="AK655" i="31"/>
  <c r="AF655" i="31"/>
  <c r="AK654" i="31"/>
  <c r="AF654" i="31"/>
  <c r="AK653" i="31"/>
  <c r="AF653" i="31"/>
  <c r="AK652" i="31"/>
  <c r="AF652" i="31"/>
  <c r="AK651" i="31"/>
  <c r="AF651" i="31"/>
  <c r="AK650" i="31"/>
  <c r="AF650" i="31"/>
  <c r="AK649" i="31"/>
  <c r="AF649" i="31"/>
  <c r="AK648" i="31"/>
  <c r="AF648" i="31"/>
  <c r="AK647" i="31"/>
  <c r="AF647" i="31"/>
  <c r="AK646" i="31"/>
  <c r="AF646" i="31"/>
  <c r="AK645" i="31"/>
  <c r="AF645" i="31"/>
  <c r="AK644" i="31"/>
  <c r="AF644" i="31"/>
  <c r="AK643" i="31"/>
  <c r="AF643" i="31"/>
  <c r="AK642" i="31"/>
  <c r="AF642" i="31"/>
  <c r="AK641" i="31"/>
  <c r="AF641" i="31"/>
  <c r="AK640" i="31"/>
  <c r="AF640" i="31"/>
  <c r="AK639" i="31"/>
  <c r="AF639" i="31"/>
  <c r="AK638" i="31"/>
  <c r="AF638" i="31"/>
  <c r="AK637" i="31"/>
  <c r="AF637" i="31"/>
  <c r="AK636" i="31"/>
  <c r="AF636" i="31"/>
  <c r="AK635" i="31"/>
  <c r="AF635" i="31"/>
  <c r="AK634" i="31"/>
  <c r="AF634" i="31"/>
  <c r="AK633" i="31"/>
  <c r="AF633" i="31"/>
  <c r="AK632" i="31"/>
  <c r="AF632" i="31"/>
  <c r="AK631" i="31"/>
  <c r="AF631" i="31"/>
  <c r="AK630" i="31"/>
  <c r="AF630" i="31"/>
  <c r="AK629" i="31"/>
  <c r="AF629" i="31"/>
  <c r="AK628" i="31"/>
  <c r="AF628" i="31"/>
  <c r="AK627" i="31"/>
  <c r="AF627" i="31"/>
  <c r="AK626" i="31"/>
  <c r="AF626" i="31"/>
  <c r="AK625" i="31"/>
  <c r="AF625" i="31"/>
  <c r="AK624" i="31"/>
  <c r="AF624" i="31"/>
  <c r="AK623" i="31"/>
  <c r="AF623" i="31"/>
  <c r="AK622" i="31"/>
  <c r="AF622" i="31"/>
  <c r="AK621" i="31"/>
  <c r="AF621" i="31"/>
  <c r="AK620" i="31"/>
  <c r="AF620" i="31"/>
  <c r="AK619" i="31"/>
  <c r="AF619" i="31"/>
  <c r="AK618" i="31"/>
  <c r="AF618" i="31"/>
  <c r="AK617" i="31"/>
  <c r="AF617" i="31"/>
  <c r="AK616" i="31"/>
  <c r="AF616" i="31"/>
  <c r="AK615" i="31"/>
  <c r="AF615" i="31"/>
  <c r="AK614" i="31"/>
  <c r="AF614" i="31"/>
  <c r="AK613" i="31"/>
  <c r="AF613" i="31"/>
  <c r="AK612" i="31"/>
  <c r="AF612" i="31"/>
  <c r="AK611" i="31"/>
  <c r="AF611" i="31"/>
  <c r="AK610" i="31"/>
  <c r="AF610" i="31"/>
  <c r="AK609" i="31"/>
  <c r="AF609" i="31"/>
  <c r="AK608" i="31"/>
  <c r="AF608" i="31"/>
  <c r="AK607" i="31"/>
  <c r="AF607" i="31"/>
  <c r="AK606" i="31"/>
  <c r="AF606" i="31"/>
  <c r="AK605" i="31"/>
  <c r="AF605" i="31"/>
  <c r="AK604" i="31"/>
  <c r="AF604" i="31"/>
  <c r="AK603" i="31"/>
  <c r="AF603" i="31"/>
  <c r="AK602" i="31"/>
  <c r="AF602" i="31"/>
  <c r="AK601" i="31"/>
  <c r="AF601" i="31"/>
  <c r="AK600" i="31"/>
  <c r="AF600" i="31"/>
  <c r="AK599" i="31"/>
  <c r="AF599" i="31"/>
  <c r="AK598" i="31"/>
  <c r="AF598" i="31"/>
  <c r="AK597" i="31"/>
  <c r="AF597" i="31"/>
  <c r="AK596" i="31"/>
  <c r="AF596" i="31"/>
  <c r="AK595" i="31"/>
  <c r="AF595" i="31"/>
  <c r="AK594" i="31"/>
  <c r="AF594" i="31"/>
  <c r="AK593" i="31"/>
  <c r="AF593" i="31"/>
  <c r="AK592" i="31"/>
  <c r="AF592" i="31"/>
  <c r="AK591" i="31"/>
  <c r="AF591" i="31"/>
  <c r="AK590" i="31"/>
  <c r="AF590" i="31"/>
  <c r="AK589" i="31"/>
  <c r="AF589" i="31"/>
  <c r="AK588" i="31"/>
  <c r="AF588" i="31"/>
  <c r="AK587" i="31"/>
  <c r="AF587" i="31"/>
  <c r="AK586" i="31"/>
  <c r="AF586" i="31"/>
  <c r="AK585" i="31"/>
  <c r="AF585" i="31"/>
  <c r="AK584" i="31"/>
  <c r="AF584" i="31"/>
  <c r="AK583" i="31"/>
  <c r="AF583" i="31"/>
  <c r="AK582" i="31"/>
  <c r="AF582" i="31"/>
  <c r="AK581" i="31"/>
  <c r="AF581" i="31"/>
  <c r="AK580" i="31"/>
  <c r="AF580" i="31"/>
  <c r="AK579" i="31"/>
  <c r="AF579" i="31"/>
  <c r="AK578" i="31"/>
  <c r="AF578" i="31"/>
  <c r="AK577" i="31"/>
  <c r="AF577" i="31"/>
  <c r="AK576" i="31"/>
  <c r="AF576" i="31"/>
  <c r="AK575" i="31"/>
  <c r="AF575" i="31"/>
  <c r="AK574" i="31"/>
  <c r="AF574" i="31"/>
  <c r="AK573" i="31"/>
  <c r="AF573" i="31"/>
  <c r="AK572" i="31"/>
  <c r="AF572" i="31"/>
  <c r="AK571" i="31"/>
  <c r="AF571" i="31"/>
  <c r="AK570" i="31"/>
  <c r="AF570" i="31"/>
  <c r="AK569" i="31"/>
  <c r="AF569" i="31"/>
  <c r="AK568" i="31"/>
  <c r="AF568" i="31"/>
  <c r="AK567" i="31"/>
  <c r="AF567" i="31"/>
  <c r="AK566" i="31"/>
  <c r="AF566" i="31"/>
  <c r="AK565" i="31"/>
  <c r="AF565" i="31"/>
  <c r="AK564" i="31"/>
  <c r="AF564" i="31"/>
  <c r="AK563" i="31"/>
  <c r="AF563" i="31"/>
  <c r="AK562" i="31"/>
  <c r="AF562" i="31"/>
  <c r="AK561" i="31"/>
  <c r="AF561" i="31"/>
  <c r="AK560" i="31"/>
  <c r="AF560" i="31"/>
  <c r="AK559" i="31"/>
  <c r="AF559" i="31"/>
  <c r="AK558" i="31"/>
  <c r="AF558" i="31"/>
  <c r="AK557" i="31"/>
  <c r="AF557" i="31"/>
  <c r="AK556" i="31"/>
  <c r="AF556" i="31"/>
  <c r="AK555" i="31"/>
  <c r="AF555" i="31"/>
  <c r="AK554" i="31"/>
  <c r="AF554" i="31"/>
  <c r="AK553" i="31"/>
  <c r="AF553" i="31"/>
  <c r="AK552" i="31"/>
  <c r="AF552" i="31"/>
  <c r="AK551" i="31"/>
  <c r="AF551" i="31"/>
  <c r="AK550" i="31"/>
  <c r="AF550" i="31"/>
  <c r="AK549" i="31"/>
  <c r="AF549" i="31"/>
  <c r="AK548" i="31"/>
  <c r="AF548" i="31"/>
  <c r="AK547" i="31"/>
  <c r="AF547" i="31"/>
  <c r="AK546" i="31"/>
  <c r="AF546" i="31"/>
  <c r="AK545" i="31"/>
  <c r="AF545" i="31"/>
  <c r="AK544" i="31"/>
  <c r="AF544" i="31"/>
  <c r="AK543" i="31"/>
  <c r="AF543" i="31"/>
  <c r="AK542" i="31"/>
  <c r="AF542" i="31"/>
  <c r="AK541" i="31"/>
  <c r="AF541" i="31"/>
  <c r="AK540" i="31"/>
  <c r="AF540" i="31"/>
  <c r="AK539" i="31"/>
  <c r="AF539" i="31"/>
  <c r="AK538" i="31"/>
  <c r="AF538" i="31"/>
  <c r="AK537" i="31"/>
  <c r="AF537" i="31"/>
  <c r="AK536" i="31"/>
  <c r="AF536" i="31"/>
  <c r="AK535" i="31"/>
  <c r="AF535" i="31"/>
  <c r="AK534" i="31"/>
  <c r="AF534" i="31"/>
  <c r="AK533" i="31"/>
  <c r="AF533" i="31"/>
  <c r="AK532" i="31"/>
  <c r="AF532" i="31"/>
  <c r="AK531" i="31"/>
  <c r="AF531" i="31"/>
  <c r="AK530" i="31"/>
  <c r="AF530" i="31"/>
  <c r="AK529" i="31"/>
  <c r="AF529" i="31"/>
  <c r="AK528" i="31"/>
  <c r="AF528" i="31"/>
  <c r="AK527" i="31"/>
  <c r="AF527" i="31"/>
  <c r="AK526" i="31"/>
  <c r="AF526" i="31"/>
  <c r="AK525" i="31"/>
  <c r="AF525" i="31"/>
  <c r="AK524" i="31"/>
  <c r="AF524" i="31"/>
  <c r="AK523" i="31"/>
  <c r="AF523" i="31"/>
  <c r="AK522" i="31"/>
  <c r="AF522" i="31"/>
  <c r="AK521" i="31"/>
  <c r="AF521" i="31"/>
  <c r="AK520" i="31"/>
  <c r="AF520" i="31"/>
  <c r="AK519" i="31"/>
  <c r="AF519" i="31"/>
  <c r="AK518" i="31"/>
  <c r="AF518" i="31"/>
  <c r="AK517" i="31"/>
  <c r="AF517" i="31"/>
  <c r="AK516" i="31"/>
  <c r="AF516" i="31"/>
  <c r="AK515" i="31"/>
  <c r="AF515" i="31"/>
  <c r="AK514" i="31"/>
  <c r="AF514" i="31"/>
  <c r="AK513" i="31"/>
  <c r="AF513" i="31"/>
  <c r="AK512" i="31"/>
  <c r="AF512" i="31"/>
  <c r="AK511" i="31"/>
  <c r="AF511" i="31"/>
  <c r="AK510" i="31"/>
  <c r="AF510" i="31"/>
  <c r="AK509" i="31"/>
  <c r="AF509" i="31"/>
  <c r="AK508" i="31"/>
  <c r="AF508" i="31"/>
  <c r="AK507" i="31"/>
  <c r="AF507" i="31"/>
  <c r="AK506" i="31"/>
  <c r="AF506" i="31"/>
  <c r="AK505" i="31"/>
  <c r="AF505" i="31"/>
  <c r="AK504" i="31"/>
  <c r="AF504" i="31"/>
  <c r="AK503" i="31"/>
  <c r="AF503" i="31"/>
  <c r="AK502" i="31"/>
  <c r="AF502" i="31"/>
  <c r="AK501" i="31"/>
  <c r="AF501" i="31"/>
  <c r="AK500" i="31"/>
  <c r="AF500" i="31"/>
  <c r="AK499" i="31"/>
  <c r="AF499" i="31"/>
  <c r="AK498" i="31"/>
  <c r="AF498" i="31"/>
  <c r="AK497" i="31"/>
  <c r="AF497" i="31"/>
  <c r="AK496" i="31"/>
  <c r="AF496" i="31"/>
  <c r="AK495" i="31"/>
  <c r="AF495" i="31"/>
  <c r="AK494" i="31"/>
  <c r="AF494" i="31"/>
  <c r="AK493" i="31"/>
  <c r="AF493" i="31"/>
  <c r="AK492" i="31"/>
  <c r="AF492" i="31"/>
  <c r="AK491" i="31"/>
  <c r="AF491" i="31"/>
  <c r="AK490" i="31"/>
  <c r="AF490" i="31"/>
  <c r="AK489" i="31"/>
  <c r="AF489" i="31"/>
  <c r="AK488" i="31"/>
  <c r="AF488" i="31"/>
  <c r="AK487" i="31"/>
  <c r="AF487" i="31"/>
  <c r="AK486" i="31"/>
  <c r="AF486" i="31"/>
  <c r="AK485" i="31"/>
  <c r="AF485" i="31"/>
  <c r="AK484" i="31"/>
  <c r="AF484" i="31"/>
  <c r="AK483" i="31"/>
  <c r="AF483" i="31"/>
  <c r="AK482" i="31"/>
  <c r="AF482" i="31"/>
  <c r="AK481" i="31"/>
  <c r="AF481" i="31"/>
  <c r="AK480" i="31"/>
  <c r="AF480" i="31"/>
  <c r="AK479" i="31"/>
  <c r="AF479" i="31"/>
  <c r="AK478" i="31"/>
  <c r="AF478" i="31"/>
  <c r="AK477" i="31"/>
  <c r="AF477" i="31"/>
  <c r="AK476" i="31"/>
  <c r="AF476" i="31"/>
  <c r="AK475" i="31"/>
  <c r="AF475" i="31"/>
  <c r="AK474" i="31"/>
  <c r="AF474" i="31"/>
  <c r="AK473" i="31"/>
  <c r="AF473" i="31"/>
  <c r="AK472" i="31"/>
  <c r="AF472" i="31"/>
  <c r="AK471" i="31"/>
  <c r="AF471" i="31"/>
  <c r="AK470" i="31"/>
  <c r="AF470" i="31"/>
  <c r="AK469" i="31"/>
  <c r="AF469" i="31"/>
  <c r="AK468" i="31"/>
  <c r="AF468" i="31"/>
  <c r="AK467" i="31"/>
  <c r="AF467" i="31"/>
  <c r="AK466" i="31"/>
  <c r="AF466" i="31"/>
  <c r="AK465" i="31"/>
  <c r="AF465" i="31"/>
  <c r="AK464" i="31"/>
  <c r="AF464" i="31"/>
  <c r="AK463" i="31"/>
  <c r="AF463" i="31"/>
  <c r="AK462" i="31"/>
  <c r="AF462" i="31"/>
  <c r="AK461" i="31"/>
  <c r="AF461" i="31"/>
  <c r="AK460" i="31"/>
  <c r="AF460" i="31"/>
  <c r="AK459" i="31"/>
  <c r="AF459" i="31"/>
  <c r="AK458" i="31"/>
  <c r="AF458" i="31"/>
  <c r="AK457" i="31"/>
  <c r="AF457" i="31"/>
  <c r="AK456" i="31"/>
  <c r="AF456" i="31"/>
  <c r="AK455" i="31"/>
  <c r="AF455" i="31"/>
  <c r="AK454" i="31"/>
  <c r="AF454" i="31"/>
  <c r="AK453" i="31"/>
  <c r="AF453" i="31"/>
  <c r="AK452" i="31"/>
  <c r="AF452" i="31"/>
  <c r="AK451" i="31"/>
  <c r="AF451" i="31"/>
  <c r="AK450" i="31"/>
  <c r="AF450" i="31"/>
  <c r="AK449" i="31"/>
  <c r="AF449" i="31"/>
  <c r="AK448" i="31"/>
  <c r="AF448" i="31"/>
  <c r="AK447" i="31"/>
  <c r="AF447" i="31"/>
  <c r="AK446" i="31"/>
  <c r="AF446" i="31"/>
  <c r="AK445" i="31"/>
  <c r="AF445" i="31"/>
  <c r="AK444" i="31"/>
  <c r="AF444" i="31"/>
  <c r="AK443" i="31"/>
  <c r="AF443" i="31"/>
  <c r="AK442" i="31"/>
  <c r="AF442" i="31"/>
  <c r="AK441" i="31"/>
  <c r="AF441" i="31"/>
  <c r="AK440" i="31"/>
  <c r="AF440" i="31"/>
  <c r="AK439" i="31"/>
  <c r="AF439" i="31"/>
  <c r="AK438" i="31"/>
  <c r="AF438" i="31"/>
  <c r="AK437" i="31"/>
  <c r="AF437" i="31"/>
  <c r="AK436" i="31"/>
  <c r="AF436" i="31"/>
  <c r="AK435" i="31"/>
  <c r="AF435" i="31"/>
  <c r="AK434" i="31"/>
  <c r="AF434" i="31"/>
  <c r="AK433" i="31"/>
  <c r="AF433" i="31"/>
  <c r="AK432" i="31"/>
  <c r="AF432" i="31"/>
  <c r="AK431" i="31"/>
  <c r="AF431" i="31"/>
  <c r="AK430" i="31"/>
  <c r="AF430" i="31"/>
  <c r="AK429" i="31"/>
  <c r="AF429" i="31"/>
  <c r="AK428" i="31"/>
  <c r="AF428" i="31"/>
  <c r="AK427" i="31"/>
  <c r="AF427" i="31"/>
  <c r="AK426" i="31"/>
  <c r="AF426" i="31"/>
  <c r="AK425" i="31"/>
  <c r="AF425" i="31"/>
  <c r="AK424" i="31"/>
  <c r="AF424" i="31"/>
  <c r="AK423" i="31"/>
  <c r="AF423" i="31"/>
  <c r="AK422" i="31"/>
  <c r="AF422" i="31"/>
  <c r="AK421" i="31"/>
  <c r="AF421" i="31"/>
  <c r="AK420" i="31"/>
  <c r="AF420" i="31"/>
  <c r="AK419" i="31"/>
  <c r="AF419" i="31"/>
  <c r="AK418" i="31"/>
  <c r="AF418" i="31"/>
  <c r="AK417" i="31"/>
  <c r="AF417" i="31"/>
  <c r="AK416" i="31"/>
  <c r="AF416" i="31"/>
  <c r="AK415" i="31"/>
  <c r="AF415" i="31"/>
  <c r="AK414" i="31"/>
  <c r="AF414" i="31"/>
  <c r="AK413" i="31"/>
  <c r="AF413" i="31"/>
  <c r="AK412" i="31"/>
  <c r="AF412" i="31"/>
  <c r="AK411" i="31"/>
  <c r="AF411" i="31"/>
  <c r="AK410" i="31"/>
  <c r="AF410" i="31"/>
  <c r="AK409" i="31"/>
  <c r="AF409" i="31"/>
  <c r="AK408" i="31"/>
  <c r="AF408" i="31"/>
  <c r="AK407" i="31"/>
  <c r="AF407" i="31"/>
  <c r="AK406" i="31"/>
  <c r="AF406" i="31"/>
  <c r="AK405" i="31"/>
  <c r="AF405" i="31"/>
  <c r="AK404" i="31"/>
  <c r="AF404" i="31"/>
  <c r="AK403" i="31"/>
  <c r="AF403" i="31"/>
  <c r="AK402" i="31"/>
  <c r="AF402" i="31"/>
  <c r="AK401" i="31"/>
  <c r="AF401" i="31"/>
  <c r="AK400" i="31"/>
  <c r="AF400" i="31"/>
  <c r="AK399" i="31"/>
  <c r="AF399" i="31"/>
  <c r="AK398" i="31"/>
  <c r="AF398" i="31"/>
  <c r="AK397" i="31"/>
  <c r="AF397" i="31"/>
  <c r="AK396" i="31"/>
  <c r="AF396" i="31"/>
  <c r="AK395" i="31"/>
  <c r="AF395" i="31"/>
  <c r="AK394" i="31"/>
  <c r="AF394" i="31"/>
  <c r="AK393" i="31"/>
  <c r="AF393" i="31"/>
  <c r="AK392" i="31"/>
  <c r="AF392" i="31"/>
  <c r="AK391" i="31"/>
  <c r="AF391" i="31"/>
  <c r="AK390" i="31"/>
  <c r="AF390" i="31"/>
  <c r="AK389" i="31"/>
  <c r="AF389" i="31"/>
  <c r="AK388" i="31"/>
  <c r="AF388" i="31"/>
  <c r="AK387" i="31"/>
  <c r="AF387" i="31"/>
  <c r="AK386" i="31"/>
  <c r="AF386" i="31"/>
  <c r="AK385" i="31"/>
  <c r="AF385" i="31"/>
  <c r="AK384" i="31"/>
  <c r="AF384" i="31"/>
  <c r="AK383" i="31"/>
  <c r="AF383" i="31"/>
  <c r="AK382" i="31"/>
  <c r="AF382" i="31"/>
  <c r="AK381" i="31"/>
  <c r="AF381" i="31"/>
  <c r="AK380" i="31"/>
  <c r="AF380" i="31"/>
  <c r="AK379" i="31"/>
  <c r="AF379" i="31"/>
  <c r="AK378" i="31"/>
  <c r="AF378" i="31"/>
  <c r="AK377" i="31"/>
  <c r="AF377" i="31"/>
  <c r="AK376" i="31"/>
  <c r="AF376" i="31"/>
  <c r="AK375" i="31"/>
  <c r="AF375" i="31"/>
  <c r="AK374" i="31"/>
  <c r="AF374" i="31"/>
  <c r="AK373" i="31"/>
  <c r="AF373" i="31"/>
  <c r="AK372" i="31"/>
  <c r="AF372" i="31"/>
  <c r="AK371" i="31"/>
  <c r="AF371" i="31"/>
  <c r="AK370" i="31"/>
  <c r="AF370" i="31"/>
  <c r="AK369" i="31"/>
  <c r="AF369" i="31"/>
  <c r="AK368" i="31"/>
  <c r="AF368" i="31"/>
  <c r="AK367" i="31"/>
  <c r="AF367" i="31"/>
  <c r="AK366" i="31"/>
  <c r="AF366" i="31"/>
  <c r="AK365" i="31"/>
  <c r="AF365" i="31"/>
  <c r="AK364" i="31"/>
  <c r="AF364" i="31"/>
  <c r="AK363" i="31"/>
  <c r="AF363" i="31"/>
  <c r="AK362" i="31"/>
  <c r="AF362" i="31"/>
  <c r="AK361" i="31"/>
  <c r="AF361" i="31"/>
  <c r="AK360" i="31"/>
  <c r="AF360" i="31"/>
  <c r="AK359" i="31"/>
  <c r="AF359" i="31"/>
  <c r="AK358" i="31"/>
  <c r="AF358" i="31"/>
  <c r="AK357" i="31"/>
  <c r="AF357" i="31"/>
  <c r="AK356" i="31"/>
  <c r="AF356" i="31"/>
  <c r="AK355" i="31"/>
  <c r="AF355" i="31"/>
  <c r="AK354" i="31"/>
  <c r="AF354" i="31"/>
  <c r="AK353" i="31"/>
  <c r="AF353" i="31"/>
  <c r="AK352" i="31"/>
  <c r="AF352" i="31"/>
  <c r="AK351" i="31"/>
  <c r="AF351" i="31"/>
  <c r="AK350" i="31"/>
  <c r="AF350" i="31"/>
  <c r="AK349" i="31"/>
  <c r="AF349" i="31"/>
  <c r="AK348" i="31"/>
  <c r="AF348" i="31"/>
  <c r="AK347" i="31"/>
  <c r="AF347" i="31"/>
  <c r="AK346" i="31"/>
  <c r="AF346" i="31"/>
  <c r="AK345" i="31"/>
  <c r="AF345" i="31"/>
  <c r="AK344" i="31"/>
  <c r="AF344" i="31"/>
  <c r="AK343" i="31"/>
  <c r="AF343" i="31"/>
  <c r="AK342" i="31"/>
  <c r="AF342" i="31"/>
  <c r="AK341" i="31"/>
  <c r="AF341" i="31"/>
  <c r="AK340" i="31"/>
  <c r="AF340" i="31"/>
  <c r="AK339" i="31"/>
  <c r="AF339" i="31"/>
  <c r="AK338" i="31"/>
  <c r="AF338" i="31"/>
  <c r="AK337" i="31"/>
  <c r="AF337" i="31"/>
  <c r="AK336" i="31"/>
  <c r="AF336" i="31"/>
  <c r="AK335" i="31"/>
  <c r="AF335" i="31"/>
  <c r="AK334" i="31"/>
  <c r="AF334" i="31"/>
  <c r="AK333" i="31"/>
  <c r="AF333" i="31"/>
  <c r="AK332" i="31"/>
  <c r="AF332" i="31"/>
  <c r="AK331" i="31"/>
  <c r="AF331" i="31"/>
  <c r="AK330" i="31"/>
  <c r="AF330" i="31"/>
  <c r="AK329" i="31"/>
  <c r="AF329" i="31"/>
  <c r="AK328" i="31"/>
  <c r="AF328" i="31"/>
  <c r="AK327" i="31"/>
  <c r="AF327" i="31"/>
  <c r="AK326" i="31"/>
  <c r="AF326" i="31"/>
  <c r="AK325" i="31"/>
  <c r="AF325" i="31"/>
  <c r="AK324" i="31"/>
  <c r="AF324" i="31"/>
  <c r="AK323" i="31"/>
  <c r="AF323" i="31"/>
  <c r="AK322" i="31"/>
  <c r="AF322" i="31"/>
  <c r="AK321" i="31"/>
  <c r="AF321" i="31"/>
  <c r="AK320" i="31"/>
  <c r="AF320" i="31"/>
  <c r="AK319" i="31"/>
  <c r="AF319" i="31"/>
  <c r="AK318" i="31"/>
  <c r="AF318" i="31"/>
  <c r="AK317" i="31"/>
  <c r="AF317" i="31"/>
  <c r="AK316" i="31"/>
  <c r="AF316" i="31"/>
  <c r="AK315" i="31"/>
  <c r="AF315" i="31"/>
  <c r="AK314" i="31"/>
  <c r="AF314" i="31"/>
  <c r="AK313" i="31"/>
  <c r="AF313" i="31"/>
  <c r="AK312" i="31"/>
  <c r="AF312" i="31"/>
  <c r="AK311" i="31"/>
  <c r="AF311" i="31"/>
  <c r="AK310" i="31"/>
  <c r="AF310" i="31"/>
  <c r="AK309" i="31"/>
  <c r="AF309" i="31"/>
  <c r="AK308" i="31"/>
  <c r="AF308" i="31"/>
  <c r="AK307" i="31"/>
  <c r="AF307" i="31"/>
  <c r="AK306" i="31"/>
  <c r="AF306" i="31"/>
  <c r="AK305" i="31"/>
  <c r="AF305" i="31"/>
  <c r="AK304" i="31"/>
  <c r="AF304" i="31"/>
  <c r="AK303" i="31"/>
  <c r="AF303" i="31"/>
  <c r="AK302" i="31"/>
  <c r="AF302" i="31"/>
  <c r="AK301" i="31"/>
  <c r="AF301" i="31"/>
  <c r="AK300" i="31"/>
  <c r="AF300" i="31"/>
  <c r="AK299" i="31"/>
  <c r="AF299" i="31"/>
  <c r="AK298" i="31"/>
  <c r="AF298" i="31"/>
  <c r="AK297" i="31"/>
  <c r="AF297" i="31"/>
  <c r="AK296" i="31"/>
  <c r="AF296" i="31"/>
  <c r="AK295" i="31"/>
  <c r="AF295" i="31"/>
  <c r="AK294" i="31"/>
  <c r="AF294" i="31"/>
  <c r="AK293" i="31"/>
  <c r="AF293" i="31"/>
  <c r="AK292" i="31"/>
  <c r="AF292" i="31"/>
  <c r="AK291" i="31"/>
  <c r="AF291" i="31"/>
  <c r="AK290" i="31"/>
  <c r="AF290" i="31"/>
  <c r="AK289" i="31"/>
  <c r="AF289" i="31"/>
  <c r="AK288" i="31"/>
  <c r="AF288" i="31"/>
  <c r="AK287" i="31"/>
  <c r="AF287" i="31"/>
  <c r="AK286" i="31"/>
  <c r="AF286" i="31"/>
  <c r="AK285" i="31"/>
  <c r="AF285" i="31"/>
  <c r="AK284" i="31"/>
  <c r="AF284" i="31"/>
  <c r="AK283" i="31"/>
  <c r="AF283" i="31"/>
  <c r="AK282" i="31"/>
  <c r="AF282" i="31"/>
  <c r="AK281" i="31"/>
  <c r="AF281" i="31"/>
  <c r="AK280" i="31"/>
  <c r="AF280" i="31"/>
  <c r="AK279" i="31"/>
  <c r="AF279" i="31"/>
  <c r="AK278" i="31"/>
  <c r="AF278" i="31"/>
  <c r="AK277" i="31"/>
  <c r="AF277" i="31"/>
  <c r="AK276" i="31"/>
  <c r="AF276" i="31"/>
  <c r="AK275" i="31"/>
  <c r="AF275" i="31"/>
  <c r="AK274" i="31"/>
  <c r="AF274" i="31"/>
  <c r="AK273" i="31"/>
  <c r="AF273" i="31"/>
  <c r="AK272" i="31"/>
  <c r="AF272" i="31"/>
  <c r="AK271" i="31"/>
  <c r="AF271" i="31"/>
  <c r="AK270" i="31"/>
  <c r="AF270" i="31"/>
  <c r="AK269" i="31"/>
  <c r="AF269" i="31"/>
  <c r="AK268" i="31"/>
  <c r="AF268" i="31"/>
  <c r="AK267" i="31"/>
  <c r="AF267" i="31"/>
  <c r="AK266" i="31"/>
  <c r="AF266" i="31"/>
  <c r="AK265" i="31"/>
  <c r="AF265" i="31"/>
  <c r="AK264" i="31"/>
  <c r="AF264" i="31"/>
  <c r="AK263" i="31"/>
  <c r="AF263" i="31"/>
  <c r="AK262" i="31"/>
  <c r="AF262" i="31"/>
  <c r="AK261" i="31"/>
  <c r="AF261" i="31"/>
  <c r="AK260" i="31"/>
  <c r="AF260" i="31"/>
  <c r="AK259" i="31"/>
  <c r="AF259" i="31"/>
  <c r="AK258" i="31"/>
  <c r="AF258" i="31"/>
  <c r="AK257" i="31"/>
  <c r="AF257" i="31"/>
  <c r="AK256" i="31"/>
  <c r="AF256" i="31"/>
  <c r="AK255" i="31"/>
  <c r="AF255" i="31"/>
  <c r="AK254" i="31"/>
  <c r="AF254" i="31"/>
  <c r="AK253" i="31"/>
  <c r="AF253" i="31"/>
  <c r="AK252" i="31"/>
  <c r="AF252" i="31"/>
  <c r="AK251" i="31"/>
  <c r="AF251" i="31"/>
  <c r="AK250" i="31"/>
  <c r="AF250" i="31"/>
  <c r="AK249" i="31"/>
  <c r="AF249" i="31"/>
  <c r="AK248" i="31"/>
  <c r="AF248" i="31"/>
  <c r="AK247" i="31"/>
  <c r="AF247" i="31"/>
  <c r="AK246" i="31"/>
  <c r="AF246" i="31"/>
  <c r="AK245" i="31"/>
  <c r="AF245" i="31"/>
  <c r="AK244" i="31"/>
  <c r="AF244" i="31"/>
  <c r="AK243" i="31"/>
  <c r="AF243" i="31"/>
  <c r="AK242" i="31"/>
  <c r="AF242" i="31"/>
  <c r="AK241" i="31"/>
  <c r="AF241" i="31"/>
  <c r="AK240" i="31"/>
  <c r="AF240" i="31"/>
  <c r="AK239" i="31"/>
  <c r="AF239" i="31"/>
  <c r="AK238" i="31"/>
  <c r="AF238" i="31"/>
  <c r="AK237" i="31"/>
  <c r="AF237" i="31"/>
  <c r="AK236" i="31"/>
  <c r="AF236" i="31"/>
  <c r="AK235" i="31"/>
  <c r="AF235" i="31"/>
  <c r="AK234" i="31"/>
  <c r="AF234" i="31"/>
  <c r="AK233" i="31"/>
  <c r="AF233" i="31"/>
  <c r="AK232" i="31"/>
  <c r="AF232" i="31"/>
  <c r="AK231" i="31"/>
  <c r="AF231" i="31"/>
  <c r="AK230" i="31"/>
  <c r="AF230" i="31"/>
  <c r="AK229" i="31"/>
  <c r="AF229" i="31"/>
  <c r="AK228" i="31"/>
  <c r="AF228" i="31"/>
  <c r="AK227" i="31"/>
  <c r="AF227" i="31"/>
  <c r="AK226" i="31"/>
  <c r="AF226" i="31"/>
  <c r="AK225" i="31"/>
  <c r="AF225" i="31"/>
  <c r="AK224" i="31"/>
  <c r="AF224" i="31"/>
  <c r="AK223" i="31"/>
  <c r="AF223" i="31"/>
  <c r="AK222" i="31"/>
  <c r="AF222" i="31"/>
  <c r="AK221" i="31"/>
  <c r="AF221" i="31"/>
  <c r="AK220" i="31"/>
  <c r="AF220" i="31"/>
  <c r="AK219" i="31"/>
  <c r="AF219" i="31"/>
  <c r="AK218" i="31"/>
  <c r="AF218" i="31"/>
  <c r="AK217" i="31"/>
  <c r="AF217" i="31"/>
  <c r="AK216" i="31"/>
  <c r="AF216" i="31"/>
  <c r="AK215" i="31"/>
  <c r="AF215" i="31"/>
  <c r="AK214" i="31"/>
  <c r="AF214" i="31"/>
  <c r="AK213" i="31"/>
  <c r="AF213" i="31"/>
  <c r="AK212" i="31"/>
  <c r="AF212" i="31"/>
  <c r="AK211" i="31"/>
  <c r="AF211" i="31"/>
  <c r="AK210" i="31"/>
  <c r="AF210" i="31"/>
  <c r="AK209" i="31"/>
  <c r="AF209" i="31"/>
  <c r="AK208" i="31"/>
  <c r="AF208" i="31"/>
  <c r="AK207" i="31"/>
  <c r="AF207" i="31"/>
  <c r="AK206" i="31"/>
  <c r="AF206" i="31"/>
  <c r="AK205" i="31"/>
  <c r="AF205" i="31"/>
  <c r="AK204" i="31"/>
  <c r="AF204" i="31"/>
  <c r="AK203" i="31"/>
  <c r="AF203" i="31"/>
  <c r="AK202" i="31"/>
  <c r="AF202" i="31"/>
  <c r="AK201" i="31"/>
  <c r="AF201" i="31"/>
  <c r="AK200" i="31"/>
  <c r="AF200" i="31"/>
  <c r="AK199" i="31"/>
  <c r="AF199" i="31"/>
  <c r="AK198" i="31"/>
  <c r="AF198" i="31"/>
  <c r="AK197" i="31"/>
  <c r="AF197" i="31"/>
  <c r="AK196" i="31"/>
  <c r="AF196" i="31"/>
  <c r="AK195" i="31"/>
  <c r="AF195" i="31"/>
  <c r="AK194" i="31"/>
  <c r="AF194" i="31"/>
  <c r="AK193" i="31"/>
  <c r="AF193" i="31"/>
  <c r="AK192" i="31"/>
  <c r="AF192" i="31"/>
  <c r="AK191" i="31"/>
  <c r="AF191" i="31"/>
  <c r="AK190" i="31"/>
  <c r="AF190" i="31"/>
  <c r="AK189" i="31"/>
  <c r="AF189" i="31"/>
  <c r="AK188" i="31"/>
  <c r="AF188" i="31"/>
  <c r="AK187" i="31"/>
  <c r="AF187" i="31"/>
  <c r="AK186" i="31"/>
  <c r="AF186" i="31"/>
  <c r="AK185" i="31"/>
  <c r="AF185" i="31"/>
  <c r="AK184" i="31"/>
  <c r="AF184" i="31"/>
  <c r="AK183" i="31"/>
  <c r="AF183" i="31"/>
  <c r="AK182" i="31"/>
  <c r="AF182" i="31"/>
  <c r="AK181" i="31"/>
  <c r="AF181" i="31"/>
  <c r="AK180" i="31"/>
  <c r="AF180" i="31"/>
  <c r="AK179" i="31"/>
  <c r="AF179" i="31"/>
  <c r="AK178" i="31"/>
  <c r="AF178" i="31"/>
  <c r="AK177" i="31"/>
  <c r="AF177" i="31"/>
  <c r="AK176" i="31"/>
  <c r="AF176" i="31"/>
  <c r="AK175" i="31"/>
  <c r="AF175" i="31"/>
  <c r="AK174" i="31"/>
  <c r="AF174" i="31"/>
  <c r="AK173" i="31"/>
  <c r="AF173" i="31"/>
  <c r="AK172" i="31"/>
  <c r="AF172" i="31"/>
  <c r="AK171" i="31"/>
  <c r="AF171" i="31"/>
  <c r="AK170" i="31"/>
  <c r="AF170" i="31"/>
  <c r="AK169" i="31"/>
  <c r="AF169" i="31"/>
  <c r="AK168" i="31"/>
  <c r="AF168" i="31"/>
  <c r="AK167" i="31"/>
  <c r="AF167" i="31"/>
  <c r="AK166" i="31"/>
  <c r="AF166" i="31"/>
  <c r="AK165" i="31"/>
  <c r="AF165" i="31"/>
  <c r="AK164" i="31"/>
  <c r="AF164" i="31"/>
  <c r="AK163" i="31"/>
  <c r="AF163" i="31"/>
  <c r="AK162" i="31"/>
  <c r="AF162" i="31"/>
  <c r="AK161" i="31"/>
  <c r="AF161" i="31"/>
  <c r="AK160" i="31"/>
  <c r="AF160" i="31"/>
  <c r="AK159" i="31"/>
  <c r="AF159" i="31"/>
  <c r="AK158" i="31"/>
  <c r="AF158" i="31"/>
  <c r="AK157" i="31"/>
  <c r="AF157" i="31"/>
  <c r="AK156" i="31"/>
  <c r="AF156" i="31"/>
  <c r="AK155" i="31"/>
  <c r="AF155" i="31"/>
  <c r="AK154" i="31"/>
  <c r="AF154" i="31"/>
  <c r="AK153" i="31"/>
  <c r="AF153" i="31"/>
  <c r="AK152" i="31"/>
  <c r="AF152" i="31"/>
  <c r="AK151" i="31"/>
  <c r="AF151" i="31"/>
  <c r="AK150" i="31"/>
  <c r="AF150" i="31"/>
  <c r="AK149" i="31"/>
  <c r="AF149" i="31"/>
  <c r="AK148" i="31"/>
  <c r="AF148" i="31"/>
  <c r="AK147" i="31"/>
  <c r="AF147" i="31"/>
  <c r="AK146" i="31"/>
  <c r="AF146" i="31"/>
  <c r="AK145" i="31"/>
  <c r="AF145" i="31"/>
  <c r="AK144" i="31"/>
  <c r="AF144" i="31"/>
  <c r="AK143" i="31"/>
  <c r="AF143" i="31"/>
  <c r="AK142" i="31"/>
  <c r="AF142" i="31"/>
  <c r="AK141" i="31"/>
  <c r="AF141" i="31"/>
  <c r="AK140" i="31"/>
  <c r="AF140" i="31"/>
  <c r="AK139" i="31"/>
  <c r="AF139" i="31"/>
  <c r="AK138" i="31"/>
  <c r="AF138" i="31"/>
  <c r="AK137" i="31"/>
  <c r="AF137" i="31"/>
  <c r="AK136" i="31"/>
  <c r="AF136" i="31"/>
  <c r="AK135" i="31"/>
  <c r="AF135" i="31"/>
  <c r="AK134" i="31"/>
  <c r="AF134" i="31"/>
  <c r="AK133" i="31"/>
  <c r="AF133" i="31"/>
  <c r="AK132" i="31"/>
  <c r="AF132" i="31"/>
  <c r="AK131" i="31"/>
  <c r="AF131" i="31"/>
  <c r="AK130" i="31"/>
  <c r="AF130" i="31"/>
  <c r="AK129" i="31"/>
  <c r="AF129" i="31"/>
  <c r="AK128" i="31"/>
  <c r="AF128" i="31"/>
  <c r="AK127" i="31"/>
  <c r="AF127" i="31"/>
  <c r="AK126" i="31"/>
  <c r="AF126" i="31"/>
  <c r="AK125" i="31"/>
  <c r="AF125" i="31"/>
  <c r="AK124" i="31"/>
  <c r="AF124" i="31"/>
  <c r="AK123" i="31"/>
  <c r="AF123" i="31"/>
  <c r="AK122" i="31"/>
  <c r="AF122" i="31"/>
  <c r="AK121" i="31"/>
  <c r="AF121" i="31"/>
  <c r="AK120" i="31"/>
  <c r="AF120" i="31"/>
  <c r="AK119" i="31"/>
  <c r="AF119" i="31"/>
  <c r="AK118" i="31"/>
  <c r="AF118" i="31"/>
  <c r="AK117" i="31"/>
  <c r="AF117" i="31"/>
  <c r="AK116" i="31"/>
  <c r="AF116" i="31"/>
  <c r="AK115" i="31"/>
  <c r="AF115" i="31"/>
  <c r="AK114" i="31"/>
  <c r="AF114" i="31"/>
  <c r="AK113" i="31"/>
  <c r="AF113" i="31"/>
  <c r="AK112" i="31"/>
  <c r="AF112" i="31"/>
  <c r="AK111" i="31"/>
  <c r="AF111" i="31"/>
  <c r="AK110" i="31"/>
  <c r="AF110" i="31"/>
  <c r="AK109" i="31"/>
  <c r="AF109" i="31"/>
  <c r="AK108" i="31"/>
  <c r="AF108" i="31"/>
  <c r="AK107" i="31"/>
  <c r="AF107" i="31"/>
  <c r="AK106" i="31"/>
  <c r="AF106" i="31"/>
  <c r="AK105" i="31"/>
  <c r="AF105" i="31"/>
  <c r="AK104" i="31"/>
  <c r="AF104" i="31"/>
  <c r="AK103" i="31"/>
  <c r="AF103" i="31"/>
  <c r="AK102" i="31"/>
  <c r="AF102" i="31"/>
  <c r="AK101" i="31"/>
  <c r="AF101" i="31"/>
  <c r="AK100" i="31"/>
  <c r="AF100" i="31"/>
  <c r="AK99" i="31"/>
  <c r="AF99" i="31"/>
  <c r="AK98" i="31"/>
  <c r="AF98" i="31"/>
  <c r="AK97" i="31"/>
  <c r="AF97" i="31"/>
  <c r="AK96" i="31"/>
  <c r="AF96" i="31"/>
  <c r="AK95" i="31"/>
  <c r="AF95" i="31"/>
  <c r="AK94" i="31"/>
  <c r="AF94" i="31"/>
  <c r="AK93" i="31"/>
  <c r="AF93" i="31"/>
  <c r="AK92" i="31"/>
  <c r="AF92" i="31"/>
  <c r="AK91" i="31"/>
  <c r="AF91" i="31"/>
  <c r="AK90" i="31"/>
  <c r="AF90" i="31"/>
  <c r="AK89" i="31"/>
  <c r="AF89" i="31"/>
  <c r="AK88" i="31"/>
  <c r="AF88" i="31"/>
  <c r="AK87" i="31"/>
  <c r="AF87" i="31"/>
  <c r="AK86" i="31"/>
  <c r="AF86" i="31"/>
  <c r="AK85" i="31"/>
  <c r="AF85" i="31"/>
  <c r="AK84" i="31"/>
  <c r="AF84" i="31"/>
  <c r="AK83" i="31"/>
  <c r="AF83" i="31"/>
  <c r="AK82" i="31"/>
  <c r="AF82" i="31"/>
  <c r="AK81" i="31"/>
  <c r="AF81" i="31"/>
  <c r="AK80" i="31"/>
  <c r="AF80" i="31"/>
  <c r="AK79" i="31"/>
  <c r="AF79" i="31"/>
  <c r="AK78" i="31"/>
  <c r="AF78" i="31"/>
  <c r="AK77" i="31"/>
  <c r="AF77" i="31"/>
  <c r="AK76" i="31"/>
  <c r="AF76" i="31"/>
  <c r="AK75" i="31"/>
  <c r="AF75" i="31"/>
  <c r="AK74" i="31"/>
  <c r="AF74" i="31"/>
  <c r="AK73" i="31"/>
  <c r="AF73" i="31"/>
  <c r="AK72" i="31"/>
  <c r="AF72" i="31"/>
  <c r="AK71" i="31"/>
  <c r="AF71" i="31"/>
  <c r="AK70" i="31"/>
  <c r="AF70" i="31"/>
  <c r="AK69" i="31"/>
  <c r="AF69" i="31"/>
  <c r="AK68" i="31"/>
  <c r="AF68" i="31"/>
  <c r="AK67" i="31"/>
  <c r="AF67" i="31"/>
  <c r="AK66" i="31"/>
  <c r="AF66" i="31"/>
  <c r="AK65" i="31"/>
  <c r="AF65" i="31"/>
  <c r="AK64" i="31"/>
  <c r="AF64" i="31"/>
  <c r="AK63" i="31"/>
  <c r="AF63" i="31"/>
  <c r="AK62" i="31"/>
  <c r="AF62" i="31"/>
  <c r="AK61" i="31"/>
  <c r="AF61" i="31"/>
  <c r="AK60" i="31"/>
  <c r="AF60" i="31"/>
  <c r="AK59" i="31"/>
  <c r="AF59" i="31"/>
  <c r="AK58" i="31"/>
  <c r="AF58" i="31"/>
  <c r="AK57" i="31"/>
  <c r="AF57" i="31"/>
  <c r="AK56" i="31"/>
  <c r="AF56" i="31"/>
  <c r="AK55" i="31"/>
  <c r="AF55" i="31"/>
  <c r="AK54" i="31"/>
  <c r="AF54" i="31"/>
  <c r="AK53" i="31"/>
  <c r="AF53" i="31"/>
  <c r="AK52" i="31"/>
  <c r="AF52" i="31"/>
  <c r="AK51" i="31"/>
  <c r="AF51" i="31"/>
  <c r="AK50" i="31"/>
  <c r="AF50" i="31"/>
  <c r="AK49" i="31"/>
  <c r="AF49" i="31"/>
  <c r="AK48" i="31"/>
  <c r="AF48" i="31"/>
  <c r="AK47" i="31"/>
  <c r="AF47" i="31"/>
  <c r="AK46" i="31"/>
  <c r="AF46" i="31"/>
  <c r="AK45" i="31"/>
  <c r="AF45" i="31"/>
  <c r="AK44" i="31"/>
  <c r="AF44" i="31"/>
  <c r="AK43" i="31"/>
  <c r="AF43" i="31"/>
  <c r="AK42" i="31"/>
  <c r="AF42" i="31"/>
  <c r="AK41" i="31"/>
  <c r="AF41" i="31"/>
  <c r="AK40" i="31"/>
  <c r="AF40" i="31"/>
  <c r="AK39" i="31"/>
  <c r="AF39" i="31"/>
  <c r="AK38" i="31"/>
  <c r="AF38" i="31"/>
  <c r="AK37" i="31"/>
  <c r="AF37" i="31"/>
  <c r="AK36" i="31"/>
  <c r="AF36" i="31"/>
  <c r="AK35" i="31"/>
  <c r="AF35" i="31"/>
  <c r="AK34" i="31"/>
  <c r="AF34" i="31"/>
  <c r="AK33" i="31"/>
  <c r="AF33" i="31"/>
  <c r="AK32" i="31"/>
  <c r="AF32" i="31"/>
  <c r="AK31" i="31"/>
  <c r="AF31" i="31"/>
  <c r="AK30" i="31"/>
  <c r="AF30" i="31"/>
  <c r="AK29" i="31"/>
  <c r="AF29" i="31"/>
  <c r="AK28" i="31"/>
  <c r="AF28" i="31"/>
  <c r="AK27" i="31"/>
  <c r="AF27" i="31"/>
  <c r="AK26" i="31"/>
  <c r="AF26" i="31"/>
  <c r="AK25" i="31"/>
  <c r="AF25" i="31"/>
  <c r="AK24" i="31"/>
  <c r="AF24" i="31"/>
  <c r="AK23" i="31"/>
  <c r="AF23" i="31"/>
  <c r="AK22" i="31"/>
  <c r="AF22" i="31"/>
  <c r="AK21" i="31"/>
  <c r="AF21" i="31"/>
  <c r="AK20" i="31"/>
  <c r="AF20" i="31"/>
  <c r="AK19" i="31"/>
  <c r="AF19" i="31"/>
  <c r="AK18" i="31"/>
  <c r="AF18" i="31"/>
  <c r="AK17" i="31"/>
  <c r="AF17" i="31"/>
  <c r="AK16" i="31"/>
  <c r="AF16" i="31"/>
  <c r="AK15" i="31"/>
  <c r="AF15" i="31"/>
  <c r="AK14" i="31"/>
  <c r="AF14" i="31"/>
  <c r="AK13" i="31"/>
  <c r="AF13" i="31"/>
  <c r="AK12" i="31"/>
  <c r="AF12" i="31"/>
  <c r="AK11" i="31"/>
  <c r="AF11" i="31"/>
  <c r="AK10" i="31"/>
  <c r="AF10" i="31"/>
  <c r="AK9" i="31"/>
  <c r="AA4" i="31"/>
  <c r="C29" i="14"/>
  <c r="M4" i="31"/>
  <c r="C28" i="14" s="1"/>
  <c r="P4" i="31" l="1"/>
  <c r="Q4" i="31"/>
  <c r="W4" i="31"/>
  <c r="E32" i="12"/>
  <c r="E51" i="12" l="1"/>
  <c r="R64" i="20"/>
  <c r="I27" i="30"/>
  <c r="G27" i="30"/>
  <c r="E27" i="30"/>
  <c r="K24" i="30"/>
  <c r="K22" i="30"/>
  <c r="K20" i="30"/>
  <c r="K18" i="30"/>
  <c r="K15" i="30"/>
  <c r="K13" i="30"/>
  <c r="K11" i="30"/>
  <c r="K9" i="30"/>
  <c r="K7" i="30"/>
  <c r="K27" i="30" s="1"/>
  <c r="K5" i="30"/>
  <c r="N9" i="16"/>
  <c r="O16" i="16" s="1" a="1"/>
  <c r="O16" i="16" s="1"/>
  <c r="N23" i="16"/>
  <c r="O30" i="16" a="1"/>
  <c r="O30" i="16" s="1"/>
  <c r="D11" i="14"/>
  <c r="M42" i="25" l="1"/>
  <c r="M41" i="25"/>
  <c r="M40" i="25"/>
  <c r="M39" i="25"/>
  <c r="M38" i="25"/>
  <c r="M37" i="25"/>
  <c r="M36" i="25"/>
  <c r="M35" i="25"/>
  <c r="M30" i="25"/>
  <c r="M29" i="25"/>
  <c r="M28" i="25"/>
  <c r="M27" i="25"/>
  <c r="M26" i="25"/>
  <c r="M25" i="25"/>
  <c r="M21" i="25"/>
  <c r="M22" i="25"/>
  <c r="M23" i="25"/>
  <c r="M24" i="25"/>
  <c r="M20" i="25"/>
  <c r="M19" i="25"/>
  <c r="V21" i="16"/>
  <c r="AG21" i="16" s="1"/>
  <c r="U21" i="16"/>
  <c r="AF21" i="16" s="1"/>
  <c r="T21" i="16"/>
  <c r="AE21" i="16" s="1"/>
  <c r="S21" i="16"/>
  <c r="AD21" i="16" s="1"/>
  <c r="Q21" i="16"/>
  <c r="AB21" i="16" s="1"/>
  <c r="P21" i="16"/>
  <c r="AA21" i="16" s="1"/>
  <c r="O21" i="16"/>
  <c r="Z21" i="16" s="1"/>
  <c r="T7" i="16"/>
  <c r="AE7" i="16" s="1"/>
  <c r="U7" i="16"/>
  <c r="AF7" i="16" s="1"/>
  <c r="V7" i="16"/>
  <c r="AG7" i="16" s="1"/>
  <c r="S7" i="16"/>
  <c r="AD7" i="16" s="1"/>
  <c r="P7" i="16"/>
  <c r="AA7" i="16" s="1"/>
  <c r="Q7" i="16"/>
  <c r="AB7" i="16" s="1"/>
  <c r="O7" i="16"/>
  <c r="Z7" i="16" s="1"/>
  <c r="D2" i="16"/>
  <c r="B27" i="28"/>
  <c r="P22" i="16" l="1"/>
  <c r="U23" i="16"/>
  <c r="Q22" i="16"/>
  <c r="V23" i="16"/>
  <c r="S22" i="16"/>
  <c r="R22" i="16"/>
  <c r="P24" i="16"/>
  <c r="Q24" i="16"/>
  <c r="T24" i="16"/>
  <c r="T23" i="16"/>
  <c r="T22" i="16"/>
  <c r="R24" i="16"/>
  <c r="U22" i="16"/>
  <c r="S24" i="16"/>
  <c r="V22" i="16"/>
  <c r="O22" i="16"/>
  <c r="P23" i="16"/>
  <c r="U24" i="16"/>
  <c r="Q23" i="16"/>
  <c r="O23" i="16"/>
  <c r="R23" i="16"/>
  <c r="O24" i="16"/>
  <c r="S23" i="16"/>
  <c r="D6" i="29"/>
  <c r="B6" i="29"/>
  <c r="J4" i="28"/>
  <c r="B4" i="28" s="1"/>
  <c r="H42" i="28" s="1"/>
  <c r="B31" i="29"/>
  <c r="B11" i="29"/>
  <c r="M6" i="28"/>
  <c r="K6" i="28"/>
  <c r="D6" i="28"/>
  <c r="B6" i="28"/>
  <c r="M6" i="29"/>
  <c r="K6" i="29"/>
  <c r="A128" i="29"/>
  <c r="A128" i="28"/>
  <c r="I57" i="29"/>
  <c r="H57" i="29"/>
  <c r="M27" i="29"/>
  <c r="N27" i="29" s="1"/>
  <c r="H2" i="28"/>
  <c r="B5" i="28" s="1"/>
  <c r="H2" i="29"/>
  <c r="Q2" i="14"/>
  <c r="F18" i="29"/>
  <c r="C90" i="29"/>
  <c r="C106" i="28"/>
  <c r="C105" i="28"/>
  <c r="C104" i="28"/>
  <c r="C103" i="28"/>
  <c r="C102" i="28"/>
  <c r="C101" i="28"/>
  <c r="C100" i="28"/>
  <c r="C99" i="28"/>
  <c r="C98" i="28"/>
  <c r="C97" i="28"/>
  <c r="C96" i="28"/>
  <c r="C95" i="28"/>
  <c r="C94" i="28"/>
  <c r="C93" i="28"/>
  <c r="C92" i="28"/>
  <c r="C91" i="28"/>
  <c r="C88" i="28"/>
  <c r="C87" i="28"/>
  <c r="C86" i="28"/>
  <c r="C85" i="28"/>
  <c r="C84" i="28"/>
  <c r="C83" i="28"/>
  <c r="C82" i="28"/>
  <c r="C81" i="28"/>
  <c r="C80" i="28"/>
  <c r="C79" i="28"/>
  <c r="C78" i="28"/>
  <c r="C77" i="28"/>
  <c r="C76" i="28"/>
  <c r="C75" i="28"/>
  <c r="C74" i="28"/>
  <c r="C73" i="28"/>
  <c r="C72" i="28"/>
  <c r="C71" i="28"/>
  <c r="C70" i="28"/>
  <c r="C69" i="28"/>
  <c r="C68" i="28"/>
  <c r="C67" i="28"/>
  <c r="I55" i="28"/>
  <c r="H55" i="28"/>
  <c r="A42" i="28"/>
  <c r="A44" i="29"/>
  <c r="M22" i="28"/>
  <c r="B22" i="28" s="1"/>
  <c r="B26" i="29"/>
  <c r="C108" i="29"/>
  <c r="C107" i="29"/>
  <c r="C106" i="29"/>
  <c r="C105" i="29"/>
  <c r="C104" i="29"/>
  <c r="C103" i="29"/>
  <c r="C102" i="29"/>
  <c r="C101" i="29"/>
  <c r="C100" i="29"/>
  <c r="C99" i="29"/>
  <c r="C98" i="29"/>
  <c r="C97" i="29"/>
  <c r="C96" i="29"/>
  <c r="C95" i="29"/>
  <c r="C94" i="29"/>
  <c r="C93" i="29"/>
  <c r="C89" i="29"/>
  <c r="C88" i="29"/>
  <c r="C87" i="29"/>
  <c r="C86" i="29"/>
  <c r="C85" i="29"/>
  <c r="C84" i="29"/>
  <c r="C83" i="29"/>
  <c r="C82" i="29"/>
  <c r="C81" i="29"/>
  <c r="C80" i="29"/>
  <c r="C79" i="29"/>
  <c r="C78" i="29"/>
  <c r="C77" i="29"/>
  <c r="C76" i="29"/>
  <c r="C75" i="29"/>
  <c r="C74" i="29"/>
  <c r="C73" i="29"/>
  <c r="C72" i="29"/>
  <c r="C71" i="29"/>
  <c r="C70" i="29"/>
  <c r="C69" i="29"/>
  <c r="M36" i="29"/>
  <c r="M35" i="29"/>
  <c r="J4" i="29"/>
  <c r="B4" i="29" s="1"/>
  <c r="H44" i="29" s="1"/>
  <c r="A59" i="28" l="1"/>
  <c r="B11" i="28"/>
  <c r="B5" i="29"/>
  <c r="B10" i="29" s="1"/>
  <c r="G57" i="29"/>
  <c r="B10" i="28"/>
  <c r="G55" i="28"/>
  <c r="B12" i="28"/>
  <c r="M34" i="29" l="1"/>
  <c r="F4" i="14" l="1"/>
  <c r="E25" i="26"/>
  <c r="E24" i="26"/>
  <c r="E23" i="26"/>
  <c r="E22" i="26"/>
  <c r="E21" i="26"/>
  <c r="E20" i="26"/>
  <c r="E19" i="26"/>
  <c r="E18" i="26"/>
  <c r="E17" i="26"/>
  <c r="E16" i="26"/>
  <c r="E15" i="26"/>
  <c r="E14" i="26"/>
  <c r="E13" i="26"/>
  <c r="E12" i="26"/>
  <c r="E11" i="26"/>
  <c r="E10" i="26"/>
  <c r="E9" i="26"/>
  <c r="E8" i="26"/>
  <c r="E7" i="26"/>
  <c r="E6" i="26"/>
  <c r="G46" i="23"/>
  <c r="G45" i="23"/>
  <c r="G44" i="23"/>
  <c r="G43" i="23"/>
  <c r="G42" i="23"/>
  <c r="G41" i="23"/>
  <c r="G40" i="23"/>
  <c r="G39" i="23"/>
  <c r="G38" i="23"/>
  <c r="G37" i="23"/>
  <c r="G36" i="23"/>
  <c r="G46" i="22"/>
  <c r="G45" i="22"/>
  <c r="G44" i="22"/>
  <c r="G43" i="22"/>
  <c r="G42" i="22"/>
  <c r="G41" i="22"/>
  <c r="G40" i="22"/>
  <c r="G39" i="22"/>
  <c r="G38" i="22"/>
  <c r="G37" i="22"/>
  <c r="G36" i="22"/>
  <c r="G45" i="21"/>
  <c r="G44" i="21"/>
  <c r="G43" i="21"/>
  <c r="G42" i="21"/>
  <c r="G41" i="21"/>
  <c r="G40" i="21"/>
  <c r="G39" i="21"/>
  <c r="G38" i="21"/>
  <c r="G37" i="21"/>
  <c r="G36" i="21"/>
  <c r="G35" i="21"/>
  <c r="M10" i="25"/>
  <c r="H19" i="25" l="1"/>
  <c r="C19" i="25"/>
  <c r="C20" i="25" s="1"/>
  <c r="C21" i="25" s="1"/>
  <c r="C22" i="25" s="1"/>
  <c r="C23" i="25" s="1"/>
  <c r="C24" i="25" s="1"/>
  <c r="C25" i="25" s="1"/>
  <c r="C26" i="25" s="1"/>
  <c r="C27" i="25" s="1"/>
  <c r="C28" i="25" s="1"/>
  <c r="C29" i="25" s="1"/>
  <c r="C30" i="25" s="1"/>
  <c r="C31" i="25" s="1"/>
  <c r="C32" i="25" s="1"/>
  <c r="C33" i="25" s="1"/>
  <c r="C34" i="25" s="1"/>
  <c r="C35" i="25" s="1"/>
  <c r="C36" i="25" s="1"/>
  <c r="C37" i="25" s="1"/>
  <c r="C38" i="25" s="1"/>
  <c r="C39" i="25" s="1"/>
  <c r="C40" i="25" s="1"/>
  <c r="C41" i="25" s="1"/>
  <c r="C42" i="25" s="1"/>
  <c r="C43" i="25" s="1"/>
  <c r="C44" i="25" s="1"/>
  <c r="C45" i="25" s="1"/>
  <c r="C46" i="25" s="1"/>
  <c r="C47" i="25" s="1"/>
  <c r="C48" i="25" s="1"/>
  <c r="C49" i="25" s="1"/>
  <c r="C50" i="25" s="1"/>
  <c r="C51" i="25" s="1"/>
  <c r="C52" i="25" s="1"/>
  <c r="C53" i="25" s="1"/>
  <c r="C54" i="25" s="1"/>
  <c r="J3" i="25"/>
  <c r="S19" i="20" l="1"/>
  <c r="S22" i="20"/>
  <c r="S25" i="20"/>
  <c r="S28" i="20"/>
  <c r="S31" i="20"/>
  <c r="S34" i="20"/>
  <c r="S37" i="20"/>
  <c r="S40" i="20"/>
  <c r="S43" i="20"/>
  <c r="S46" i="20"/>
  <c r="S49" i="20"/>
  <c r="S52" i="20"/>
  <c r="S55" i="20"/>
  <c r="S58" i="20"/>
  <c r="S61" i="20"/>
  <c r="S7" i="20"/>
  <c r="S10" i="20"/>
  <c r="S13" i="20"/>
  <c r="S16" i="20"/>
  <c r="S4" i="20"/>
  <c r="X63" i="20"/>
  <c r="X62" i="20"/>
  <c r="X61" i="20"/>
  <c r="X60" i="20"/>
  <c r="X59" i="20"/>
  <c r="X58" i="20"/>
  <c r="X57" i="20"/>
  <c r="X56" i="20"/>
  <c r="X55" i="20"/>
  <c r="X54" i="20"/>
  <c r="X53" i="20"/>
  <c r="X52" i="20"/>
  <c r="X51" i="20"/>
  <c r="X50" i="20"/>
  <c r="X49" i="20"/>
  <c r="X48" i="20"/>
  <c r="X47" i="20"/>
  <c r="X46" i="20"/>
  <c r="X45" i="20"/>
  <c r="X44" i="20"/>
  <c r="X43" i="20"/>
  <c r="X42" i="20"/>
  <c r="X41" i="20"/>
  <c r="X40" i="20"/>
  <c r="X39" i="20"/>
  <c r="X38" i="20"/>
  <c r="X37" i="20"/>
  <c r="X36" i="20"/>
  <c r="X35" i="20"/>
  <c r="X34" i="20"/>
  <c r="X33" i="20"/>
  <c r="X32" i="20"/>
  <c r="X31" i="20"/>
  <c r="X30" i="20"/>
  <c r="X29" i="20"/>
  <c r="X28" i="20"/>
  <c r="X27" i="20"/>
  <c r="X26" i="20"/>
  <c r="X25" i="20"/>
  <c r="X24" i="20"/>
  <c r="X23" i="20"/>
  <c r="X22" i="20"/>
  <c r="X21" i="20"/>
  <c r="X20" i="20"/>
  <c r="X19" i="20"/>
  <c r="X18" i="20"/>
  <c r="X17" i="20"/>
  <c r="X16" i="20"/>
  <c r="X15" i="20"/>
  <c r="X14" i="20"/>
  <c r="X13" i="20"/>
  <c r="X12" i="20"/>
  <c r="X11" i="20"/>
  <c r="X10" i="20"/>
  <c r="X9" i="20"/>
  <c r="X8" i="20"/>
  <c r="X7" i="20"/>
  <c r="X6" i="20"/>
  <c r="X5" i="20"/>
  <c r="X4" i="20"/>
  <c r="J7" i="25" l="1"/>
  <c r="J6" i="25"/>
  <c r="J10" i="25" s="1"/>
  <c r="O4" i="20"/>
  <c r="D52" i="25" l="1"/>
  <c r="U52" i="25" s="1"/>
  <c r="P54" i="25"/>
  <c r="Q54" i="25" s="1"/>
  <c r="P50" i="25"/>
  <c r="Q50" i="25" s="1"/>
  <c r="D49" i="25"/>
  <c r="U49" i="25" s="1"/>
  <c r="P51" i="25"/>
  <c r="Q51" i="25" s="1"/>
  <c r="P52" i="25"/>
  <c r="Q52" i="25" s="1"/>
  <c r="D48" i="25"/>
  <c r="U48" i="25" s="1"/>
  <c r="P49" i="25"/>
  <c r="Q49" i="25" s="1"/>
  <c r="P53" i="25"/>
  <c r="Q53" i="25" s="1"/>
  <c r="D53" i="25"/>
  <c r="U53" i="25" s="1"/>
  <c r="D54" i="25"/>
  <c r="U54" i="25" s="1"/>
  <c r="D50" i="25"/>
  <c r="U50" i="25" s="1"/>
  <c r="D51" i="25"/>
  <c r="U51" i="25" s="1"/>
  <c r="P48" i="25"/>
  <c r="Q48" i="25" s="1"/>
  <c r="H25" i="26"/>
  <c r="B25" i="26"/>
  <c r="K25" i="26" s="1"/>
  <c r="H24" i="26"/>
  <c r="B24" i="26"/>
  <c r="K24" i="26" s="1"/>
  <c r="H23" i="26"/>
  <c r="B23" i="26"/>
  <c r="K23" i="26" s="1"/>
  <c r="H22" i="26"/>
  <c r="B22" i="26"/>
  <c r="K22" i="26" s="1"/>
  <c r="H21" i="26"/>
  <c r="B21" i="26"/>
  <c r="K21" i="26" s="1"/>
  <c r="H20" i="26"/>
  <c r="B20" i="26"/>
  <c r="K20" i="26" s="1"/>
  <c r="H19" i="26"/>
  <c r="B19" i="26"/>
  <c r="K19" i="26" s="1"/>
  <c r="H18" i="26"/>
  <c r="B18" i="26"/>
  <c r="K18" i="26" s="1"/>
  <c r="H17" i="26"/>
  <c r="B17" i="26"/>
  <c r="K17" i="26" s="1"/>
  <c r="H16" i="26"/>
  <c r="B16" i="26"/>
  <c r="K16" i="26" s="1"/>
  <c r="H15" i="26"/>
  <c r="B15" i="26"/>
  <c r="K15" i="26" s="1"/>
  <c r="H14" i="26"/>
  <c r="B14" i="26"/>
  <c r="K14" i="26" s="1"/>
  <c r="H13" i="26"/>
  <c r="B13" i="26"/>
  <c r="K13" i="26" s="1"/>
  <c r="H12" i="26"/>
  <c r="B12" i="26"/>
  <c r="K12" i="26" s="1"/>
  <c r="H11" i="26"/>
  <c r="B11" i="26"/>
  <c r="K11" i="26" s="1"/>
  <c r="H10" i="26"/>
  <c r="B10" i="26"/>
  <c r="K10" i="26" s="1"/>
  <c r="H9" i="26"/>
  <c r="B9" i="26"/>
  <c r="K9" i="26" s="1"/>
  <c r="H8" i="26"/>
  <c r="B8" i="26"/>
  <c r="K8" i="26" s="1"/>
  <c r="H7" i="26"/>
  <c r="B7" i="26"/>
  <c r="K7" i="26" s="1"/>
  <c r="H6" i="26"/>
  <c r="B6" i="26"/>
  <c r="K6" i="26" s="1"/>
  <c r="O31" i="20" l="1"/>
  <c r="O34" i="20"/>
  <c r="M6" i="25"/>
  <c r="M7" i="25"/>
  <c r="M8" i="25"/>
  <c r="M9" i="25"/>
  <c r="M11" i="25"/>
  <c r="M12" i="25"/>
  <c r="M13" i="25"/>
  <c r="M14" i="25"/>
  <c r="F4" i="23" l="1"/>
  <c r="F4" i="22"/>
  <c r="F4" i="21"/>
  <c r="O22" i="20"/>
  <c r="O25" i="20"/>
  <c r="O28" i="20"/>
  <c r="O37" i="20"/>
  <c r="O40" i="20"/>
  <c r="O43" i="20"/>
  <c r="O46" i="20"/>
  <c r="O49" i="20"/>
  <c r="O52" i="20"/>
  <c r="O55" i="20"/>
  <c r="O58" i="20"/>
  <c r="O61" i="20"/>
  <c r="H46" i="23"/>
  <c r="B46" i="23"/>
  <c r="I46" i="23" s="1"/>
  <c r="H45" i="23"/>
  <c r="B45" i="23"/>
  <c r="I45" i="23" s="1"/>
  <c r="H44" i="23"/>
  <c r="B44" i="23"/>
  <c r="I44" i="23" s="1"/>
  <c r="H43" i="23"/>
  <c r="B43" i="23"/>
  <c r="I43" i="23" s="1"/>
  <c r="H42" i="23"/>
  <c r="B42" i="23"/>
  <c r="I42" i="23" s="1"/>
  <c r="H41" i="23"/>
  <c r="B41" i="23"/>
  <c r="I41" i="23" s="1"/>
  <c r="H40" i="23"/>
  <c r="B40" i="23"/>
  <c r="I40" i="23" s="1"/>
  <c r="H39" i="23"/>
  <c r="B39" i="23"/>
  <c r="I39" i="23" s="1"/>
  <c r="H38" i="23"/>
  <c r="B38" i="23"/>
  <c r="I38" i="23" s="1"/>
  <c r="H37" i="23"/>
  <c r="B37" i="23"/>
  <c r="I37" i="23" s="1"/>
  <c r="H36" i="23"/>
  <c r="B36" i="23"/>
  <c r="I36" i="23" s="1"/>
  <c r="H46" i="22"/>
  <c r="B46" i="22"/>
  <c r="I46" i="22" s="1"/>
  <c r="H45" i="22"/>
  <c r="B45" i="22"/>
  <c r="I45" i="22" s="1"/>
  <c r="H44" i="22"/>
  <c r="B44" i="22"/>
  <c r="I44" i="22" s="1"/>
  <c r="H43" i="22"/>
  <c r="B43" i="22"/>
  <c r="I43" i="22" s="1"/>
  <c r="H42" i="22"/>
  <c r="B42" i="22"/>
  <c r="I42" i="22" s="1"/>
  <c r="H41" i="22"/>
  <c r="B41" i="22"/>
  <c r="I41" i="22" s="1"/>
  <c r="H40" i="22"/>
  <c r="B40" i="22"/>
  <c r="I40" i="22" s="1"/>
  <c r="H39" i="22"/>
  <c r="B39" i="22"/>
  <c r="I39" i="22" s="1"/>
  <c r="H38" i="22"/>
  <c r="B38" i="22"/>
  <c r="I38" i="22" s="1"/>
  <c r="H37" i="22"/>
  <c r="B37" i="22"/>
  <c r="I37" i="22" s="1"/>
  <c r="H36" i="22"/>
  <c r="B36" i="22"/>
  <c r="I36" i="22" s="1"/>
  <c r="I43" i="21"/>
  <c r="B45" i="21"/>
  <c r="I45" i="21" s="1"/>
  <c r="B44" i="21"/>
  <c r="I44" i="21" s="1"/>
  <c r="B43" i="21"/>
  <c r="B42" i="21"/>
  <c r="I42" i="21" s="1"/>
  <c r="B41" i="21"/>
  <c r="I41" i="21" s="1"/>
  <c r="B40" i="21"/>
  <c r="I40" i="21" s="1"/>
  <c r="B39" i="21"/>
  <c r="I39" i="21" s="1"/>
  <c r="B38" i="21"/>
  <c r="I38" i="21" s="1"/>
  <c r="B37" i="21"/>
  <c r="I37" i="21" s="1"/>
  <c r="B36" i="21"/>
  <c r="I36" i="21" s="1"/>
  <c r="B35" i="21"/>
  <c r="I35" i="21" s="1"/>
  <c r="H45" i="21"/>
  <c r="H44" i="21"/>
  <c r="H43" i="21"/>
  <c r="H42" i="21"/>
  <c r="H41" i="21"/>
  <c r="H40" i="21"/>
  <c r="H39" i="21"/>
  <c r="H38" i="21"/>
  <c r="H37" i="21"/>
  <c r="H36" i="21"/>
  <c r="H35" i="21"/>
  <c r="O19" i="20" l="1"/>
  <c r="F55" i="25" l="1"/>
  <c r="B28" i="14" l="1"/>
  <c r="O7" i="20"/>
  <c r="O10" i="20"/>
  <c r="O13" i="20"/>
  <c r="O16" i="20"/>
  <c r="L64" i="20"/>
  <c r="M5" i="25" l="1"/>
  <c r="V21" i="25"/>
  <c r="V20" i="25"/>
  <c r="V19" i="25"/>
  <c r="J8" i="25" l="1"/>
  <c r="AD31" i="20" l="1"/>
  <c r="W31" i="20"/>
  <c r="AD28" i="20"/>
  <c r="W28" i="20"/>
  <c r="M64" i="20"/>
  <c r="N64" i="20"/>
  <c r="AD37" i="20"/>
  <c r="W37" i="20"/>
  <c r="AD34" i="20"/>
  <c r="W34" i="20"/>
  <c r="AD25" i="20"/>
  <c r="W25" i="20"/>
  <c r="AD22" i="20"/>
  <c r="W22" i="20"/>
  <c r="AD19" i="20"/>
  <c r="W19" i="20"/>
  <c r="AD16" i="20"/>
  <c r="W16" i="20"/>
  <c r="AD13" i="20"/>
  <c r="W13" i="20"/>
  <c r="F2" i="16" l="1"/>
  <c r="B7" i="29"/>
  <c r="B7" i="28"/>
  <c r="E8" i="25"/>
  <c r="G2" i="14"/>
  <c r="G17" i="22"/>
  <c r="G18" i="22"/>
  <c r="G7" i="22"/>
  <c r="AG10" i="16" l="1"/>
  <c r="AC22" i="16"/>
  <c r="AC23" i="16"/>
  <c r="AC24" i="16"/>
  <c r="H2" i="16"/>
  <c r="AG24" i="16"/>
  <c r="D7" i="23"/>
  <c r="B5" i="23" s="1"/>
  <c r="M2" i="14"/>
  <c r="D7" i="22"/>
  <c r="D23" i="23"/>
  <c r="I4" i="23"/>
  <c r="H4" i="23"/>
  <c r="D4" i="23"/>
  <c r="D23" i="22"/>
  <c r="I4" i="22"/>
  <c r="H4" i="22"/>
  <c r="D4" i="22"/>
  <c r="D23" i="21"/>
  <c r="H19" i="21"/>
  <c r="F19" i="21"/>
  <c r="H14" i="21"/>
  <c r="F14" i="21"/>
  <c r="I4" i="21"/>
  <c r="H4" i="21"/>
  <c r="D4" i="21"/>
  <c r="I25" i="12"/>
  <c r="H25" i="12"/>
  <c r="G25" i="12"/>
  <c r="F25" i="12"/>
  <c r="D14" i="23" l="1"/>
  <c r="D18" i="23"/>
  <c r="D19" i="23"/>
  <c r="B5" i="22"/>
  <c r="D14" i="22"/>
  <c r="D18" i="22"/>
  <c r="D19" i="22"/>
  <c r="G14" i="22"/>
  <c r="G19" i="22"/>
  <c r="I4" i="14"/>
  <c r="F13" i="12" s="1"/>
  <c r="H13" i="12" l="1"/>
  <c r="G13" i="12"/>
  <c r="I13" i="12"/>
  <c r="H8" i="21"/>
  <c r="F8" i="21"/>
  <c r="G17" i="12"/>
  <c r="H17" i="12"/>
  <c r="I17" i="12"/>
  <c r="F17" i="12"/>
  <c r="E16" i="12"/>
  <c r="F16" i="12"/>
  <c r="G16" i="12"/>
  <c r="H16" i="12"/>
  <c r="I16" i="12"/>
  <c r="D16" i="12"/>
  <c r="I32" i="12"/>
  <c r="G32" i="12"/>
  <c r="I29" i="12"/>
  <c r="H29" i="12"/>
  <c r="G29" i="12"/>
  <c r="F29" i="12"/>
  <c r="I28" i="12"/>
  <c r="H28" i="12"/>
  <c r="H41" i="12" s="1"/>
  <c r="G28" i="12"/>
  <c r="F28" i="12"/>
  <c r="E30" i="12"/>
  <c r="E44" i="12" s="1"/>
  <c r="F24" i="14" s="1"/>
  <c r="C22" i="32" s="1"/>
  <c r="E29" i="12"/>
  <c r="E28" i="12"/>
  <c r="E25" i="12" a="1"/>
  <c r="E25" i="12" s="1"/>
  <c r="F24" i="12"/>
  <c r="G24" i="12"/>
  <c r="H24" i="12"/>
  <c r="I24" i="12"/>
  <c r="E23" i="12"/>
  <c r="F23" i="12"/>
  <c r="G23" i="12"/>
  <c r="H23" i="12"/>
  <c r="I23" i="12"/>
  <c r="E20" i="12"/>
  <c r="F20" i="12"/>
  <c r="G20" i="12"/>
  <c r="H20" i="12"/>
  <c r="I20" i="12"/>
  <c r="E18" i="12"/>
  <c r="F18" i="12"/>
  <c r="G18" i="12"/>
  <c r="H18" i="12"/>
  <c r="I18" i="12"/>
  <c r="E15" i="12"/>
  <c r="F15" i="12"/>
  <c r="G15" i="12"/>
  <c r="H15" i="12"/>
  <c r="I15" i="12"/>
  <c r="F14" i="12"/>
  <c r="G14" i="12"/>
  <c r="H14" i="12"/>
  <c r="I14" i="12"/>
  <c r="D23" i="12"/>
  <c r="D20" i="12"/>
  <c r="D21" i="12" s="1"/>
  <c r="D18" i="12"/>
  <c r="D15" i="12"/>
  <c r="E14" i="12"/>
  <c r="D14" i="12"/>
  <c r="E12" i="12"/>
  <c r="I10" i="12"/>
  <c r="H10" i="12"/>
  <c r="G10" i="12"/>
  <c r="F10" i="12"/>
  <c r="E10" i="12"/>
  <c r="D25" i="12" a="1"/>
  <c r="D25" i="12" s="1"/>
  <c r="D10" i="12"/>
  <c r="B27" i="14"/>
  <c r="E26" i="12" l="1"/>
  <c r="E31" i="12" s="1"/>
  <c r="E56" i="12" s="1"/>
  <c r="G38" i="12"/>
  <c r="E50" i="12"/>
  <c r="G22" i="12"/>
  <c r="E22" i="12"/>
  <c r="G8" i="22"/>
  <c r="I50" i="12"/>
  <c r="E53" i="12"/>
  <c r="C10" i="12"/>
  <c r="G21" i="12"/>
  <c r="G53" i="12"/>
  <c r="F41" i="12"/>
  <c r="G41" i="12"/>
  <c r="G50" i="12"/>
  <c r="G39" i="12"/>
  <c r="I41" i="12"/>
  <c r="L22" i="14" s="1"/>
  <c r="E21" i="12"/>
  <c r="E41" i="12"/>
  <c r="F21" i="12"/>
  <c r="I39" i="12"/>
  <c r="E39" i="12"/>
  <c r="G40" i="12"/>
  <c r="E40" i="12"/>
  <c r="I40" i="12"/>
  <c r="I38" i="12"/>
  <c r="H21" i="12"/>
  <c r="I21" i="12"/>
  <c r="E49" i="12" l="1"/>
  <c r="E42" i="12"/>
  <c r="E43" i="12"/>
  <c r="E52" i="12"/>
  <c r="I22" i="14"/>
  <c r="E55" i="12"/>
  <c r="E54" i="12"/>
  <c r="E46" i="12"/>
  <c r="C43" i="14"/>
  <c r="AD22" i="16" l="1"/>
  <c r="AD23" i="16"/>
  <c r="AG22" i="16"/>
  <c r="AD24" i="16"/>
  <c r="Z24" i="16"/>
  <c r="AF23" i="16"/>
  <c r="AA22" i="16"/>
  <c r="AB24" i="16"/>
  <c r="AG23" i="16"/>
  <c r="AE22" i="16"/>
  <c r="AE24" i="16"/>
  <c r="AF22" i="16"/>
  <c r="O29" i="16" s="1" a="1"/>
  <c r="O29" i="16" s="1"/>
  <c r="AF24" i="16"/>
  <c r="AA23" i="16"/>
  <c r="Z22" i="16"/>
  <c r="AB23" i="16"/>
  <c r="Z23" i="16"/>
  <c r="AE23" i="16"/>
  <c r="AA24" i="16"/>
  <c r="AB22" i="16"/>
  <c r="H18" i="28"/>
  <c r="G18" i="28" s="1"/>
  <c r="AD4" i="20"/>
  <c r="AD7" i="20"/>
  <c r="AD10" i="20"/>
  <c r="AD40" i="20"/>
  <c r="AD43" i="20"/>
  <c r="AD46" i="20"/>
  <c r="AD49" i="20"/>
  <c r="AD52" i="20"/>
  <c r="AD55" i="20"/>
  <c r="AD58" i="20"/>
  <c r="AD61" i="20"/>
  <c r="O64" i="20"/>
  <c r="AC40" i="20" s="1"/>
  <c r="C19" i="14"/>
  <c r="J2" i="16" s="1"/>
  <c r="L4" i="14"/>
  <c r="O28" i="16" l="1" a="1"/>
  <c r="O28" i="16" s="1"/>
  <c r="Q29" i="16" s="1"/>
  <c r="R29" i="16" s="1"/>
  <c r="S29" i="16" s="1"/>
  <c r="F18" i="28"/>
  <c r="AC55" i="20"/>
  <c r="AC28" i="20"/>
  <c r="AB28" i="20" s="1"/>
  <c r="AC31" i="20"/>
  <c r="AB31" i="20" s="1"/>
  <c r="V28" i="20"/>
  <c r="V31" i="20"/>
  <c r="AC10" i="20"/>
  <c r="AB10" i="20" s="1"/>
  <c r="AC58" i="20"/>
  <c r="AB58" i="20" s="1"/>
  <c r="AC34" i="20"/>
  <c r="AB34" i="20" s="1"/>
  <c r="AC16" i="20"/>
  <c r="AB16" i="20" s="1"/>
  <c r="AC37" i="20"/>
  <c r="AB37" i="20" s="1"/>
  <c r="AC19" i="20"/>
  <c r="AB19" i="20" s="1"/>
  <c r="V34" i="20"/>
  <c r="V25" i="20"/>
  <c r="V13" i="20"/>
  <c r="V16" i="20"/>
  <c r="AC22" i="20"/>
  <c r="AB22" i="20" s="1"/>
  <c r="V19" i="20"/>
  <c r="V37" i="20"/>
  <c r="AC25" i="20"/>
  <c r="AB25" i="20" s="1"/>
  <c r="AC13" i="20"/>
  <c r="AB13" i="20" s="1"/>
  <c r="V22" i="20"/>
  <c r="AB55" i="20"/>
  <c r="AB40" i="20"/>
  <c r="E45" i="12"/>
  <c r="AC4" i="20"/>
  <c r="AB4" i="20" s="1"/>
  <c r="AC46" i="20"/>
  <c r="AB46" i="20" s="1"/>
  <c r="AC52" i="20"/>
  <c r="AB52" i="20" s="1"/>
  <c r="AC7" i="20"/>
  <c r="AB7" i="20" s="1"/>
  <c r="AC61" i="20"/>
  <c r="AB61" i="20" s="1"/>
  <c r="AC49" i="20"/>
  <c r="AB49" i="20" s="1"/>
  <c r="AC43" i="20"/>
  <c r="AB43" i="20" s="1"/>
  <c r="R65" i="20"/>
  <c r="U64" i="20"/>
  <c r="C23" i="14" l="1"/>
  <c r="M5" i="14" s="1"/>
  <c r="S64" i="20"/>
  <c r="AD3" i="20"/>
  <c r="W40" i="20"/>
  <c r="W10" i="20"/>
  <c r="W46" i="20"/>
  <c r="W43" i="20"/>
  <c r="W52" i="20"/>
  <c r="W49" i="20"/>
  <c r="W61" i="20"/>
  <c r="W55" i="20"/>
  <c r="W7" i="20"/>
  <c r="W4" i="20"/>
  <c r="W58" i="20"/>
  <c r="V40" i="20" l="1"/>
  <c r="W64" i="20"/>
  <c r="V4" i="20"/>
  <c r="V10" i="20"/>
  <c r="V46" i="20"/>
  <c r="V43" i="20"/>
  <c r="V52" i="20"/>
  <c r="V49" i="20"/>
  <c r="V58" i="20"/>
  <c r="V7" i="20"/>
  <c r="V55" i="20"/>
  <c r="V61" i="20"/>
  <c r="U65" i="20" l="1"/>
  <c r="C4" i="14" l="1"/>
  <c r="P20" i="3" a="1"/>
  <c r="P20" i="3" s="1"/>
  <c r="F36" i="12" l="1"/>
  <c r="H36" i="12"/>
  <c r="D36" i="12"/>
  <c r="D17" i="14" l="1"/>
  <c r="F19" i="12" l="1"/>
  <c r="I19" i="12"/>
  <c r="I33" i="12" s="1"/>
  <c r="H19" i="12"/>
  <c r="G19" i="12"/>
  <c r="G33" i="12" s="1"/>
  <c r="E19" i="12"/>
  <c r="E33" i="12" s="1"/>
  <c r="D19" i="12" l="1"/>
  <c r="D12" i="12" l="1"/>
  <c r="C42" i="14" l="1"/>
  <c r="T9" i="16" l="1"/>
  <c r="U8" i="16"/>
  <c r="O9" i="16"/>
  <c r="Z9" i="16" s="1"/>
  <c r="U9" i="16"/>
  <c r="S10" i="16"/>
  <c r="Q8" i="16"/>
  <c r="AB8" i="16" s="1"/>
  <c r="V9" i="16"/>
  <c r="R9" i="16"/>
  <c r="AC9" i="16" s="1"/>
  <c r="T10" i="16"/>
  <c r="AE10" i="16" s="1"/>
  <c r="P8" i="16"/>
  <c r="AA8" i="16" s="1"/>
  <c r="S8" i="16"/>
  <c r="AD8" i="16" s="1"/>
  <c r="O14" i="16" s="1" a="1"/>
  <c r="O14" i="16" s="1"/>
  <c r="V8" i="16"/>
  <c r="AG8" i="16" s="1"/>
  <c r="O10" i="16"/>
  <c r="Q10" i="16"/>
  <c r="R8" i="16"/>
  <c r="AC8" i="16" s="1"/>
  <c r="P10" i="16"/>
  <c r="O8" i="16"/>
  <c r="T8" i="16"/>
  <c r="AE8" i="16" s="1"/>
  <c r="P9" i="16"/>
  <c r="Q9" i="16"/>
  <c r="R10" i="16"/>
  <c r="AC10" i="16" s="1"/>
  <c r="U10" i="16"/>
  <c r="AF10" i="16" s="1"/>
  <c r="S9" i="16"/>
  <c r="AD9" i="16" s="1"/>
  <c r="AE9" i="16"/>
  <c r="Z8" i="16"/>
  <c r="Z10" i="16"/>
  <c r="AA9" i="16"/>
  <c r="AB9" i="16"/>
  <c r="AG9" i="16"/>
  <c r="AA10" i="16"/>
  <c r="AF8" i="16"/>
  <c r="O15" i="16" s="1" a="1"/>
  <c r="O15" i="16" s="1"/>
  <c r="AD10" i="16"/>
  <c r="AF9" i="16"/>
  <c r="AB10" i="16"/>
  <c r="I49" i="25"/>
  <c r="I52" i="25"/>
  <c r="I53" i="25"/>
  <c r="I48" i="25"/>
  <c r="I51" i="25"/>
  <c r="I54" i="25"/>
  <c r="I50" i="25"/>
  <c r="L23" i="3"/>
  <c r="D28" i="12"/>
  <c r="D30" i="12"/>
  <c r="D29" i="12"/>
  <c r="Q15" i="16" l="1"/>
  <c r="R15" i="16" s="1"/>
  <c r="S15" i="16" s="1"/>
  <c r="C22" i="14" s="1" a="1"/>
  <c r="C22" i="14" s="1"/>
  <c r="J5" i="14" s="1"/>
  <c r="D41" i="12"/>
  <c r="F22" i="14" l="1"/>
  <c r="E27" i="12" l="1"/>
  <c r="D46" i="25" l="1"/>
  <c r="U46" i="25" s="1"/>
  <c r="D33" i="25"/>
  <c r="D37" i="25"/>
  <c r="D29" i="25"/>
  <c r="D20" i="25"/>
  <c r="D28" i="25"/>
  <c r="D44" i="25"/>
  <c r="U44" i="25" s="1"/>
  <c r="D30" i="25"/>
  <c r="D24" i="25"/>
  <c r="D22" i="25"/>
  <c r="D43" i="25"/>
  <c r="U43" i="25" s="1"/>
  <c r="D47" i="25"/>
  <c r="D25" i="25"/>
  <c r="D45" i="25"/>
  <c r="U45" i="25" s="1"/>
  <c r="D23" i="25"/>
  <c r="D27" i="25"/>
  <c r="D19" i="25"/>
  <c r="D35" i="25"/>
  <c r="U35" i="25" s="1"/>
  <c r="D26" i="25"/>
  <c r="D32" i="25"/>
  <c r="D40" i="25"/>
  <c r="D34" i="25"/>
  <c r="U34" i="25" s="1"/>
  <c r="D31" i="25"/>
  <c r="I20" i="25"/>
  <c r="P41" i="25"/>
  <c r="Q41" i="25" s="1"/>
  <c r="I31" i="25"/>
  <c r="P42" i="25"/>
  <c r="Q42" i="25" s="1"/>
  <c r="I28" i="25"/>
  <c r="P31" i="25"/>
  <c r="Q31" i="25" s="1"/>
  <c r="P43" i="25"/>
  <c r="Q43" i="25" s="1"/>
  <c r="I22" i="25"/>
  <c r="I33" i="25"/>
  <c r="I39" i="25"/>
  <c r="I38" i="25"/>
  <c r="I23" i="25"/>
  <c r="D21" i="25"/>
  <c r="I42" i="25"/>
  <c r="P21" i="25"/>
  <c r="Q21" i="25" s="1"/>
  <c r="I32" i="25"/>
  <c r="D39" i="25"/>
  <c r="U39" i="25" s="1"/>
  <c r="I47" i="25"/>
  <c r="P46" i="25"/>
  <c r="Q46" i="25" s="1"/>
  <c r="I40" i="25"/>
  <c r="I37" i="25"/>
  <c r="D41" i="25"/>
  <c r="U41" i="25" s="1"/>
  <c r="P28" i="25"/>
  <c r="Q28" i="25" s="1"/>
  <c r="P29" i="25"/>
  <c r="Q29" i="25" s="1"/>
  <c r="I44" i="25"/>
  <c r="P44" i="25"/>
  <c r="Q44" i="25" s="1"/>
  <c r="P20" i="25"/>
  <c r="Q20" i="25" s="1"/>
  <c r="P23" i="25"/>
  <c r="Q23" i="25" s="1"/>
  <c r="I27" i="25"/>
  <c r="D36" i="25"/>
  <c r="U36" i="25" s="1"/>
  <c r="P40" i="25"/>
  <c r="Q40" i="25" s="1"/>
  <c r="I41" i="25"/>
  <c r="P22" i="25"/>
  <c r="Q22" i="25" s="1"/>
  <c r="P24" i="25"/>
  <c r="Q24" i="25" s="1"/>
  <c r="P47" i="25"/>
  <c r="Q47" i="25" s="1"/>
  <c r="I30" i="25"/>
  <c r="I34" i="25"/>
  <c r="D38" i="25"/>
  <c r="P30" i="25"/>
  <c r="Q30" i="25" s="1"/>
  <c r="I24" i="25"/>
  <c r="P34" i="25"/>
  <c r="Q34" i="25" s="1"/>
  <c r="P35" i="25"/>
  <c r="Q35" i="25" s="1"/>
  <c r="P19" i="25"/>
  <c r="Q19" i="25" s="1"/>
  <c r="P25" i="25"/>
  <c r="Q25" i="25" s="1"/>
  <c r="P37" i="25"/>
  <c r="Q37" i="25" s="1"/>
  <c r="I19" i="25"/>
  <c r="I21" i="25"/>
  <c r="J12" i="25"/>
  <c r="P45" i="25"/>
  <c r="Q45" i="25" s="1"/>
  <c r="P36" i="25"/>
  <c r="Q36" i="25" s="1"/>
  <c r="I46" i="25"/>
  <c r="P26" i="25"/>
  <c r="Q26" i="25" s="1"/>
  <c r="P38" i="25"/>
  <c r="Q38" i="25" s="1"/>
  <c r="I29" i="25"/>
  <c r="I26" i="25"/>
  <c r="P32" i="25"/>
  <c r="Q32" i="25" s="1"/>
  <c r="P33" i="25"/>
  <c r="Q33" i="25" s="1"/>
  <c r="I45" i="25"/>
  <c r="I35" i="25"/>
  <c r="I43" i="25"/>
  <c r="P27" i="25"/>
  <c r="Q27" i="25" s="1"/>
  <c r="P39" i="25"/>
  <c r="Q39" i="25" s="1"/>
  <c r="I36" i="25"/>
  <c r="I25" i="25"/>
  <c r="D42" i="25"/>
  <c r="U42" i="25" l="1"/>
  <c r="U40" i="25"/>
  <c r="U32" i="25"/>
  <c r="U37" i="25"/>
  <c r="U31" i="25"/>
  <c r="U47" i="25"/>
  <c r="U33" i="25"/>
  <c r="U38" i="25"/>
  <c r="J50" i="25" l="1"/>
  <c r="K50" i="25" s="1"/>
  <c r="J51" i="25"/>
  <c r="K51" i="25" s="1"/>
  <c r="J52" i="25"/>
  <c r="K52" i="25" s="1"/>
  <c r="J54" i="25"/>
  <c r="K54" i="25" s="1"/>
  <c r="J48" i="25"/>
  <c r="K48" i="25" s="1"/>
  <c r="J53" i="25"/>
  <c r="K53" i="25" s="1"/>
  <c r="J49" i="25"/>
  <c r="K49" i="25" s="1"/>
  <c r="J43" i="25"/>
  <c r="K43" i="25" s="1"/>
  <c r="J47" i="25"/>
  <c r="K47" i="25" s="1"/>
  <c r="J44" i="25"/>
  <c r="K44" i="25" s="1"/>
  <c r="J46" i="25"/>
  <c r="K46" i="25" s="1"/>
  <c r="J45" i="25"/>
  <c r="K45" i="25" s="1"/>
  <c r="G48" i="25" l="1"/>
  <c r="G53" i="25"/>
  <c r="G51" i="25"/>
  <c r="G50" i="25"/>
  <c r="G52" i="25"/>
  <c r="G54" i="25"/>
  <c r="G49" i="25"/>
  <c r="G43" i="25"/>
  <c r="G44" i="25"/>
  <c r="G46" i="25"/>
  <c r="G47" i="25"/>
  <c r="G45" i="25"/>
  <c r="U30" i="25"/>
  <c r="U28" i="25"/>
  <c r="U29" i="25"/>
  <c r="H47" i="25" l="1"/>
  <c r="H46" i="25"/>
  <c r="H44" i="25"/>
  <c r="H51" i="25"/>
  <c r="H52" i="25"/>
  <c r="H54" i="25"/>
  <c r="H48" i="25"/>
  <c r="H50" i="25"/>
  <c r="H53" i="25"/>
  <c r="H49" i="25"/>
  <c r="H45" i="25"/>
  <c r="E50" i="25" l="1"/>
  <c r="R50" i="25" s="1"/>
  <c r="E53" i="25"/>
  <c r="R53" i="25" s="1"/>
  <c r="E51" i="25"/>
  <c r="R51" i="25" s="1"/>
  <c r="E48" i="25"/>
  <c r="R48" i="25" s="1"/>
  <c r="E54" i="25"/>
  <c r="R54" i="25" s="1"/>
  <c r="E52" i="25"/>
  <c r="R52" i="25" s="1"/>
  <c r="E49" i="25"/>
  <c r="R49" i="25" s="1"/>
  <c r="E44" i="25"/>
  <c r="R44" i="25" s="1"/>
  <c r="E45" i="25"/>
  <c r="R45" i="25" s="1"/>
  <c r="E46" i="25"/>
  <c r="R46" i="25" s="1"/>
  <c r="E47" i="25"/>
  <c r="R47" i="25" s="1"/>
  <c r="E43" i="25"/>
  <c r="R43" i="25" s="1"/>
  <c r="S47" i="25" l="1"/>
  <c r="T47" i="25"/>
  <c r="S52" i="25"/>
  <c r="T52" i="25"/>
  <c r="S48" i="25"/>
  <c r="T48" i="25"/>
  <c r="S54" i="25"/>
  <c r="T54" i="25"/>
  <c r="S51" i="25"/>
  <c r="T51" i="25"/>
  <c r="S46" i="25"/>
  <c r="T46" i="25"/>
  <c r="S44" i="25"/>
  <c r="T44" i="25"/>
  <c r="S53" i="25"/>
  <c r="T53" i="25"/>
  <c r="S50" i="25"/>
  <c r="T50" i="25"/>
  <c r="S45" i="25"/>
  <c r="T45" i="25"/>
  <c r="S49" i="25"/>
  <c r="T49" i="25"/>
  <c r="S43" i="25"/>
  <c r="T43" i="25"/>
  <c r="AE49" i="25" l="1"/>
  <c r="AE53" i="25"/>
  <c r="AE48" i="25"/>
  <c r="AE50" i="25"/>
  <c r="AE45" i="25"/>
  <c r="AE51" i="25"/>
  <c r="AE46" i="25"/>
  <c r="AE47" i="25"/>
  <c r="AE54" i="25"/>
  <c r="AE44" i="25"/>
  <c r="AE43" i="25"/>
  <c r="AE52" i="25"/>
  <c r="R36" i="16" l="1"/>
  <c r="T36" i="16"/>
  <c r="S37" i="16"/>
  <c r="R37" i="16"/>
  <c r="S36" i="16"/>
  <c r="T37" i="16"/>
  <c r="D56" i="12" l="1"/>
  <c r="D9" i="12" s="1"/>
  <c r="D51" i="12" l="1"/>
  <c r="D44" i="12"/>
  <c r="F12" i="14"/>
  <c r="C18" i="32" s="1"/>
  <c r="D50" i="12"/>
  <c r="D26" i="12"/>
  <c r="F40" i="14"/>
  <c r="B27" i="29" l="1"/>
  <c r="D31" i="12"/>
  <c r="D43" i="12" s="1"/>
  <c r="F23" i="14" s="1"/>
  <c r="C21" i="32" s="1"/>
  <c r="D33" i="12"/>
  <c r="F13" i="14" s="1"/>
  <c r="C52" i="32" s="1"/>
  <c r="D22" i="12"/>
  <c r="F36" i="14" s="1"/>
  <c r="D39" i="12"/>
  <c r="F19" i="14" s="1"/>
  <c r="D53" i="12"/>
  <c r="F34" i="14" s="1"/>
  <c r="D40" i="12"/>
  <c r="F20" i="14" s="1"/>
  <c r="E76" i="32" s="1"/>
  <c r="F31" i="14"/>
  <c r="D38" i="12"/>
  <c r="F30" i="14"/>
  <c r="D27" i="12"/>
  <c r="F35" i="14" s="1"/>
  <c r="F5" i="14"/>
  <c r="C36" i="32" l="1"/>
  <c r="C76" i="32"/>
  <c r="F11" i="14"/>
  <c r="C23" i="32" s="1"/>
  <c r="E24" i="12"/>
  <c r="D17" i="21"/>
  <c r="D17" i="23" s="1"/>
  <c r="D20" i="21"/>
  <c r="C35" i="32"/>
  <c r="B32" i="29"/>
  <c r="D15" i="21"/>
  <c r="D24" i="12"/>
  <c r="B15" i="29"/>
  <c r="B22" i="29"/>
  <c r="D55" i="12"/>
  <c r="F39" i="14" s="1"/>
  <c r="D52" i="12"/>
  <c r="F33" i="14" s="1"/>
  <c r="D54" i="12"/>
  <c r="F38" i="14" s="1"/>
  <c r="D42" i="12"/>
  <c r="D45" i="12" s="1"/>
  <c r="F25" i="14" s="1"/>
  <c r="D46" i="12"/>
  <c r="B17" i="29"/>
  <c r="D11" i="21"/>
  <c r="D35" i="12"/>
  <c r="D34" i="12" s="1"/>
  <c r="D49" i="12"/>
  <c r="F29" i="14" s="1"/>
  <c r="C25" i="32" s="1"/>
  <c r="E38" i="12"/>
  <c r="F18" i="14" s="1"/>
  <c r="H59" i="29"/>
  <c r="M59" i="29" s="1"/>
  <c r="A59" i="29" s="1"/>
  <c r="D21" i="21"/>
  <c r="B23" i="29"/>
  <c r="AI19" i="31" l="1"/>
  <c r="AI31" i="31"/>
  <c r="AI43" i="31"/>
  <c r="AI55" i="31"/>
  <c r="AI67" i="31"/>
  <c r="AI79" i="31"/>
  <c r="AI91" i="31"/>
  <c r="AI103" i="31"/>
  <c r="AI115" i="31"/>
  <c r="AI127" i="31"/>
  <c r="AI139" i="31"/>
  <c r="AI151" i="31"/>
  <c r="AI163" i="31"/>
  <c r="AI175" i="31"/>
  <c r="AI187" i="31"/>
  <c r="AI199" i="31"/>
  <c r="AI211" i="31"/>
  <c r="AI223" i="31"/>
  <c r="AI235" i="31"/>
  <c r="AI247" i="31"/>
  <c r="AI259" i="31"/>
  <c r="AI271" i="31"/>
  <c r="AI283" i="31"/>
  <c r="AI295" i="31"/>
  <c r="AI307" i="31"/>
  <c r="AI319" i="31"/>
  <c r="AI331" i="31"/>
  <c r="AI343" i="31"/>
  <c r="AI355" i="31"/>
  <c r="AI367" i="31"/>
  <c r="AI379" i="31"/>
  <c r="AI391" i="31"/>
  <c r="AI403" i="31"/>
  <c r="AI415" i="31"/>
  <c r="AI427" i="31"/>
  <c r="AI439" i="31"/>
  <c r="AI451" i="31"/>
  <c r="AI463" i="31"/>
  <c r="AI475" i="31"/>
  <c r="AI487" i="31"/>
  <c r="AI499" i="31"/>
  <c r="AI511" i="31"/>
  <c r="AI523" i="31"/>
  <c r="AI535" i="31"/>
  <c r="AI547" i="31"/>
  <c r="AI559" i="31"/>
  <c r="AI571" i="31"/>
  <c r="AI583" i="31"/>
  <c r="AI595" i="31"/>
  <c r="AI607" i="31"/>
  <c r="AI619" i="31"/>
  <c r="AI631" i="31"/>
  <c r="AI643" i="31"/>
  <c r="AI655" i="31"/>
  <c r="AI667" i="31"/>
  <c r="AI20" i="31"/>
  <c r="AI32" i="31"/>
  <c r="AI44" i="31"/>
  <c r="AI56" i="31"/>
  <c r="AI68" i="31"/>
  <c r="AI80" i="31"/>
  <c r="AI92" i="31"/>
  <c r="AI104" i="31"/>
  <c r="AI116" i="31"/>
  <c r="AI128" i="31"/>
  <c r="AI140" i="31"/>
  <c r="AI152" i="31"/>
  <c r="AI164" i="31"/>
  <c r="AI176" i="31"/>
  <c r="AI188" i="31"/>
  <c r="AI200" i="31"/>
  <c r="AI212" i="31"/>
  <c r="AI224" i="31"/>
  <c r="AI236" i="31"/>
  <c r="AI248" i="31"/>
  <c r="AI260" i="31"/>
  <c r="AI272" i="31"/>
  <c r="AI284" i="31"/>
  <c r="AI296" i="31"/>
  <c r="AI308" i="31"/>
  <c r="AI320" i="31"/>
  <c r="AI332" i="31"/>
  <c r="AI344" i="31"/>
  <c r="AI356" i="31"/>
  <c r="AI368" i="31"/>
  <c r="AI380" i="31"/>
  <c r="AI392" i="31"/>
  <c r="AI404" i="31"/>
  <c r="AI416" i="31"/>
  <c r="AI428" i="31"/>
  <c r="AI440" i="31"/>
  <c r="AI452" i="31"/>
  <c r="AI464" i="31"/>
  <c r="AI476" i="31"/>
  <c r="AI488" i="31"/>
  <c r="AI500" i="31"/>
  <c r="AI512" i="31"/>
  <c r="AI524" i="31"/>
  <c r="AI536" i="31"/>
  <c r="AI548" i="31"/>
  <c r="AI560" i="31"/>
  <c r="AI572" i="31"/>
  <c r="AI584" i="31"/>
  <c r="AI596" i="31"/>
  <c r="AI608" i="31"/>
  <c r="AI620" i="31"/>
  <c r="AI632" i="31"/>
  <c r="AI644" i="31"/>
  <c r="AI656" i="31"/>
  <c r="AI668" i="31"/>
  <c r="AI634" i="31"/>
  <c r="AI21" i="31"/>
  <c r="AI33" i="31"/>
  <c r="AI45" i="31"/>
  <c r="AI57" i="31"/>
  <c r="AI69" i="31"/>
  <c r="AI81" i="31"/>
  <c r="AI93" i="31"/>
  <c r="AI105" i="31"/>
  <c r="AI117" i="31"/>
  <c r="AI129" i="31"/>
  <c r="AI141" i="31"/>
  <c r="AI153" i="31"/>
  <c r="AI165" i="31"/>
  <c r="AI177" i="31"/>
  <c r="AI189" i="31"/>
  <c r="AI201" i="31"/>
  <c r="AI213" i="31"/>
  <c r="AI225" i="31"/>
  <c r="AI237" i="31"/>
  <c r="AI249" i="31"/>
  <c r="AI261" i="31"/>
  <c r="AI273" i="31"/>
  <c r="AI285" i="31"/>
  <c r="AI297" i="31"/>
  <c r="AI309" i="31"/>
  <c r="AI321" i="31"/>
  <c r="AI333" i="31"/>
  <c r="AI345" i="31"/>
  <c r="AI357" i="31"/>
  <c r="AI369" i="31"/>
  <c r="AI381" i="31"/>
  <c r="AI393" i="31"/>
  <c r="AI405" i="31"/>
  <c r="AI417" i="31"/>
  <c r="AI429" i="31"/>
  <c r="AI441" i="31"/>
  <c r="AI453" i="31"/>
  <c r="AI465" i="31"/>
  <c r="AI477" i="31"/>
  <c r="AI489" i="31"/>
  <c r="AI501" i="31"/>
  <c r="AI513" i="31"/>
  <c r="AI525" i="31"/>
  <c r="AI537" i="31"/>
  <c r="AI549" i="31"/>
  <c r="AI561" i="31"/>
  <c r="AI573" i="31"/>
  <c r="AI585" i="31"/>
  <c r="AI597" i="31"/>
  <c r="AI609" i="31"/>
  <c r="AI621" i="31"/>
  <c r="AI633" i="31"/>
  <c r="AI645" i="31"/>
  <c r="AI657" i="31"/>
  <c r="AI9" i="31"/>
  <c r="AI10" i="31"/>
  <c r="AI22" i="31"/>
  <c r="AI34" i="31"/>
  <c r="AI46" i="31"/>
  <c r="AI58" i="31"/>
  <c r="AI70" i="31"/>
  <c r="AI82" i="31"/>
  <c r="AI94" i="31"/>
  <c r="AI106" i="31"/>
  <c r="AI118" i="31"/>
  <c r="AI130" i="31"/>
  <c r="AI142" i="31"/>
  <c r="AI154" i="31"/>
  <c r="AI166" i="31"/>
  <c r="AI178" i="31"/>
  <c r="AI190" i="31"/>
  <c r="AI202" i="31"/>
  <c r="AI214" i="31"/>
  <c r="AI226" i="31"/>
  <c r="AI238" i="31"/>
  <c r="AI250" i="31"/>
  <c r="AI262" i="31"/>
  <c r="AI274" i="31"/>
  <c r="AI286" i="31"/>
  <c r="AI298" i="31"/>
  <c r="AI310" i="31"/>
  <c r="AI322" i="31"/>
  <c r="AI334" i="31"/>
  <c r="AI346" i="31"/>
  <c r="AI358" i="31"/>
  <c r="AI370" i="31"/>
  <c r="AI382" i="31"/>
  <c r="AI394" i="31"/>
  <c r="AI406" i="31"/>
  <c r="AI418" i="31"/>
  <c r="AI430" i="31"/>
  <c r="AI442" i="31"/>
  <c r="AI454" i="31"/>
  <c r="AI466" i="31"/>
  <c r="AI478" i="31"/>
  <c r="AI490" i="31"/>
  <c r="AI502" i="31"/>
  <c r="AI514" i="31"/>
  <c r="AI526" i="31"/>
  <c r="AI538" i="31"/>
  <c r="AI550" i="31"/>
  <c r="AI562" i="31"/>
  <c r="AI574" i="31"/>
  <c r="AI586" i="31"/>
  <c r="AI598" i="31"/>
  <c r="AI610" i="31"/>
  <c r="AI622" i="31"/>
  <c r="AI11" i="31"/>
  <c r="AI23" i="31"/>
  <c r="AI35" i="31"/>
  <c r="AI47" i="31"/>
  <c r="AI59" i="31"/>
  <c r="AI71" i="31"/>
  <c r="AI83" i="31"/>
  <c r="AI95" i="31"/>
  <c r="AI107" i="31"/>
  <c r="AI119" i="31"/>
  <c r="AI131" i="31"/>
  <c r="AI143" i="31"/>
  <c r="AI155" i="31"/>
  <c r="AI167" i="31"/>
  <c r="AI179" i="31"/>
  <c r="AI191" i="31"/>
  <c r="AI203" i="31"/>
  <c r="AI215" i="31"/>
  <c r="AI227" i="31"/>
  <c r="AI239" i="31"/>
  <c r="AI251" i="31"/>
  <c r="AI263" i="31"/>
  <c r="AI275" i="31"/>
  <c r="AI287" i="31"/>
  <c r="AI299" i="31"/>
  <c r="AI311" i="31"/>
  <c r="AI323" i="31"/>
  <c r="AI335" i="31"/>
  <c r="AI347" i="31"/>
  <c r="AI359" i="31"/>
  <c r="AI371" i="31"/>
  <c r="AI383" i="31"/>
  <c r="AI395" i="31"/>
  <c r="AI407" i="31"/>
  <c r="AI419" i="31"/>
  <c r="AI431" i="31"/>
  <c r="AI443" i="31"/>
  <c r="AI455" i="31"/>
  <c r="AI467" i="31"/>
  <c r="AI479" i="31"/>
  <c r="AI491" i="31"/>
  <c r="AI503" i="31"/>
  <c r="AI515" i="31"/>
  <c r="AI527" i="31"/>
  <c r="AI539" i="31"/>
  <c r="AI551" i="31"/>
  <c r="AI563" i="31"/>
  <c r="AI575" i="31"/>
  <c r="AI587" i="31"/>
  <c r="AI599" i="31"/>
  <c r="AI611" i="31"/>
  <c r="AI623" i="31"/>
  <c r="AI635" i="31"/>
  <c r="AI647" i="31"/>
  <c r="AI659" i="31"/>
  <c r="AI12" i="31"/>
  <c r="AI24" i="31"/>
  <c r="AI36" i="31"/>
  <c r="AI48" i="31"/>
  <c r="AI60" i="31"/>
  <c r="AI72" i="31"/>
  <c r="AI84" i="31"/>
  <c r="AI96" i="31"/>
  <c r="AI108" i="31"/>
  <c r="AI120" i="31"/>
  <c r="AI132" i="31"/>
  <c r="AI144" i="31"/>
  <c r="AI156" i="31"/>
  <c r="AI168" i="31"/>
  <c r="AI180" i="31"/>
  <c r="AI192" i="31"/>
  <c r="AI204" i="31"/>
  <c r="AI216" i="31"/>
  <c r="AI228" i="31"/>
  <c r="AI240" i="31"/>
  <c r="AI252" i="31"/>
  <c r="AI264" i="31"/>
  <c r="AI276" i="31"/>
  <c r="AI288" i="31"/>
  <c r="AI300" i="31"/>
  <c r="AI312" i="31"/>
  <c r="AI324" i="31"/>
  <c r="AI336" i="31"/>
  <c r="AI348" i="31"/>
  <c r="AI360" i="31"/>
  <c r="AI372" i="31"/>
  <c r="AI384" i="31"/>
  <c r="AI396" i="31"/>
  <c r="AI408" i="31"/>
  <c r="AI420" i="31"/>
  <c r="AI432" i="31"/>
  <c r="AI444" i="31"/>
  <c r="AI456" i="31"/>
  <c r="AI468" i="31"/>
  <c r="AI480" i="31"/>
  <c r="AI492" i="31"/>
  <c r="AI504" i="31"/>
  <c r="AI516" i="31"/>
  <c r="AI528" i="31"/>
  <c r="AI540" i="31"/>
  <c r="AI552" i="31"/>
  <c r="AI564" i="31"/>
  <c r="AI576" i="31"/>
  <c r="AI588" i="31"/>
  <c r="AI600" i="31"/>
  <c r="AI612" i="31"/>
  <c r="AI624" i="31"/>
  <c r="AI636" i="31"/>
  <c r="AI648" i="31"/>
  <c r="AI660" i="31"/>
  <c r="AI13" i="31"/>
  <c r="AI25" i="31"/>
  <c r="AI37" i="31"/>
  <c r="AI49" i="31"/>
  <c r="AI61" i="31"/>
  <c r="AI73" i="31"/>
  <c r="AI85" i="31"/>
  <c r="AI97" i="31"/>
  <c r="AI109" i="31"/>
  <c r="AI121" i="31"/>
  <c r="AI133" i="31"/>
  <c r="AI145" i="31"/>
  <c r="AI157" i="31"/>
  <c r="AI169" i="31"/>
  <c r="AI181" i="31"/>
  <c r="AI193" i="31"/>
  <c r="AI205" i="31"/>
  <c r="AI217" i="31"/>
  <c r="AI229" i="31"/>
  <c r="AI241" i="31"/>
  <c r="AI253" i="31"/>
  <c r="AI265" i="31"/>
  <c r="AI277" i="31"/>
  <c r="AI289" i="31"/>
  <c r="AI301" i="31"/>
  <c r="AI313" i="31"/>
  <c r="AI325" i="31"/>
  <c r="AI337" i="31"/>
  <c r="AI349" i="31"/>
  <c r="AI361" i="31"/>
  <c r="AI373" i="31"/>
  <c r="AI385" i="31"/>
  <c r="AI397" i="31"/>
  <c r="AI409" i="31"/>
  <c r="AI421" i="31"/>
  <c r="AI433" i="31"/>
  <c r="AI445" i="31"/>
  <c r="AI457" i="31"/>
  <c r="AI469" i="31"/>
  <c r="AI481" i="31"/>
  <c r="AI493" i="31"/>
  <c r="AI505" i="31"/>
  <c r="AI517" i="31"/>
  <c r="AI529" i="31"/>
  <c r="AI541" i="31"/>
  <c r="AI553" i="31"/>
  <c r="AI565" i="31"/>
  <c r="AI577" i="31"/>
  <c r="AI589" i="31"/>
  <c r="AI601" i="31"/>
  <c r="AI613" i="31"/>
  <c r="AI625" i="31"/>
  <c r="AI637" i="31"/>
  <c r="AI649" i="31"/>
  <c r="AI661" i="31"/>
  <c r="AI14" i="31"/>
  <c r="AI26" i="31"/>
  <c r="AI38" i="31"/>
  <c r="AI50" i="31"/>
  <c r="AI62" i="31"/>
  <c r="AI74" i="31"/>
  <c r="AI86" i="31"/>
  <c r="AI98" i="31"/>
  <c r="AI110" i="31"/>
  <c r="AI122" i="31"/>
  <c r="AI134" i="31"/>
  <c r="AI146" i="31"/>
  <c r="AI158" i="31"/>
  <c r="AI170" i="31"/>
  <c r="AI182" i="31"/>
  <c r="AI194" i="31"/>
  <c r="AI206" i="31"/>
  <c r="AI218" i="31"/>
  <c r="AI230" i="31"/>
  <c r="AI242" i="31"/>
  <c r="AI254" i="31"/>
  <c r="AI266" i="31"/>
  <c r="AI278" i="31"/>
  <c r="AI290" i="31"/>
  <c r="AI302" i="31"/>
  <c r="AI314" i="31"/>
  <c r="AI326" i="31"/>
  <c r="AI338" i="31"/>
  <c r="AI350" i="31"/>
  <c r="AI362" i="31"/>
  <c r="AI374" i="31"/>
  <c r="AI386" i="31"/>
  <c r="AI398" i="31"/>
  <c r="AI410" i="31"/>
  <c r="AI422" i="31"/>
  <c r="AI434" i="31"/>
  <c r="AI446" i="31"/>
  <c r="AI458" i="31"/>
  <c r="AI470" i="31"/>
  <c r="AI482" i="31"/>
  <c r="AI494" i="31"/>
  <c r="AI506" i="31"/>
  <c r="AI518" i="31"/>
  <c r="AI530" i="31"/>
  <c r="AI542" i="31"/>
  <c r="AI554" i="31"/>
  <c r="AI566" i="31"/>
  <c r="AI578" i="31"/>
  <c r="AI590" i="31"/>
  <c r="AI602" i="31"/>
  <c r="AI614" i="31"/>
  <c r="AI626" i="31"/>
  <c r="AI638" i="31"/>
  <c r="AI650" i="31"/>
  <c r="AI662" i="31"/>
  <c r="AI15" i="31"/>
  <c r="AI27" i="31"/>
  <c r="AI39" i="31"/>
  <c r="AI51" i="31"/>
  <c r="AI63" i="31"/>
  <c r="AI75" i="31"/>
  <c r="AI87" i="31"/>
  <c r="AI99" i="31"/>
  <c r="AI111" i="31"/>
  <c r="AI123" i="31"/>
  <c r="AI135" i="31"/>
  <c r="AI147" i="31"/>
  <c r="AI159" i="31"/>
  <c r="AI171" i="31"/>
  <c r="AI183" i="31"/>
  <c r="AI195" i="31"/>
  <c r="AI207" i="31"/>
  <c r="AI219" i="31"/>
  <c r="AI231" i="31"/>
  <c r="AI243" i="31"/>
  <c r="AI255" i="31"/>
  <c r="AI267" i="31"/>
  <c r="AI279" i="31"/>
  <c r="AI291" i="31"/>
  <c r="AI303" i="31"/>
  <c r="AI315" i="31"/>
  <c r="AI327" i="31"/>
  <c r="AI339" i="31"/>
  <c r="AI351" i="31"/>
  <c r="AI363" i="31"/>
  <c r="AI375" i="31"/>
  <c r="AI387" i="31"/>
  <c r="AI399" i="31"/>
  <c r="AI411" i="31"/>
  <c r="AI423" i="31"/>
  <c r="AI435" i="31"/>
  <c r="AI447" i="31"/>
  <c r="AI459" i="31"/>
  <c r="AI471" i="31"/>
  <c r="AI483" i="31"/>
  <c r="AI495" i="31"/>
  <c r="AI507" i="31"/>
  <c r="AI519" i="31"/>
  <c r="AI531" i="31"/>
  <c r="AI543" i="31"/>
  <c r="AI555" i="31"/>
  <c r="AI567" i="31"/>
  <c r="AI579" i="31"/>
  <c r="AI591" i="31"/>
  <c r="AI603" i="31"/>
  <c r="AI615" i="31"/>
  <c r="AI627" i="31"/>
  <c r="AI639" i="31"/>
  <c r="AI651" i="31"/>
  <c r="AI663" i="31"/>
  <c r="AI16" i="31"/>
  <c r="AI28" i="31"/>
  <c r="AI40" i="31"/>
  <c r="AI52" i="31"/>
  <c r="AI64" i="31"/>
  <c r="AI76" i="31"/>
  <c r="AI88" i="31"/>
  <c r="AI100" i="31"/>
  <c r="AI112" i="31"/>
  <c r="AI124" i="31"/>
  <c r="AI136" i="31"/>
  <c r="AI148" i="31"/>
  <c r="AI160" i="31"/>
  <c r="AI172" i="31"/>
  <c r="AI184" i="31"/>
  <c r="AI196" i="31"/>
  <c r="AI208" i="31"/>
  <c r="AI220" i="31"/>
  <c r="AI232" i="31"/>
  <c r="AI244" i="31"/>
  <c r="AI256" i="31"/>
  <c r="AI268" i="31"/>
  <c r="AI280" i="31"/>
  <c r="AI292" i="31"/>
  <c r="AI304" i="31"/>
  <c r="AI316" i="31"/>
  <c r="AI328" i="31"/>
  <c r="AI340" i="31"/>
  <c r="AI352" i="31"/>
  <c r="AI364" i="31"/>
  <c r="AI376" i="31"/>
  <c r="AI388" i="31"/>
  <c r="AI400" i="31"/>
  <c r="AI412" i="31"/>
  <c r="AI424" i="31"/>
  <c r="AI436" i="31"/>
  <c r="AI448" i="31"/>
  <c r="AI460" i="31"/>
  <c r="AI472" i="31"/>
  <c r="AI484" i="31"/>
  <c r="AI496" i="31"/>
  <c r="AI508" i="31"/>
  <c r="AI520" i="31"/>
  <c r="AI532" i="31"/>
  <c r="AI544" i="31"/>
  <c r="AI556" i="31"/>
  <c r="AI568" i="31"/>
  <c r="AI580" i="31"/>
  <c r="AI592" i="31"/>
  <c r="AI604" i="31"/>
  <c r="AI616" i="31"/>
  <c r="AI628" i="31"/>
  <c r="AI640" i="31"/>
  <c r="AI652" i="31"/>
  <c r="AI664" i="31"/>
  <c r="AI658" i="31"/>
  <c r="AI17" i="31"/>
  <c r="AI29" i="31"/>
  <c r="AI41" i="31"/>
  <c r="AI53" i="31"/>
  <c r="AI65" i="31"/>
  <c r="AI77" i="31"/>
  <c r="AI89" i="31"/>
  <c r="AI101" i="31"/>
  <c r="AI113" i="31"/>
  <c r="AI125" i="31"/>
  <c r="AI137" i="31"/>
  <c r="AI149" i="31"/>
  <c r="AI161" i="31"/>
  <c r="AI173" i="31"/>
  <c r="AI185" i="31"/>
  <c r="AI197" i="31"/>
  <c r="AI209" i="31"/>
  <c r="AI221" i="31"/>
  <c r="AI233" i="31"/>
  <c r="AI245" i="31"/>
  <c r="AI257" i="31"/>
  <c r="AI269" i="31"/>
  <c r="AI281" i="31"/>
  <c r="AI293" i="31"/>
  <c r="AI305" i="31"/>
  <c r="AI317" i="31"/>
  <c r="AI329" i="31"/>
  <c r="AI341" i="31"/>
  <c r="AI353" i="31"/>
  <c r="AI365" i="31"/>
  <c r="AI377" i="31"/>
  <c r="AI389" i="31"/>
  <c r="AI401" i="31"/>
  <c r="AI413" i="31"/>
  <c r="AI425" i="31"/>
  <c r="AI437" i="31"/>
  <c r="AI449" i="31"/>
  <c r="AI461" i="31"/>
  <c r="AI473" i="31"/>
  <c r="AI485" i="31"/>
  <c r="AI497" i="31"/>
  <c r="AI509" i="31"/>
  <c r="AI521" i="31"/>
  <c r="AI533" i="31"/>
  <c r="AI545" i="31"/>
  <c r="AI557" i="31"/>
  <c r="AI569" i="31"/>
  <c r="AI581" i="31"/>
  <c r="AI593" i="31"/>
  <c r="AI605" i="31"/>
  <c r="AI617" i="31"/>
  <c r="AI629" i="31"/>
  <c r="AI641" i="31"/>
  <c r="AI653" i="31"/>
  <c r="AI665" i="31"/>
  <c r="AI646" i="31"/>
  <c r="AI18" i="31"/>
  <c r="AI30" i="31"/>
  <c r="AI42" i="31"/>
  <c r="AI54" i="31"/>
  <c r="AI66" i="31"/>
  <c r="AI78" i="31"/>
  <c r="AI90" i="31"/>
  <c r="AI102" i="31"/>
  <c r="AI114" i="31"/>
  <c r="AI126" i="31"/>
  <c r="AI138" i="31"/>
  <c r="AI150" i="31"/>
  <c r="AI162" i="31"/>
  <c r="AI174" i="31"/>
  <c r="AI186" i="31"/>
  <c r="AI198" i="31"/>
  <c r="AI210" i="31"/>
  <c r="AI222" i="31"/>
  <c r="AI234" i="31"/>
  <c r="AI246" i="31"/>
  <c r="AI258" i="31"/>
  <c r="AI270" i="31"/>
  <c r="AI282" i="31"/>
  <c r="AI294" i="31"/>
  <c r="AI306" i="31"/>
  <c r="AI318" i="31"/>
  <c r="AI330" i="31"/>
  <c r="AI342" i="31"/>
  <c r="AI354" i="31"/>
  <c r="AI366" i="31"/>
  <c r="AI378" i="31"/>
  <c r="AI390" i="31"/>
  <c r="AI402" i="31"/>
  <c r="AI414" i="31"/>
  <c r="AI426" i="31"/>
  <c r="AI438" i="31"/>
  <c r="AI450" i="31"/>
  <c r="AI462" i="31"/>
  <c r="AI474" i="31"/>
  <c r="AI486" i="31"/>
  <c r="AI498" i="31"/>
  <c r="AI510" i="31"/>
  <c r="AI522" i="31"/>
  <c r="AI534" i="31"/>
  <c r="AI546" i="31"/>
  <c r="AI558" i="31"/>
  <c r="AI570" i="31"/>
  <c r="AI582" i="31"/>
  <c r="AI594" i="31"/>
  <c r="AI606" i="31"/>
  <c r="AI618" i="31"/>
  <c r="AI630" i="31"/>
  <c r="AI642" i="31"/>
  <c r="AI654" i="31"/>
  <c r="AI666" i="31"/>
  <c r="D17" i="22"/>
  <c r="E11" i="12"/>
  <c r="E57" i="12" s="1"/>
  <c r="D5" i="21"/>
  <c r="D5" i="22"/>
  <c r="D5" i="23"/>
  <c r="D11" i="12"/>
  <c r="D57" i="12" s="1"/>
  <c r="D16" i="21"/>
  <c r="D13" i="21"/>
  <c r="D47" i="12"/>
  <c r="D48" i="12" s="1"/>
  <c r="D8" i="21"/>
  <c r="D8" i="23" s="1"/>
  <c r="B18" i="29"/>
  <c r="D37" i="12"/>
  <c r="B19" i="29"/>
  <c r="B16" i="29"/>
  <c r="E35" i="12"/>
  <c r="F15" i="14" s="1"/>
  <c r="F41" i="14" l="1"/>
  <c r="C54" i="32" s="1"/>
  <c r="AP9" i="31"/>
  <c r="AN9" i="31" s="1"/>
  <c r="C20" i="32"/>
  <c r="C19" i="32"/>
  <c r="D10" i="21"/>
  <c r="D8" i="22"/>
  <c r="B13" i="29"/>
  <c r="D9" i="21"/>
  <c r="B14" i="29"/>
  <c r="E37" i="12"/>
  <c r="F16" i="14" s="1"/>
  <c r="D12" i="21" s="1"/>
  <c r="E34" i="12"/>
  <c r="F14" i="14" s="1"/>
  <c r="E47" i="12"/>
  <c r="E48" i="12" l="1"/>
  <c r="F28" i="14" s="1"/>
  <c r="F27" i="14"/>
  <c r="AL131" i="31" l="1"/>
  <c r="AM131" i="31" s="1"/>
  <c r="AO131" i="31" s="1"/>
  <c r="AN131" i="31"/>
  <c r="AN180" i="31"/>
  <c r="AL180" i="31"/>
  <c r="AM180" i="31" s="1"/>
  <c r="AO180" i="31" s="1"/>
  <c r="AN515" i="31"/>
  <c r="AL515" i="31"/>
  <c r="AM515" i="31" s="1"/>
  <c r="AO515" i="31" s="1"/>
  <c r="AL188" i="31"/>
  <c r="AM188" i="31" s="1"/>
  <c r="AO188" i="31" s="1"/>
  <c r="AN188" i="31"/>
  <c r="AN493" i="31"/>
  <c r="AL493" i="31"/>
  <c r="AM493" i="31" s="1"/>
  <c r="AO493" i="31" s="1"/>
  <c r="AN482" i="31"/>
  <c r="AL482" i="31"/>
  <c r="AM482" i="31" s="1"/>
  <c r="AO482" i="31" s="1"/>
  <c r="AL362" i="31"/>
  <c r="AM362" i="31" s="1"/>
  <c r="AO362" i="31" s="1"/>
  <c r="AN362" i="31"/>
  <c r="AL643" i="31"/>
  <c r="AM643" i="31" s="1"/>
  <c r="AO643" i="31" s="1"/>
  <c r="AN643" i="31"/>
  <c r="AN633" i="31"/>
  <c r="AL633" i="31"/>
  <c r="AM633" i="31" s="1"/>
  <c r="AO633" i="31" s="1"/>
  <c r="AN628" i="31"/>
  <c r="AL628" i="31"/>
  <c r="AM628" i="31" s="1"/>
  <c r="AO628" i="31" s="1"/>
  <c r="AN634" i="31"/>
  <c r="AL634" i="31"/>
  <c r="AM634" i="31" s="1"/>
  <c r="AO634" i="31" s="1"/>
  <c r="AL510" i="31"/>
  <c r="AM510" i="31" s="1"/>
  <c r="AO510" i="31" s="1"/>
  <c r="AN510" i="31"/>
  <c r="AL625" i="31"/>
  <c r="AM625" i="31" s="1"/>
  <c r="AO625" i="31" s="1"/>
  <c r="AN625" i="31"/>
  <c r="AN44" i="31"/>
  <c r="AL44" i="31"/>
  <c r="AM44" i="31" s="1"/>
  <c r="AO44" i="31" s="1"/>
  <c r="AL81" i="31"/>
  <c r="AM81" i="31" s="1"/>
  <c r="AO81" i="31" s="1"/>
  <c r="AN81" i="31"/>
  <c r="AN495" i="31"/>
  <c r="AL495" i="31"/>
  <c r="AM495" i="31" s="1"/>
  <c r="AO495" i="31" s="1"/>
  <c r="AL22" i="31"/>
  <c r="AM22" i="31" s="1"/>
  <c r="AO22" i="31" s="1"/>
  <c r="AN22" i="31"/>
  <c r="AN263" i="31"/>
  <c r="AL263" i="31"/>
  <c r="AM263" i="31" s="1"/>
  <c r="AO263" i="31" s="1"/>
  <c r="AN213" i="31"/>
  <c r="AL213" i="31"/>
  <c r="AM213" i="31" s="1"/>
  <c r="AO213" i="31" s="1"/>
  <c r="AN301" i="31"/>
  <c r="AL301" i="31"/>
  <c r="AM301" i="31" s="1"/>
  <c r="AO301" i="31" s="1"/>
  <c r="AN23" i="31"/>
  <c r="AL23" i="31"/>
  <c r="AM23" i="31" s="1"/>
  <c r="AO23" i="31" s="1"/>
  <c r="AL433" i="31"/>
  <c r="AM433" i="31" s="1"/>
  <c r="AO433" i="31" s="1"/>
  <c r="AN433" i="31"/>
  <c r="AN568" i="31"/>
  <c r="AL568" i="31"/>
  <c r="AM568" i="31" s="1"/>
  <c r="AO568" i="31" s="1"/>
  <c r="AN211" i="31"/>
  <c r="AL211" i="31"/>
  <c r="AM211" i="31" s="1"/>
  <c r="AO211" i="31" s="1"/>
  <c r="AL560" i="31"/>
  <c r="AM560" i="31" s="1"/>
  <c r="AO560" i="31" s="1"/>
  <c r="AN560" i="31"/>
  <c r="AN15" i="31"/>
  <c r="AL15" i="31"/>
  <c r="AM15" i="31" s="1"/>
  <c r="AO15" i="31" s="1"/>
  <c r="AL490" i="31"/>
  <c r="AM490" i="31" s="1"/>
  <c r="AO490" i="31" s="1"/>
  <c r="AN490" i="31"/>
  <c r="AN527" i="31"/>
  <c r="AL527" i="31"/>
  <c r="AM527" i="31" s="1"/>
  <c r="AO527" i="31" s="1"/>
  <c r="AL494" i="31"/>
  <c r="AM494" i="31" s="1"/>
  <c r="AO494" i="31" s="1"/>
  <c r="AN494" i="31"/>
  <c r="AL367" i="31"/>
  <c r="AM367" i="31" s="1"/>
  <c r="AO367" i="31" s="1"/>
  <c r="AN367" i="31"/>
  <c r="AN48" i="31"/>
  <c r="AL48" i="31"/>
  <c r="AM48" i="31" s="1"/>
  <c r="AO48" i="31" s="1"/>
  <c r="AN217" i="31"/>
  <c r="AL217" i="31"/>
  <c r="AM217" i="31" s="1"/>
  <c r="AO217" i="31" s="1"/>
  <c r="AN663" i="31"/>
  <c r="AL663" i="31"/>
  <c r="AM663" i="31" s="1"/>
  <c r="AO663" i="31" s="1"/>
  <c r="AN57" i="31"/>
  <c r="AL57" i="31"/>
  <c r="AM57" i="31" s="1"/>
  <c r="AO57" i="31" s="1"/>
  <c r="AN322" i="31"/>
  <c r="AL322" i="31"/>
  <c r="AM322" i="31" s="1"/>
  <c r="AO322" i="31" s="1"/>
  <c r="AL460" i="31"/>
  <c r="AM460" i="31" s="1"/>
  <c r="AO460" i="31" s="1"/>
  <c r="AN460" i="31"/>
  <c r="AL653" i="31"/>
  <c r="AM653" i="31" s="1"/>
  <c r="AO653" i="31" s="1"/>
  <c r="AN653" i="31"/>
  <c r="AN619" i="31"/>
  <c r="AL619" i="31"/>
  <c r="AM619" i="31" s="1"/>
  <c r="AO619" i="31" s="1"/>
  <c r="AL380" i="31"/>
  <c r="AM380" i="31" s="1"/>
  <c r="AO380" i="31" s="1"/>
  <c r="AN380" i="31"/>
  <c r="AN378" i="31"/>
  <c r="AL378" i="31"/>
  <c r="AM378" i="31" s="1"/>
  <c r="AO378" i="31" s="1"/>
  <c r="AN519" i="31"/>
  <c r="AL519" i="31"/>
  <c r="AM519" i="31" s="1"/>
  <c r="AO519" i="31" s="1"/>
  <c r="AN488" i="31"/>
  <c r="AL488" i="31"/>
  <c r="AM488" i="31" s="1"/>
  <c r="AO488" i="31" s="1"/>
  <c r="AN641" i="31"/>
  <c r="AL641" i="31"/>
  <c r="AM641" i="31" s="1"/>
  <c r="AO641" i="31" s="1"/>
  <c r="AL624" i="31"/>
  <c r="AM624" i="31" s="1"/>
  <c r="AO624" i="31" s="1"/>
  <c r="AN624" i="31"/>
  <c r="AN47" i="31"/>
  <c r="AL47" i="31"/>
  <c r="AM47" i="31" s="1"/>
  <c r="AO47" i="31" s="1"/>
  <c r="AL620" i="31"/>
  <c r="AM620" i="31" s="1"/>
  <c r="AO620" i="31" s="1"/>
  <c r="AN620" i="31"/>
  <c r="AN75" i="31"/>
  <c r="AL75" i="31"/>
  <c r="AM75" i="31" s="1"/>
  <c r="AO75" i="31" s="1"/>
  <c r="AN178" i="31"/>
  <c r="AL178" i="31"/>
  <c r="AM178" i="31" s="1"/>
  <c r="AO178" i="31" s="1"/>
  <c r="AN53" i="31"/>
  <c r="AL53" i="31"/>
  <c r="AM53" i="31" s="1"/>
  <c r="AO53" i="31" s="1"/>
  <c r="AL374" i="31"/>
  <c r="AM374" i="31" s="1"/>
  <c r="AO374" i="31" s="1"/>
  <c r="AN374" i="31"/>
  <c r="AN325" i="31"/>
  <c r="AL325" i="31"/>
  <c r="AM325" i="31" s="1"/>
  <c r="AO325" i="31" s="1"/>
  <c r="AN385" i="31"/>
  <c r="AL385" i="31"/>
  <c r="AM385" i="31" s="1"/>
  <c r="AO385" i="31" s="1"/>
  <c r="AN326" i="31"/>
  <c r="AL326" i="31"/>
  <c r="AM326" i="31" s="1"/>
  <c r="AO326" i="31" s="1"/>
  <c r="AN25" i="31"/>
  <c r="AL25" i="31"/>
  <c r="AM25" i="31" s="1"/>
  <c r="AO25" i="31" s="1"/>
  <c r="AL479" i="31"/>
  <c r="AM479" i="31" s="1"/>
  <c r="AO479" i="31" s="1"/>
  <c r="AN479" i="31"/>
  <c r="AL248" i="31"/>
  <c r="AM248" i="31" s="1"/>
  <c r="AO248" i="31" s="1"/>
  <c r="AN248" i="31"/>
  <c r="AN471" i="31"/>
  <c r="AL471" i="31"/>
  <c r="AM471" i="31" s="1"/>
  <c r="AO471" i="31" s="1"/>
  <c r="AN593" i="31"/>
  <c r="AL593" i="31"/>
  <c r="AM593" i="31" s="1"/>
  <c r="AO593" i="31" s="1"/>
  <c r="AL352" i="31"/>
  <c r="AM352" i="31" s="1"/>
  <c r="AO352" i="31" s="1"/>
  <c r="AN352" i="31"/>
  <c r="AN130" i="31"/>
  <c r="AL130" i="31"/>
  <c r="AM130" i="31" s="1"/>
  <c r="AO130" i="31" s="1"/>
  <c r="AN611" i="31"/>
  <c r="AL611" i="31"/>
  <c r="AM611" i="31" s="1"/>
  <c r="AO611" i="31" s="1"/>
  <c r="AN306" i="31"/>
  <c r="AL306" i="31"/>
  <c r="AM306" i="31" s="1"/>
  <c r="AO306" i="31" s="1"/>
  <c r="AN137" i="31"/>
  <c r="AL137" i="31"/>
  <c r="AM137" i="31" s="1"/>
  <c r="AO137" i="31" s="1"/>
  <c r="AN607" i="31"/>
  <c r="AL607" i="31"/>
  <c r="AM607" i="31" s="1"/>
  <c r="AO607" i="31" s="1"/>
  <c r="AN526" i="31"/>
  <c r="AL526" i="31"/>
  <c r="AM526" i="31" s="1"/>
  <c r="AO526" i="31" s="1"/>
  <c r="AL458" i="31"/>
  <c r="AM458" i="31" s="1"/>
  <c r="AO458" i="31" s="1"/>
  <c r="AN458" i="31"/>
  <c r="AL547" i="31"/>
  <c r="AM547" i="31" s="1"/>
  <c r="AO547" i="31" s="1"/>
  <c r="AN547" i="31"/>
  <c r="AN65" i="31"/>
  <c r="AL65" i="31"/>
  <c r="AM65" i="31" s="1"/>
  <c r="AO65" i="31" s="1"/>
  <c r="AN36" i="31"/>
  <c r="AL36" i="31"/>
  <c r="AM36" i="31" s="1"/>
  <c r="AO36" i="31" s="1"/>
  <c r="AN349" i="31"/>
  <c r="AL349" i="31"/>
  <c r="AM349" i="31" s="1"/>
  <c r="AO349" i="31" s="1"/>
  <c r="AL478" i="31"/>
  <c r="AM478" i="31" s="1"/>
  <c r="AO478" i="31" s="1"/>
  <c r="AN478" i="31"/>
  <c r="AL484" i="31"/>
  <c r="AM484" i="31" s="1"/>
  <c r="AO484" i="31" s="1"/>
  <c r="AN484" i="31"/>
  <c r="AL43" i="31"/>
  <c r="AM43" i="31" s="1"/>
  <c r="AO43" i="31" s="1"/>
  <c r="AN43" i="31"/>
  <c r="AN512" i="31"/>
  <c r="AL512" i="31"/>
  <c r="AM512" i="31" s="1"/>
  <c r="AO512" i="31" s="1"/>
  <c r="AL492" i="31"/>
  <c r="AM492" i="31" s="1"/>
  <c r="AO492" i="31" s="1"/>
  <c r="AN492" i="31"/>
  <c r="AN328" i="31"/>
  <c r="AL328" i="31"/>
  <c r="AM328" i="31" s="1"/>
  <c r="AO328" i="31" s="1"/>
  <c r="AL617" i="31"/>
  <c r="AM617" i="31" s="1"/>
  <c r="AO617" i="31" s="1"/>
  <c r="AN617" i="31"/>
  <c r="AN609" i="31"/>
  <c r="AL609" i="31"/>
  <c r="AM609" i="31" s="1"/>
  <c r="AO609" i="31" s="1"/>
  <c r="AN630" i="31"/>
  <c r="AL630" i="31"/>
  <c r="AM630" i="31" s="1"/>
  <c r="AO630" i="31" s="1"/>
  <c r="AN317" i="31"/>
  <c r="AL317" i="31"/>
  <c r="AM317" i="31" s="1"/>
  <c r="AO317" i="31" s="1"/>
  <c r="AN441" i="31"/>
  <c r="AL441" i="31"/>
  <c r="AM441" i="31" s="1"/>
  <c r="AO441" i="31" s="1"/>
  <c r="AN603" i="31"/>
  <c r="AL603" i="31"/>
  <c r="AM603" i="31" s="1"/>
  <c r="AO603" i="31" s="1"/>
  <c r="AN218" i="31"/>
  <c r="AL218" i="31"/>
  <c r="AM218" i="31" s="1"/>
  <c r="AO218" i="31" s="1"/>
  <c r="AL82" i="31"/>
  <c r="AM82" i="31" s="1"/>
  <c r="AO82" i="31" s="1"/>
  <c r="AN82" i="31"/>
  <c r="AL403" i="31"/>
  <c r="AM403" i="31" s="1"/>
  <c r="AO403" i="31" s="1"/>
  <c r="AN403" i="31"/>
  <c r="AL106" i="31"/>
  <c r="AM106" i="31" s="1"/>
  <c r="AO106" i="31" s="1"/>
  <c r="AN106" i="31"/>
  <c r="AL170" i="31"/>
  <c r="AM170" i="31" s="1"/>
  <c r="AO170" i="31" s="1"/>
  <c r="AN170" i="31"/>
  <c r="AN105" i="31"/>
  <c r="AL105" i="31"/>
  <c r="AM105" i="31" s="1"/>
  <c r="AO105" i="31" s="1"/>
  <c r="AN228" i="31"/>
  <c r="AL228" i="31"/>
  <c r="AM228" i="31" s="1"/>
  <c r="AO228" i="31" s="1"/>
  <c r="AN622" i="31"/>
  <c r="AL622" i="31"/>
  <c r="AM622" i="31" s="1"/>
  <c r="AO622" i="31" s="1"/>
  <c r="AL197" i="31"/>
  <c r="AM197" i="31" s="1"/>
  <c r="AO197" i="31" s="1"/>
  <c r="AN197" i="31"/>
  <c r="AL208" i="31"/>
  <c r="AM208" i="31" s="1"/>
  <c r="AO208" i="31" s="1"/>
  <c r="AN208" i="31"/>
  <c r="AL234" i="31"/>
  <c r="AM234" i="31" s="1"/>
  <c r="AO234" i="31" s="1"/>
  <c r="AN234" i="31"/>
  <c r="AL344" i="31"/>
  <c r="AM344" i="31" s="1"/>
  <c r="AO344" i="31" s="1"/>
  <c r="AN344" i="31"/>
  <c r="AN375" i="31"/>
  <c r="AL375" i="31"/>
  <c r="AM375" i="31" s="1"/>
  <c r="AO375" i="31" s="1"/>
  <c r="AN497" i="31"/>
  <c r="AL497" i="31"/>
  <c r="AM497" i="31" s="1"/>
  <c r="AO497" i="31" s="1"/>
  <c r="AN480" i="31"/>
  <c r="AL480" i="31"/>
  <c r="AM480" i="31" s="1"/>
  <c r="AO480" i="31" s="1"/>
  <c r="AL489" i="31"/>
  <c r="AM489" i="31" s="1"/>
  <c r="AO489" i="31" s="1"/>
  <c r="AN489" i="31"/>
  <c r="AL278" i="31"/>
  <c r="AM278" i="31" s="1"/>
  <c r="AO278" i="31" s="1"/>
  <c r="AN278" i="31"/>
  <c r="AN366" i="31"/>
  <c r="AL366" i="31"/>
  <c r="AM366" i="31" s="1"/>
  <c r="AO366" i="31" s="1"/>
  <c r="AL481" i="31"/>
  <c r="AM481" i="31" s="1"/>
  <c r="AO481" i="31" s="1"/>
  <c r="AN481" i="31"/>
  <c r="AL651" i="31"/>
  <c r="AM651" i="31" s="1"/>
  <c r="AO651" i="31" s="1"/>
  <c r="AN651" i="31"/>
  <c r="AN34" i="31"/>
  <c r="AL34" i="31"/>
  <c r="AM34" i="31" s="1"/>
  <c r="AO34" i="31" s="1"/>
  <c r="AL612" i="31"/>
  <c r="AM612" i="31" s="1"/>
  <c r="AO612" i="31" s="1"/>
  <c r="AN612" i="31"/>
  <c r="AL338" i="31"/>
  <c r="AM338" i="31" s="1"/>
  <c r="AO338" i="31" s="1"/>
  <c r="AN338" i="31"/>
  <c r="AN195" i="31"/>
  <c r="AL195" i="31"/>
  <c r="AM195" i="31" s="1"/>
  <c r="AO195" i="31" s="1"/>
  <c r="AN96" i="31"/>
  <c r="AL96" i="31"/>
  <c r="AM96" i="31" s="1"/>
  <c r="AO96" i="31" s="1"/>
  <c r="AN449" i="31"/>
  <c r="AL449" i="31"/>
  <c r="AM449" i="31" s="1"/>
  <c r="AO449" i="31" s="1"/>
  <c r="AL319" i="31"/>
  <c r="AM319" i="31" s="1"/>
  <c r="AO319" i="31" s="1"/>
  <c r="AN319" i="31"/>
  <c r="AL559" i="31"/>
  <c r="AM559" i="31" s="1"/>
  <c r="AO559" i="31" s="1"/>
  <c r="AN559" i="31"/>
  <c r="AL583" i="31"/>
  <c r="AM583" i="31" s="1"/>
  <c r="AO583" i="31" s="1"/>
  <c r="AN583" i="31"/>
  <c r="AN410" i="31"/>
  <c r="AL410" i="31"/>
  <c r="AM410" i="31" s="1"/>
  <c r="AO410" i="31" s="1"/>
  <c r="AL661" i="31"/>
  <c r="AM661" i="31" s="1"/>
  <c r="AO661" i="31" s="1"/>
  <c r="AN661" i="31"/>
  <c r="AL571" i="31"/>
  <c r="AM571" i="31" s="1"/>
  <c r="AO571" i="31" s="1"/>
  <c r="AN571" i="31"/>
  <c r="AN108" i="31"/>
  <c r="AL108" i="31"/>
  <c r="AM108" i="31" s="1"/>
  <c r="AO108" i="31" s="1"/>
  <c r="AN395" i="31"/>
  <c r="AL395" i="31"/>
  <c r="AM395" i="31" s="1"/>
  <c r="AO395" i="31" s="1"/>
  <c r="AN114" i="31"/>
  <c r="AL114" i="31"/>
  <c r="AM114" i="31" s="1"/>
  <c r="AO114" i="31" s="1"/>
  <c r="AN522" i="31"/>
  <c r="AL522" i="31"/>
  <c r="AM522" i="31" s="1"/>
  <c r="AO522" i="31" s="1"/>
  <c r="AN229" i="31"/>
  <c r="AL229" i="31"/>
  <c r="AM229" i="31" s="1"/>
  <c r="AO229" i="31" s="1"/>
  <c r="AN561" i="31"/>
  <c r="AL561" i="31"/>
  <c r="AM561" i="31" s="1"/>
  <c r="AO561" i="31" s="1"/>
  <c r="AN370" i="31"/>
  <c r="AL370" i="31"/>
  <c r="AM370" i="31" s="1"/>
  <c r="AO370" i="31" s="1"/>
  <c r="AN59" i="31"/>
  <c r="AL59" i="31"/>
  <c r="AM59" i="31" s="1"/>
  <c r="AO59" i="31" s="1"/>
  <c r="AN215" i="31"/>
  <c r="AL215" i="31"/>
  <c r="AM215" i="31" s="1"/>
  <c r="AO215" i="31" s="1"/>
  <c r="AN665" i="31"/>
  <c r="AL665" i="31"/>
  <c r="AM665" i="31" s="1"/>
  <c r="AO665" i="31" s="1"/>
  <c r="AN640" i="31"/>
  <c r="AL640" i="31"/>
  <c r="AM640" i="31" s="1"/>
  <c r="AO640" i="31" s="1"/>
  <c r="AN476" i="31"/>
  <c r="AL476" i="31"/>
  <c r="AM476" i="31" s="1"/>
  <c r="AO476" i="31" s="1"/>
  <c r="AN610" i="31"/>
  <c r="AL610" i="31"/>
  <c r="AM610" i="31" s="1"/>
  <c r="AO610" i="31" s="1"/>
  <c r="AN477" i="31"/>
  <c r="AL477" i="31"/>
  <c r="AM477" i="31" s="1"/>
  <c r="AO477" i="31" s="1"/>
  <c r="AN465" i="31"/>
  <c r="AL465" i="31"/>
  <c r="AM465" i="31" s="1"/>
  <c r="AO465" i="31" s="1"/>
  <c r="AL173" i="31"/>
  <c r="AM173" i="31" s="1"/>
  <c r="AO173" i="31" s="1"/>
  <c r="AN173" i="31"/>
  <c r="AN652" i="31"/>
  <c r="AL652" i="31"/>
  <c r="AM652" i="31" s="1"/>
  <c r="AO652" i="31" s="1"/>
  <c r="AN297" i="31"/>
  <c r="AL297" i="31"/>
  <c r="AM297" i="31" s="1"/>
  <c r="AO297" i="31" s="1"/>
  <c r="AL530" i="31"/>
  <c r="AM530" i="31" s="1"/>
  <c r="AO530" i="31" s="1"/>
  <c r="AN530" i="31"/>
  <c r="AN556" i="31"/>
  <c r="AL556" i="31"/>
  <c r="AM556" i="31" s="1"/>
  <c r="AO556" i="31" s="1"/>
  <c r="AN237" i="31"/>
  <c r="AL237" i="31"/>
  <c r="AM237" i="31" s="1"/>
  <c r="AO237" i="31" s="1"/>
  <c r="AL346" i="31"/>
  <c r="AM346" i="31" s="1"/>
  <c r="AO346" i="31" s="1"/>
  <c r="AN346" i="31"/>
  <c r="AL632" i="31"/>
  <c r="AM632" i="31" s="1"/>
  <c r="AO632" i="31" s="1"/>
  <c r="AN632" i="31"/>
  <c r="AL648" i="31"/>
  <c r="AM648" i="31" s="1"/>
  <c r="AO648" i="31" s="1"/>
  <c r="AN648" i="31"/>
  <c r="AN517" i="31"/>
  <c r="AL517" i="31"/>
  <c r="AM517" i="31" s="1"/>
  <c r="AO517" i="31" s="1"/>
  <c r="AN314" i="31"/>
  <c r="AL314" i="31"/>
  <c r="AM314" i="31" s="1"/>
  <c r="AO314" i="31" s="1"/>
  <c r="AL450" i="31"/>
  <c r="AM450" i="31" s="1"/>
  <c r="AO450" i="31" s="1"/>
  <c r="AN450" i="31"/>
  <c r="AN205" i="31"/>
  <c r="AL205" i="31"/>
  <c r="AM205" i="31" s="1"/>
  <c r="AO205" i="31" s="1"/>
  <c r="AN200" i="31"/>
  <c r="AL200" i="31"/>
  <c r="AM200" i="31" s="1"/>
  <c r="AO200" i="31" s="1"/>
  <c r="AN334" i="31"/>
  <c r="AL334" i="31"/>
  <c r="AM334" i="31" s="1"/>
  <c r="AO334" i="31" s="1"/>
  <c r="AN336" i="31"/>
  <c r="AL336" i="31"/>
  <c r="AM336" i="31" s="1"/>
  <c r="AO336" i="31" s="1"/>
  <c r="AN345" i="31"/>
  <c r="AL345" i="31"/>
  <c r="AM345" i="31" s="1"/>
  <c r="AO345" i="31" s="1"/>
  <c r="AL340" i="31"/>
  <c r="AM340" i="31" s="1"/>
  <c r="AO340" i="31" s="1"/>
  <c r="AN340" i="31"/>
  <c r="AN337" i="31"/>
  <c r="AL337" i="31"/>
  <c r="AM337" i="31" s="1"/>
  <c r="AO337" i="31" s="1"/>
  <c r="AN507" i="31"/>
  <c r="AL507" i="31"/>
  <c r="AM507" i="31" s="1"/>
  <c r="AO507" i="31" s="1"/>
  <c r="AL629" i="31"/>
  <c r="AM629" i="31" s="1"/>
  <c r="AO629" i="31" s="1"/>
  <c r="AN629" i="31"/>
  <c r="AL468" i="31"/>
  <c r="AM468" i="31" s="1"/>
  <c r="AO468" i="31" s="1"/>
  <c r="AN468" i="31"/>
  <c r="AN184" i="31"/>
  <c r="AL184" i="31"/>
  <c r="AM184" i="31" s="1"/>
  <c r="AO184" i="31" s="1"/>
  <c r="AN407" i="31"/>
  <c r="AL407" i="31"/>
  <c r="AM407" i="31" s="1"/>
  <c r="AO407" i="31" s="1"/>
  <c r="AN354" i="31"/>
  <c r="AL354" i="31"/>
  <c r="AM354" i="31" s="1"/>
  <c r="AO354" i="31" s="1"/>
  <c r="AL107" i="31"/>
  <c r="AM107" i="31" s="1"/>
  <c r="AO107" i="31" s="1"/>
  <c r="AN107" i="31"/>
  <c r="AN21" i="31"/>
  <c r="AL21" i="31"/>
  <c r="AM21" i="31" s="1"/>
  <c r="AO21" i="31" s="1"/>
  <c r="AL91" i="31"/>
  <c r="AM91" i="31" s="1"/>
  <c r="AO91" i="31" s="1"/>
  <c r="AN91" i="31"/>
  <c r="AN295" i="31"/>
  <c r="AL295" i="31"/>
  <c r="AM295" i="31" s="1"/>
  <c r="AO295" i="31" s="1"/>
  <c r="AL509" i="31"/>
  <c r="AM509" i="31" s="1"/>
  <c r="AO509" i="31" s="1"/>
  <c r="AN509" i="31"/>
  <c r="AN513" i="31"/>
  <c r="AL513" i="31"/>
  <c r="AM513" i="31" s="1"/>
  <c r="AO513" i="31" s="1"/>
  <c r="AL415" i="31"/>
  <c r="AM415" i="31" s="1"/>
  <c r="AO415" i="31" s="1"/>
  <c r="AN415" i="31"/>
  <c r="AN341" i="31"/>
  <c r="AL341" i="31"/>
  <c r="AM341" i="31" s="1"/>
  <c r="AO341" i="31" s="1"/>
  <c r="AN288" i="31"/>
  <c r="AL288" i="31"/>
  <c r="AM288" i="31" s="1"/>
  <c r="AO288" i="31" s="1"/>
  <c r="AN539" i="31"/>
  <c r="AL539" i="31"/>
  <c r="AM539" i="31" s="1"/>
  <c r="AO539" i="31" s="1"/>
  <c r="AN219" i="31"/>
  <c r="AL219" i="31"/>
  <c r="AM219" i="31" s="1"/>
  <c r="AO219" i="31" s="1"/>
  <c r="AN16" i="31"/>
  <c r="AL16" i="31"/>
  <c r="AM16" i="31" s="1"/>
  <c r="AO16" i="31" s="1"/>
  <c r="AN90" i="31"/>
  <c r="AL90" i="31"/>
  <c r="AM90" i="31" s="1"/>
  <c r="AO90" i="31" s="1"/>
  <c r="AN231" i="31"/>
  <c r="AL231" i="31"/>
  <c r="AM231" i="31" s="1"/>
  <c r="AO231" i="31" s="1"/>
  <c r="AN353" i="31"/>
  <c r="AL353" i="31"/>
  <c r="AM353" i="31" s="1"/>
  <c r="AO353" i="31" s="1"/>
  <c r="AN11" i="31"/>
  <c r="AL11" i="31"/>
  <c r="AM11" i="31" s="1"/>
  <c r="AO11" i="31" s="1"/>
  <c r="AL455" i="31"/>
  <c r="AM455" i="31" s="1"/>
  <c r="AO455" i="31" s="1"/>
  <c r="AN455" i="31"/>
  <c r="AN508" i="31"/>
  <c r="AL508" i="31"/>
  <c r="AM508" i="31" s="1"/>
  <c r="AO508" i="31" s="1"/>
  <c r="AN222" i="31"/>
  <c r="AL222" i="31"/>
  <c r="AM222" i="31" s="1"/>
  <c r="AO222" i="31" s="1"/>
  <c r="AN333" i="31"/>
  <c r="AL333" i="31"/>
  <c r="AM333" i="31" s="1"/>
  <c r="AO333" i="31" s="1"/>
  <c r="AN373" i="31"/>
  <c r="AL373" i="31"/>
  <c r="AM373" i="31" s="1"/>
  <c r="AO373" i="31" s="1"/>
  <c r="AL464" i="31"/>
  <c r="AM464" i="31" s="1"/>
  <c r="AO464" i="31" s="1"/>
  <c r="AN464" i="31"/>
  <c r="AN598" i="31"/>
  <c r="AL598" i="31"/>
  <c r="AM598" i="31" s="1"/>
  <c r="AO598" i="31" s="1"/>
  <c r="AL660" i="31"/>
  <c r="AM660" i="31" s="1"/>
  <c r="AO660" i="31" s="1"/>
  <c r="AN660" i="31"/>
  <c r="AL58" i="31"/>
  <c r="AM58" i="31" s="1"/>
  <c r="AO58" i="31" s="1"/>
  <c r="AN58" i="31"/>
  <c r="AN54" i="31"/>
  <c r="AL54" i="31"/>
  <c r="AM54" i="31" s="1"/>
  <c r="AO54" i="31" s="1"/>
  <c r="AN574" i="31"/>
  <c r="AL574" i="31"/>
  <c r="AM574" i="31" s="1"/>
  <c r="AO574" i="31" s="1"/>
  <c r="AL572" i="31"/>
  <c r="AM572" i="31" s="1"/>
  <c r="AO572" i="31" s="1"/>
  <c r="AN572" i="31"/>
  <c r="AN647" i="31"/>
  <c r="AL647" i="31"/>
  <c r="AM647" i="31" s="1"/>
  <c r="AO647" i="31" s="1"/>
  <c r="AN127" i="31"/>
  <c r="AL127" i="31"/>
  <c r="AM127" i="31" s="1"/>
  <c r="AO127" i="31" s="1"/>
  <c r="AN187" i="31"/>
  <c r="AL187" i="31"/>
  <c r="AM187" i="31" s="1"/>
  <c r="AO187" i="31" s="1"/>
  <c r="AL582" i="31"/>
  <c r="AM582" i="31" s="1"/>
  <c r="AO582" i="31" s="1"/>
  <c r="AN582" i="31"/>
  <c r="AL623" i="31"/>
  <c r="AM623" i="31" s="1"/>
  <c r="AO623" i="31" s="1"/>
  <c r="AN623" i="31"/>
  <c r="AN79" i="31"/>
  <c r="AL79" i="31"/>
  <c r="AM79" i="31" s="1"/>
  <c r="AO79" i="31" s="1"/>
  <c r="AN654" i="31"/>
  <c r="AL654" i="31"/>
  <c r="AM654" i="31" s="1"/>
  <c r="AO654" i="31" s="1"/>
  <c r="AN45" i="31"/>
  <c r="AL45" i="31"/>
  <c r="AM45" i="31" s="1"/>
  <c r="AO45" i="31" s="1"/>
  <c r="AL49" i="31"/>
  <c r="AM49" i="31" s="1"/>
  <c r="AO49" i="31" s="1"/>
  <c r="AN49" i="31"/>
  <c r="AL46" i="31"/>
  <c r="AM46" i="31" s="1"/>
  <c r="AO46" i="31" s="1"/>
  <c r="AN46" i="31"/>
  <c r="AN247" i="31"/>
  <c r="AL247" i="31"/>
  <c r="AM247" i="31" s="1"/>
  <c r="AO247" i="31" s="1"/>
  <c r="AL666" i="31"/>
  <c r="AM666" i="31" s="1"/>
  <c r="AO666" i="31" s="1"/>
  <c r="AN666" i="31"/>
  <c r="AL61" i="31"/>
  <c r="AM61" i="31" s="1"/>
  <c r="AO61" i="31" s="1"/>
  <c r="AN61" i="31"/>
  <c r="AL56" i="31"/>
  <c r="AM56" i="31" s="1"/>
  <c r="AO56" i="31" s="1"/>
  <c r="AN56" i="31"/>
  <c r="AN192" i="31"/>
  <c r="AL192" i="31"/>
  <c r="AM192" i="31" s="1"/>
  <c r="AO192" i="31" s="1"/>
  <c r="AN201" i="31"/>
  <c r="AL201" i="31"/>
  <c r="AM201" i="31" s="1"/>
  <c r="AO201" i="31" s="1"/>
  <c r="AL196" i="31"/>
  <c r="AM196" i="31" s="1"/>
  <c r="AO196" i="31" s="1"/>
  <c r="AN196" i="31"/>
  <c r="AL179" i="31"/>
  <c r="AM179" i="31" s="1"/>
  <c r="AO179" i="31" s="1"/>
  <c r="AN179" i="31"/>
  <c r="AL332" i="31"/>
  <c r="AM332" i="31" s="1"/>
  <c r="AO332" i="31" s="1"/>
  <c r="AN332" i="31"/>
  <c r="AL466" i="31"/>
  <c r="AM466" i="31" s="1"/>
  <c r="AO466" i="31" s="1"/>
  <c r="AN466" i="31"/>
  <c r="AN485" i="31"/>
  <c r="AL485" i="31"/>
  <c r="AM485" i="31" s="1"/>
  <c r="AO485" i="31" s="1"/>
  <c r="AL324" i="31"/>
  <c r="AM324" i="31" s="1"/>
  <c r="AO324" i="31" s="1"/>
  <c r="AN324" i="31"/>
  <c r="AN503" i="31"/>
  <c r="AL503" i="31"/>
  <c r="AM503" i="31" s="1"/>
  <c r="AO503" i="31" s="1"/>
  <c r="AL164" i="31"/>
  <c r="AM164" i="31" s="1"/>
  <c r="AO164" i="31" s="1"/>
  <c r="AN164" i="31"/>
  <c r="AL266" i="31"/>
  <c r="AM266" i="31" s="1"/>
  <c r="AO266" i="31" s="1"/>
  <c r="AN266" i="31"/>
  <c r="AN186" i="31"/>
  <c r="AL186" i="31"/>
  <c r="AM186" i="31" s="1"/>
  <c r="AO186" i="31" s="1"/>
  <c r="AN318" i="31"/>
  <c r="AL318" i="31"/>
  <c r="AM318" i="31" s="1"/>
  <c r="AO318" i="31" s="1"/>
  <c r="AN27" i="31"/>
  <c r="AL27" i="31"/>
  <c r="AM27" i="31" s="1"/>
  <c r="AO27" i="31" s="1"/>
  <c r="AL60" i="31"/>
  <c r="AM60" i="31" s="1"/>
  <c r="AO60" i="31" s="1"/>
  <c r="AN60" i="31"/>
  <c r="AN421" i="31"/>
  <c r="AL421" i="31"/>
  <c r="AM421" i="31" s="1"/>
  <c r="AO421" i="31" s="1"/>
  <c r="AL239" i="31"/>
  <c r="AM239" i="31" s="1"/>
  <c r="AO239" i="31" s="1"/>
  <c r="AN239" i="31"/>
  <c r="AL451" i="31"/>
  <c r="AM451" i="31" s="1"/>
  <c r="AO451" i="31" s="1"/>
  <c r="AN451" i="31"/>
  <c r="AN147" i="31"/>
  <c r="AL147" i="31"/>
  <c r="AM147" i="31" s="1"/>
  <c r="AO147" i="31" s="1"/>
  <c r="AN138" i="31"/>
  <c r="AL138" i="31"/>
  <c r="AM138" i="31" s="1"/>
  <c r="AO138" i="31" s="1"/>
  <c r="AN52" i="31"/>
  <c r="AL52" i="31"/>
  <c r="AM52" i="31" s="1"/>
  <c r="AO52" i="31" s="1"/>
  <c r="AN78" i="31"/>
  <c r="AL78" i="31"/>
  <c r="AM78" i="31" s="1"/>
  <c r="AO78" i="31" s="1"/>
  <c r="AL156" i="31"/>
  <c r="AM156" i="31" s="1"/>
  <c r="AO156" i="31" s="1"/>
  <c r="AN156" i="31"/>
  <c r="AL436" i="31"/>
  <c r="AM436" i="31" s="1"/>
  <c r="AO436" i="31" s="1"/>
  <c r="AN436" i="31"/>
  <c r="AN533" i="31"/>
  <c r="AL533" i="31"/>
  <c r="AM533" i="31" s="1"/>
  <c r="AO533" i="31" s="1"/>
  <c r="AL523" i="31"/>
  <c r="AM523" i="31" s="1"/>
  <c r="AO523" i="31" s="1"/>
  <c r="AN523" i="31"/>
  <c r="AL125" i="31"/>
  <c r="AM125" i="31" s="1"/>
  <c r="AO125" i="31" s="1"/>
  <c r="AN125" i="31"/>
  <c r="AN12" i="31"/>
  <c r="AL12" i="31"/>
  <c r="AM12" i="31" s="1"/>
  <c r="AO12" i="31" s="1"/>
  <c r="AN76" i="31"/>
  <c r="AL76" i="31"/>
  <c r="AM76" i="31" s="1"/>
  <c r="AO76" i="31" s="1"/>
  <c r="AN637" i="31"/>
  <c r="AL637" i="31"/>
  <c r="AM637" i="31" s="1"/>
  <c r="AO637" i="31" s="1"/>
  <c r="AN87" i="31"/>
  <c r="AL87" i="31"/>
  <c r="AM87" i="31" s="1"/>
  <c r="AO87" i="31" s="1"/>
  <c r="AL190" i="31"/>
  <c r="AM190" i="31" s="1"/>
  <c r="AO190" i="31" s="1"/>
  <c r="AN190" i="31"/>
  <c r="AN209" i="31"/>
  <c r="AL209" i="31"/>
  <c r="AM209" i="31" s="1"/>
  <c r="AO209" i="31" s="1"/>
  <c r="AL254" i="31"/>
  <c r="AM254" i="31" s="1"/>
  <c r="AO254" i="31" s="1"/>
  <c r="AN254" i="31"/>
  <c r="AN193" i="31"/>
  <c r="AL193" i="31"/>
  <c r="AM193" i="31" s="1"/>
  <c r="AO193" i="31" s="1"/>
  <c r="AN363" i="31"/>
  <c r="AL363" i="31"/>
  <c r="AM363" i="31" s="1"/>
  <c r="AO363" i="31" s="1"/>
  <c r="AN189" i="31"/>
  <c r="AL189" i="31"/>
  <c r="AM189" i="31" s="1"/>
  <c r="AO189" i="31" s="1"/>
  <c r="AL167" i="31"/>
  <c r="AM167" i="31" s="1"/>
  <c r="AO167" i="31" s="1"/>
  <c r="AN167" i="31"/>
  <c r="AN210" i="31"/>
  <c r="AL210" i="31"/>
  <c r="AM210" i="31" s="1"/>
  <c r="AO210" i="31" s="1"/>
  <c r="AL320" i="31"/>
  <c r="AM320" i="31" s="1"/>
  <c r="AO320" i="31" s="1"/>
  <c r="AN320" i="31"/>
  <c r="AN600" i="31"/>
  <c r="AL600" i="31"/>
  <c r="AM600" i="31" s="1"/>
  <c r="AO600" i="31" s="1"/>
  <c r="AL604" i="31"/>
  <c r="AM604" i="31" s="1"/>
  <c r="AO604" i="31" s="1"/>
  <c r="AN604" i="31"/>
  <c r="AL636" i="31"/>
  <c r="AM636" i="31" s="1"/>
  <c r="AO636" i="31" s="1"/>
  <c r="AN636" i="31"/>
  <c r="AN601" i="31"/>
  <c r="AL601" i="31"/>
  <c r="AM601" i="31" s="1"/>
  <c r="AO601" i="31" s="1"/>
  <c r="AN298" i="31"/>
  <c r="AL298" i="31"/>
  <c r="AM298" i="31" s="1"/>
  <c r="AO298" i="31" s="1"/>
  <c r="AL296" i="31"/>
  <c r="AM296" i="31" s="1"/>
  <c r="AO296" i="31" s="1"/>
  <c r="AN296" i="31"/>
  <c r="AN432" i="31"/>
  <c r="AL432" i="31"/>
  <c r="AM432" i="31" s="1"/>
  <c r="AO432" i="31" s="1"/>
  <c r="AN139" i="31"/>
  <c r="AL139" i="31"/>
  <c r="AM139" i="31" s="1"/>
  <c r="AO139" i="31" s="1"/>
  <c r="AL109" i="31"/>
  <c r="AM109" i="31" s="1"/>
  <c r="AO109" i="31" s="1"/>
  <c r="AN109" i="31"/>
  <c r="AN591" i="31"/>
  <c r="AL591" i="31"/>
  <c r="AM591" i="31" s="1"/>
  <c r="AO591" i="31" s="1"/>
  <c r="AN511" i="31"/>
  <c r="AL511" i="31"/>
  <c r="AM511" i="31" s="1"/>
  <c r="AO511" i="31" s="1"/>
  <c r="AN467" i="31"/>
  <c r="AL467" i="31"/>
  <c r="AM467" i="31" s="1"/>
  <c r="AO467" i="31" s="1"/>
  <c r="AL104" i="31"/>
  <c r="AM104" i="31" s="1"/>
  <c r="AO104" i="31" s="1"/>
  <c r="AN104" i="31"/>
  <c r="AN241" i="31"/>
  <c r="AL241" i="31"/>
  <c r="AM241" i="31" s="1"/>
  <c r="AO241" i="31" s="1"/>
  <c r="AN255" i="31"/>
  <c r="AL255" i="31"/>
  <c r="AM255" i="31" s="1"/>
  <c r="AO255" i="31" s="1"/>
  <c r="AN423" i="31"/>
  <c r="AL423" i="31"/>
  <c r="AM423" i="31" s="1"/>
  <c r="AO423" i="31" s="1"/>
  <c r="AL668" i="31"/>
  <c r="AM668" i="31" s="1"/>
  <c r="AO668" i="31" s="1"/>
  <c r="AN668" i="31"/>
  <c r="AN143" i="31"/>
  <c r="AL143" i="31"/>
  <c r="AM143" i="31" s="1"/>
  <c r="AO143" i="31" s="1"/>
  <c r="AN351" i="31"/>
  <c r="AL351" i="31"/>
  <c r="AM351" i="31" s="1"/>
  <c r="AO351" i="31" s="1"/>
  <c r="AN454" i="31"/>
  <c r="AL454" i="31"/>
  <c r="AM454" i="31" s="1"/>
  <c r="AO454" i="31" s="1"/>
  <c r="AL456" i="31"/>
  <c r="AM456" i="31" s="1"/>
  <c r="AO456" i="31" s="1"/>
  <c r="AN456" i="31"/>
  <c r="AL84" i="31"/>
  <c r="AM84" i="31" s="1"/>
  <c r="AO84" i="31" s="1"/>
  <c r="AN84" i="31"/>
  <c r="AN20" i="31"/>
  <c r="AL20" i="31"/>
  <c r="AM20" i="31" s="1"/>
  <c r="AO20" i="31" s="1"/>
  <c r="AN154" i="31"/>
  <c r="AL154" i="31"/>
  <c r="AM154" i="31" s="1"/>
  <c r="AO154" i="31" s="1"/>
  <c r="AN592" i="31"/>
  <c r="AL592" i="31"/>
  <c r="AM592" i="31" s="1"/>
  <c r="AO592" i="31" s="1"/>
  <c r="AL446" i="31"/>
  <c r="AM446" i="31" s="1"/>
  <c r="AO446" i="31" s="1"/>
  <c r="AN446" i="31"/>
  <c r="AL98" i="31"/>
  <c r="AM98" i="31" s="1"/>
  <c r="AO98" i="31" s="1"/>
  <c r="AN98" i="31"/>
  <c r="AN430" i="31"/>
  <c r="AL430" i="31"/>
  <c r="AM430" i="31" s="1"/>
  <c r="AO430" i="31" s="1"/>
  <c r="AL182" i="31"/>
  <c r="AM182" i="31" s="1"/>
  <c r="AO182" i="31" s="1"/>
  <c r="AN182" i="31"/>
  <c r="AL242" i="31"/>
  <c r="AM242" i="31" s="1"/>
  <c r="AO242" i="31" s="1"/>
  <c r="AN242" i="31"/>
  <c r="AN558" i="31"/>
  <c r="AL558" i="31"/>
  <c r="AM558" i="31" s="1"/>
  <c r="AO558" i="31" s="1"/>
  <c r="AN376" i="31"/>
  <c r="AL376" i="31"/>
  <c r="AM376" i="31" s="1"/>
  <c r="AO376" i="31" s="1"/>
  <c r="AN289" i="31"/>
  <c r="AL289" i="31"/>
  <c r="AM289" i="31" s="1"/>
  <c r="AO289" i="31" s="1"/>
  <c r="AL428" i="31"/>
  <c r="AM428" i="31" s="1"/>
  <c r="AO428" i="31" s="1"/>
  <c r="AN428" i="31"/>
  <c r="AN562" i="31"/>
  <c r="AL562" i="31"/>
  <c r="AM562" i="31" s="1"/>
  <c r="AO562" i="31" s="1"/>
  <c r="AN573" i="31"/>
  <c r="AL573" i="31"/>
  <c r="AM573" i="31" s="1"/>
  <c r="AO573" i="31" s="1"/>
  <c r="AL434" i="31"/>
  <c r="AM434" i="31" s="1"/>
  <c r="AO434" i="31" s="1"/>
  <c r="AN434" i="31"/>
  <c r="AN372" i="31"/>
  <c r="AL372" i="31"/>
  <c r="AM372" i="31" s="1"/>
  <c r="AO372" i="31" s="1"/>
  <c r="AN227" i="31"/>
  <c r="AL227" i="31"/>
  <c r="AM227" i="31" s="1"/>
  <c r="AO227" i="31" s="1"/>
  <c r="AN550" i="31"/>
  <c r="AL550" i="31"/>
  <c r="AM550" i="31" s="1"/>
  <c r="AO550" i="31" s="1"/>
  <c r="AN412" i="31"/>
  <c r="AL412" i="31"/>
  <c r="AM412" i="31" s="1"/>
  <c r="AO412" i="31" s="1"/>
  <c r="AN516" i="31"/>
  <c r="AL516" i="31"/>
  <c r="AM516" i="31" s="1"/>
  <c r="AO516" i="31" s="1"/>
  <c r="AN402" i="31"/>
  <c r="AL402" i="31"/>
  <c r="AM402" i="31" s="1"/>
  <c r="AO402" i="31" s="1"/>
  <c r="AL553" i="31"/>
  <c r="AM553" i="31" s="1"/>
  <c r="AO553" i="31" s="1"/>
  <c r="AN553" i="31"/>
  <c r="AL548" i="31"/>
  <c r="AM548" i="31" s="1"/>
  <c r="AO548" i="31" s="1"/>
  <c r="AN548" i="31"/>
  <c r="AL355" i="31"/>
  <c r="AM355" i="31" s="1"/>
  <c r="AO355" i="31" s="1"/>
  <c r="AN355" i="31"/>
  <c r="AN290" i="31"/>
  <c r="AL290" i="31"/>
  <c r="AM290" i="31" s="1"/>
  <c r="AO290" i="31" s="1"/>
  <c r="AN100" i="31"/>
  <c r="AL100" i="31"/>
  <c r="AM100" i="31" s="1"/>
  <c r="AO100" i="31" s="1"/>
  <c r="AL521" i="31"/>
  <c r="AM521" i="31" s="1"/>
  <c r="AO521" i="31" s="1"/>
  <c r="AN521" i="31"/>
  <c r="AN390" i="31"/>
  <c r="AL390" i="31"/>
  <c r="AM390" i="31" s="1"/>
  <c r="AO390" i="31" s="1"/>
  <c r="AL74" i="31"/>
  <c r="AM74" i="31" s="1"/>
  <c r="AO74" i="31" s="1"/>
  <c r="AN74" i="31"/>
  <c r="AL101" i="31"/>
  <c r="AM101" i="31" s="1"/>
  <c r="AO101" i="31" s="1"/>
  <c r="AN101" i="31"/>
  <c r="AL155" i="31"/>
  <c r="AM155" i="31" s="1"/>
  <c r="AO155" i="31" s="1"/>
  <c r="AN155" i="31"/>
  <c r="AL38" i="31"/>
  <c r="AM38" i="31" s="1"/>
  <c r="AO38" i="31" s="1"/>
  <c r="AN38" i="31"/>
  <c r="AN181" i="31"/>
  <c r="AL181" i="31"/>
  <c r="AM181" i="31" s="1"/>
  <c r="AO181" i="31" s="1"/>
  <c r="AN176" i="31"/>
  <c r="AL176" i="31"/>
  <c r="AM176" i="31" s="1"/>
  <c r="AO176" i="31" s="1"/>
  <c r="AN473" i="31"/>
  <c r="AL473" i="31"/>
  <c r="AM473" i="31" s="1"/>
  <c r="AO473" i="31" s="1"/>
  <c r="AN321" i="31"/>
  <c r="AL321" i="31"/>
  <c r="AM321" i="31" s="1"/>
  <c r="AO321" i="31" s="1"/>
  <c r="AN316" i="31"/>
  <c r="AL316" i="31"/>
  <c r="AM316" i="31" s="1"/>
  <c r="AO316" i="31" s="1"/>
  <c r="AN230" i="31"/>
  <c r="AL230" i="31"/>
  <c r="AM230" i="31" s="1"/>
  <c r="AO230" i="31" s="1"/>
  <c r="AN119" i="31"/>
  <c r="AL119" i="31"/>
  <c r="AM119" i="31" s="1"/>
  <c r="AO119" i="31" s="1"/>
  <c r="AN505" i="31"/>
  <c r="AL505" i="31"/>
  <c r="AM505" i="31" s="1"/>
  <c r="AO505" i="31" s="1"/>
  <c r="AL501" i="31"/>
  <c r="AM501" i="31" s="1"/>
  <c r="AO501" i="31" s="1"/>
  <c r="AN501" i="31"/>
  <c r="AN486" i="31"/>
  <c r="AL486" i="31"/>
  <c r="AM486" i="31" s="1"/>
  <c r="AO486" i="31" s="1"/>
  <c r="AN596" i="31"/>
  <c r="AL596" i="31"/>
  <c r="AM596" i="31" s="1"/>
  <c r="AO596" i="31" s="1"/>
  <c r="AN51" i="31"/>
  <c r="AL51" i="31"/>
  <c r="AM51" i="31" s="1"/>
  <c r="AO51" i="31" s="1"/>
  <c r="AN29" i="31"/>
  <c r="AL29" i="31"/>
  <c r="AM29" i="31" s="1"/>
  <c r="AO29" i="31" s="1"/>
  <c r="AN597" i="31"/>
  <c r="AL597" i="31"/>
  <c r="AM597" i="31" s="1"/>
  <c r="AO597" i="31" s="1"/>
  <c r="AL86" i="31"/>
  <c r="AM86" i="31" s="1"/>
  <c r="AO86" i="31" s="1"/>
  <c r="AN86" i="31"/>
  <c r="AN656" i="31"/>
  <c r="AL656" i="31"/>
  <c r="AM656" i="31" s="1"/>
  <c r="AO656" i="31" s="1"/>
  <c r="AN157" i="31"/>
  <c r="AL157" i="31"/>
  <c r="AM157" i="31" s="1"/>
  <c r="AO157" i="31" s="1"/>
  <c r="AL152" i="31"/>
  <c r="AM152" i="31" s="1"/>
  <c r="AO152" i="31" s="1"/>
  <c r="AN152" i="31"/>
  <c r="AN327" i="31"/>
  <c r="AL327" i="31"/>
  <c r="AM327" i="31" s="1"/>
  <c r="AO327" i="31" s="1"/>
  <c r="AN305" i="31"/>
  <c r="AL305" i="31"/>
  <c r="AM305" i="31" s="1"/>
  <c r="AO305" i="31" s="1"/>
  <c r="AL144" i="31"/>
  <c r="AM144" i="31" s="1"/>
  <c r="AO144" i="31" s="1"/>
  <c r="AN144" i="31"/>
  <c r="AN153" i="31"/>
  <c r="AL153" i="31"/>
  <c r="AM153" i="31" s="1"/>
  <c r="AO153" i="31" s="1"/>
  <c r="AN292" i="31"/>
  <c r="AL292" i="31"/>
  <c r="AM292" i="31" s="1"/>
  <c r="AO292" i="31" s="1"/>
  <c r="AN646" i="31"/>
  <c r="AL646" i="31"/>
  <c r="AM646" i="31" s="1"/>
  <c r="AO646" i="31" s="1"/>
  <c r="AN246" i="31"/>
  <c r="AL246" i="31"/>
  <c r="AM246" i="31" s="1"/>
  <c r="AO246" i="31" s="1"/>
  <c r="AL350" i="31"/>
  <c r="AM350" i="31" s="1"/>
  <c r="AO350" i="31" s="1"/>
  <c r="AN350" i="31"/>
  <c r="AN174" i="31"/>
  <c r="AL174" i="31"/>
  <c r="AM174" i="31" s="1"/>
  <c r="AO174" i="31" s="1"/>
  <c r="AN459" i="31"/>
  <c r="AL459" i="31"/>
  <c r="AM459" i="31" s="1"/>
  <c r="AO459" i="31" s="1"/>
  <c r="AN564" i="31"/>
  <c r="AL564" i="31"/>
  <c r="AM564" i="31" s="1"/>
  <c r="AO564" i="31" s="1"/>
  <c r="AN424" i="31"/>
  <c r="AL424" i="31"/>
  <c r="AM424" i="31" s="1"/>
  <c r="AO424" i="31" s="1"/>
  <c r="AN401" i="31"/>
  <c r="AL401" i="31"/>
  <c r="AM401" i="31" s="1"/>
  <c r="AO401" i="31" s="1"/>
  <c r="AN111" i="31"/>
  <c r="AL111" i="31"/>
  <c r="AM111" i="31" s="1"/>
  <c r="AO111" i="31" s="1"/>
  <c r="AL416" i="31"/>
  <c r="AM416" i="31" s="1"/>
  <c r="AO416" i="31" s="1"/>
  <c r="AN416" i="31"/>
  <c r="AL552" i="31"/>
  <c r="AM552" i="31" s="1"/>
  <c r="AO552" i="31" s="1"/>
  <c r="AN552" i="31"/>
  <c r="AN417" i="31"/>
  <c r="AL417" i="31"/>
  <c r="AM417" i="31" s="1"/>
  <c r="AO417" i="31" s="1"/>
  <c r="AN359" i="31"/>
  <c r="AL359" i="31"/>
  <c r="AM359" i="31" s="1"/>
  <c r="AO359" i="31" s="1"/>
  <c r="AL19" i="31"/>
  <c r="AM19" i="31" s="1"/>
  <c r="AO19" i="31" s="1"/>
  <c r="AN19" i="31"/>
  <c r="AL545" i="31"/>
  <c r="AM545" i="31" s="1"/>
  <c r="AO545" i="31" s="1"/>
  <c r="AN545" i="31"/>
  <c r="AN365" i="31"/>
  <c r="AL365" i="31"/>
  <c r="AM365" i="31" s="1"/>
  <c r="AO365" i="31" s="1"/>
  <c r="AN438" i="31"/>
  <c r="AL438" i="31"/>
  <c r="AM438" i="31" s="1"/>
  <c r="AO438" i="31" s="1"/>
  <c r="AN579" i="31"/>
  <c r="AL579" i="31"/>
  <c r="AM579" i="31" s="1"/>
  <c r="AO579" i="31" s="1"/>
  <c r="AN538" i="31"/>
  <c r="AL538" i="31"/>
  <c r="AM538" i="31" s="1"/>
  <c r="AO538" i="31" s="1"/>
  <c r="AN475" i="31"/>
  <c r="AL475" i="31"/>
  <c r="AM475" i="31" s="1"/>
  <c r="AO475" i="31" s="1"/>
  <c r="AN544" i="31"/>
  <c r="AL544" i="31"/>
  <c r="AM544" i="31" s="1"/>
  <c r="AO544" i="31" s="1"/>
  <c r="AL191" i="31"/>
  <c r="AM191" i="31" s="1"/>
  <c r="AO191" i="31" s="1"/>
  <c r="AN191" i="31"/>
  <c r="AL536" i="31"/>
  <c r="AM536" i="31" s="1"/>
  <c r="AO536" i="31" s="1"/>
  <c r="AN536" i="31"/>
  <c r="AN238" i="31"/>
  <c r="AL238" i="31"/>
  <c r="AM238" i="31" s="1"/>
  <c r="AO238" i="31" s="1"/>
  <c r="AL368" i="31"/>
  <c r="AM368" i="31" s="1"/>
  <c r="AO368" i="31" s="1"/>
  <c r="AN368" i="31"/>
  <c r="AN77" i="31"/>
  <c r="AL77" i="31"/>
  <c r="AM77" i="31" s="1"/>
  <c r="AO77" i="31" s="1"/>
  <c r="AN83" i="31"/>
  <c r="AL83" i="31"/>
  <c r="AM83" i="31" s="1"/>
  <c r="AO83" i="31" s="1"/>
  <c r="AN85" i="31"/>
  <c r="AL85" i="31"/>
  <c r="AM85" i="31" s="1"/>
  <c r="AO85" i="31" s="1"/>
  <c r="AN312" i="31"/>
  <c r="AL312" i="31"/>
  <c r="AM312" i="31" s="1"/>
  <c r="AO312" i="31" s="1"/>
  <c r="AN662" i="31"/>
  <c r="AL662" i="31"/>
  <c r="AM662" i="31" s="1"/>
  <c r="AO662" i="31" s="1"/>
  <c r="AL331" i="31"/>
  <c r="AM331" i="31" s="1"/>
  <c r="AO331" i="31" s="1"/>
  <c r="AN331" i="31"/>
  <c r="AN457" i="31"/>
  <c r="AL457" i="31"/>
  <c r="AM457" i="31" s="1"/>
  <c r="AO457" i="31" s="1"/>
  <c r="AN10" i="31"/>
  <c r="AL10" i="31"/>
  <c r="AM10" i="31" s="1"/>
  <c r="AO10" i="31" s="1"/>
  <c r="AN448" i="31"/>
  <c r="AL448" i="31"/>
  <c r="AM448" i="31" s="1"/>
  <c r="AO448" i="31" s="1"/>
  <c r="AN443" i="31"/>
  <c r="AL443" i="31"/>
  <c r="AM443" i="31" s="1"/>
  <c r="AO443" i="31" s="1"/>
  <c r="AN71" i="31"/>
  <c r="AL71" i="31"/>
  <c r="AM71" i="31" s="1"/>
  <c r="AO71" i="31" s="1"/>
  <c r="AN626" i="31"/>
  <c r="AL626" i="31"/>
  <c r="AM626" i="31" s="1"/>
  <c r="AO626" i="31" s="1"/>
  <c r="AN42" i="31"/>
  <c r="AL42" i="31"/>
  <c r="AM42" i="31" s="1"/>
  <c r="AO42" i="31" s="1"/>
  <c r="AL50" i="31"/>
  <c r="AM50" i="31" s="1"/>
  <c r="AO50" i="31" s="1"/>
  <c r="AN50" i="31"/>
  <c r="AL158" i="31"/>
  <c r="AM158" i="31" s="1"/>
  <c r="AO158" i="31" s="1"/>
  <c r="AN158" i="31"/>
  <c r="AL581" i="31"/>
  <c r="AM581" i="31" s="1"/>
  <c r="AO581" i="31" s="1"/>
  <c r="AN581" i="31"/>
  <c r="AN429" i="31"/>
  <c r="AL429" i="31"/>
  <c r="AM429" i="31" s="1"/>
  <c r="AO429" i="31" s="1"/>
  <c r="AL431" i="31"/>
  <c r="AM431" i="31" s="1"/>
  <c r="AO431" i="31" s="1"/>
  <c r="AN431" i="31"/>
  <c r="AL163" i="31"/>
  <c r="AM163" i="31" s="1"/>
  <c r="AO163" i="31" s="1"/>
  <c r="AN163" i="31"/>
  <c r="AL414" i="31"/>
  <c r="AM414" i="31" s="1"/>
  <c r="AO414" i="31" s="1"/>
  <c r="AN414" i="31"/>
  <c r="AN93" i="31"/>
  <c r="AL93" i="31"/>
  <c r="AM93" i="31" s="1"/>
  <c r="AO93" i="31" s="1"/>
  <c r="AL534" i="31"/>
  <c r="AM534" i="31" s="1"/>
  <c r="AO534" i="31" s="1"/>
  <c r="AN534" i="31"/>
  <c r="AN551" i="31"/>
  <c r="AL551" i="31"/>
  <c r="AM551" i="31" s="1"/>
  <c r="AO551" i="31" s="1"/>
  <c r="AN162" i="31"/>
  <c r="AL162" i="31"/>
  <c r="AM162" i="31" s="1"/>
  <c r="AO162" i="31" s="1"/>
  <c r="AN277" i="31"/>
  <c r="AL277" i="31"/>
  <c r="AM277" i="31" s="1"/>
  <c r="AO277" i="31" s="1"/>
  <c r="AN447" i="31"/>
  <c r="AL447" i="31"/>
  <c r="AM447" i="31" s="1"/>
  <c r="AO447" i="31" s="1"/>
  <c r="AL569" i="31"/>
  <c r="AM569" i="31" s="1"/>
  <c r="AO569" i="31" s="1"/>
  <c r="AN569" i="31"/>
  <c r="AN126" i="31"/>
  <c r="AL126" i="31"/>
  <c r="AM126" i="31" s="1"/>
  <c r="AO126" i="31" s="1"/>
  <c r="AN525" i="31"/>
  <c r="AL525" i="31"/>
  <c r="AM525" i="31" s="1"/>
  <c r="AO525" i="31" s="1"/>
  <c r="AN80" i="31"/>
  <c r="AL80" i="31"/>
  <c r="AM80" i="31" s="1"/>
  <c r="AO80" i="31" s="1"/>
  <c r="AN575" i="31"/>
  <c r="AL575" i="31"/>
  <c r="AM575" i="31" s="1"/>
  <c r="AO575" i="31" s="1"/>
  <c r="AN549" i="31"/>
  <c r="AL549" i="31"/>
  <c r="AM549" i="31" s="1"/>
  <c r="AO549" i="31" s="1"/>
  <c r="AN287" i="31"/>
  <c r="AL287" i="31"/>
  <c r="AM287" i="31" s="1"/>
  <c r="AO287" i="31" s="1"/>
  <c r="AN614" i="31"/>
  <c r="AL614" i="31"/>
  <c r="AM614" i="31" s="1"/>
  <c r="AO614" i="31" s="1"/>
  <c r="AL382" i="31"/>
  <c r="AM382" i="31" s="1"/>
  <c r="AO382" i="31" s="1"/>
  <c r="AN382" i="31"/>
  <c r="AN555" i="31"/>
  <c r="AL555" i="31"/>
  <c r="AM555" i="31" s="1"/>
  <c r="AO555" i="31" s="1"/>
  <c r="AN369" i="31"/>
  <c r="AL369" i="31"/>
  <c r="AM369" i="31" s="1"/>
  <c r="AO369" i="31" s="1"/>
  <c r="AN570" i="31"/>
  <c r="AL570" i="31"/>
  <c r="AM570" i="31" s="1"/>
  <c r="AO570" i="31" s="1"/>
  <c r="AN541" i="31"/>
  <c r="AL541" i="31"/>
  <c r="AM541" i="31" s="1"/>
  <c r="AO541" i="31" s="1"/>
  <c r="AN279" i="31"/>
  <c r="AL279" i="31"/>
  <c r="AM279" i="31" s="1"/>
  <c r="AO279" i="31" s="1"/>
  <c r="AN381" i="31"/>
  <c r="AL381" i="31"/>
  <c r="AM381" i="31" s="1"/>
  <c r="AO381" i="31" s="1"/>
  <c r="AN361" i="31"/>
  <c r="AL361" i="31"/>
  <c r="AM361" i="31" s="1"/>
  <c r="AO361" i="31" s="1"/>
  <c r="AN40" i="31"/>
  <c r="AL40" i="31"/>
  <c r="AM40" i="31" s="1"/>
  <c r="AO40" i="31" s="1"/>
  <c r="AN223" i="31"/>
  <c r="AL223" i="31"/>
  <c r="AM223" i="31" s="1"/>
  <c r="AO223" i="31" s="1"/>
  <c r="AN642" i="31"/>
  <c r="AL642" i="31"/>
  <c r="AM642" i="31" s="1"/>
  <c r="AO642" i="31" s="1"/>
  <c r="AL66" i="31"/>
  <c r="AM66" i="31" s="1"/>
  <c r="AO66" i="31" s="1"/>
  <c r="AN66" i="31"/>
  <c r="AN37" i="31"/>
  <c r="AL37" i="31"/>
  <c r="AM37" i="31" s="1"/>
  <c r="AO37" i="31" s="1"/>
  <c r="AL32" i="31"/>
  <c r="AM32" i="31" s="1"/>
  <c r="AO32" i="31" s="1"/>
  <c r="AN32" i="31"/>
  <c r="AN207" i="31"/>
  <c r="AL207" i="31"/>
  <c r="AM207" i="31" s="1"/>
  <c r="AO207" i="31" s="1"/>
  <c r="AN310" i="31"/>
  <c r="AL310" i="31"/>
  <c r="AM310" i="31" s="1"/>
  <c r="AO310" i="31" s="1"/>
  <c r="AN329" i="31"/>
  <c r="AL329" i="31"/>
  <c r="AM329" i="31" s="1"/>
  <c r="AO329" i="31" s="1"/>
  <c r="AN177" i="31"/>
  <c r="AL177" i="31"/>
  <c r="AM177" i="31" s="1"/>
  <c r="AO177" i="31" s="1"/>
  <c r="AN146" i="31"/>
  <c r="AL146" i="31"/>
  <c r="AM146" i="31" s="1"/>
  <c r="AO146" i="31" s="1"/>
  <c r="AN554" i="31"/>
  <c r="AL554" i="31"/>
  <c r="AM554" i="31" s="1"/>
  <c r="AO554" i="31" s="1"/>
  <c r="AN520" i="31"/>
  <c r="AL520" i="31"/>
  <c r="AM520" i="31" s="1"/>
  <c r="AO520" i="31" s="1"/>
  <c r="AN212" i="31"/>
  <c r="AL212" i="31"/>
  <c r="AM212" i="31" s="1"/>
  <c r="AO212" i="31" s="1"/>
  <c r="AN342" i="31"/>
  <c r="AL342" i="31"/>
  <c r="AM342" i="31" s="1"/>
  <c r="AO342" i="31" s="1"/>
  <c r="AL627" i="31"/>
  <c r="AM627" i="31" s="1"/>
  <c r="AO627" i="31" s="1"/>
  <c r="AN627" i="31"/>
  <c r="AN588" i="31"/>
  <c r="AL588" i="31"/>
  <c r="AM588" i="31" s="1"/>
  <c r="AO588" i="31" s="1"/>
  <c r="AN453" i="31"/>
  <c r="AL453" i="31"/>
  <c r="AM453" i="31" s="1"/>
  <c r="AO453" i="31" s="1"/>
  <c r="AL307" i="31"/>
  <c r="AM307" i="31" s="1"/>
  <c r="AO307" i="31" s="1"/>
  <c r="AN307" i="31"/>
  <c r="AL102" i="31"/>
  <c r="AM102" i="31" s="1"/>
  <c r="AO102" i="31" s="1"/>
  <c r="AN102" i="31"/>
  <c r="AN13" i="31"/>
  <c r="AL13" i="31"/>
  <c r="AM13" i="31" s="1"/>
  <c r="AO13" i="31" s="1"/>
  <c r="AN286" i="31"/>
  <c r="AL286" i="31"/>
  <c r="AM286" i="31" s="1"/>
  <c r="AO286" i="31" s="1"/>
  <c r="AN161" i="31"/>
  <c r="AL161" i="31"/>
  <c r="AM161" i="31" s="1"/>
  <c r="AO161" i="31" s="1"/>
  <c r="AL524" i="31"/>
  <c r="AM524" i="31" s="1"/>
  <c r="AO524" i="31" s="1"/>
  <c r="AN524" i="31"/>
  <c r="AL55" i="31"/>
  <c r="AM55" i="31" s="1"/>
  <c r="AO55" i="31" s="1"/>
  <c r="AN55" i="31"/>
  <c r="AN233" i="31"/>
  <c r="AL233" i="31"/>
  <c r="AM233" i="31" s="1"/>
  <c r="AO233" i="31" s="1"/>
  <c r="AL145" i="31"/>
  <c r="AM145" i="31" s="1"/>
  <c r="AO145" i="31" s="1"/>
  <c r="AN145" i="31"/>
  <c r="AL284" i="31"/>
  <c r="AM284" i="31" s="1"/>
  <c r="AO284" i="31" s="1"/>
  <c r="AN284" i="31"/>
  <c r="AN418" i="31"/>
  <c r="AL418" i="31"/>
  <c r="AM418" i="31" s="1"/>
  <c r="AO418" i="31" s="1"/>
  <c r="AN420" i="31"/>
  <c r="AL420" i="31"/>
  <c r="AM420" i="31" s="1"/>
  <c r="AO420" i="31" s="1"/>
  <c r="AN528" i="31"/>
  <c r="AL528" i="31"/>
  <c r="AM528" i="31" s="1"/>
  <c r="AO528" i="31" s="1"/>
  <c r="AN406" i="31"/>
  <c r="AL406" i="31"/>
  <c r="AM406" i="31" s="1"/>
  <c r="AO406" i="31" s="1"/>
  <c r="AL408" i="31"/>
  <c r="AM408" i="31" s="1"/>
  <c r="AO408" i="31" s="1"/>
  <c r="AN408" i="31"/>
  <c r="AN273" i="31"/>
  <c r="AL273" i="31"/>
  <c r="AM273" i="31" s="1"/>
  <c r="AO273" i="31" s="1"/>
  <c r="AN268" i="31"/>
  <c r="AL268" i="31"/>
  <c r="AM268" i="31" s="1"/>
  <c r="AO268" i="31" s="1"/>
  <c r="AL134" i="31"/>
  <c r="AM134" i="31" s="1"/>
  <c r="AO134" i="31" s="1"/>
  <c r="AN134" i="31"/>
  <c r="AN203" i="31"/>
  <c r="AL203" i="31"/>
  <c r="AM203" i="31" s="1"/>
  <c r="AO203" i="31" s="1"/>
  <c r="AN384" i="31"/>
  <c r="AL384" i="31"/>
  <c r="AM384" i="31" s="1"/>
  <c r="AO384" i="31" s="1"/>
  <c r="AL294" i="31"/>
  <c r="AM294" i="31" s="1"/>
  <c r="AO294" i="31" s="1"/>
  <c r="AN294" i="31"/>
  <c r="AN409" i="31"/>
  <c r="AL409" i="31"/>
  <c r="AM409" i="31" s="1"/>
  <c r="AO409" i="31" s="1"/>
  <c r="AN404" i="31"/>
  <c r="AL404" i="31"/>
  <c r="AM404" i="31" s="1"/>
  <c r="AO404" i="31" s="1"/>
  <c r="AL557" i="31"/>
  <c r="AM557" i="31" s="1"/>
  <c r="AO557" i="31" s="1"/>
  <c r="AN557" i="31"/>
  <c r="AL540" i="31"/>
  <c r="AM540" i="31" s="1"/>
  <c r="AO540" i="31" s="1"/>
  <c r="AN540" i="31"/>
  <c r="AN400" i="31"/>
  <c r="AL400" i="31"/>
  <c r="AM400" i="31" s="1"/>
  <c r="AO400" i="31" s="1"/>
  <c r="AN347" i="31"/>
  <c r="AL347" i="31"/>
  <c r="AM347" i="31" s="1"/>
  <c r="AO347" i="31" s="1"/>
  <c r="AN258" i="31"/>
  <c r="AL258" i="31"/>
  <c r="AM258" i="31" s="1"/>
  <c r="AO258" i="31" s="1"/>
  <c r="AN500" i="31"/>
  <c r="AL500" i="31"/>
  <c r="AM500" i="31" s="1"/>
  <c r="AO500" i="31" s="1"/>
  <c r="AL392" i="31"/>
  <c r="AM392" i="31" s="1"/>
  <c r="AO392" i="31" s="1"/>
  <c r="AN392" i="31"/>
  <c r="AN113" i="31"/>
  <c r="AL113" i="31"/>
  <c r="AM113" i="31" s="1"/>
  <c r="AO113" i="31" s="1"/>
  <c r="AN348" i="31"/>
  <c r="AL348" i="31"/>
  <c r="AM348" i="31" s="1"/>
  <c r="AO348" i="31" s="1"/>
  <c r="AN168" i="31"/>
  <c r="AL168" i="31"/>
  <c r="AM168" i="31" s="1"/>
  <c r="AO168" i="31" s="1"/>
  <c r="AN172" i="31"/>
  <c r="AL172" i="31"/>
  <c r="AM172" i="31" s="1"/>
  <c r="AO172" i="31" s="1"/>
  <c r="AN496" i="31"/>
  <c r="AL496" i="31"/>
  <c r="AM496" i="31" s="1"/>
  <c r="AO496" i="31" s="1"/>
  <c r="AL452" i="31"/>
  <c r="AM452" i="31" s="1"/>
  <c r="AO452" i="31" s="1"/>
  <c r="AN452" i="31"/>
  <c r="AN586" i="31"/>
  <c r="AL586" i="31"/>
  <c r="AM586" i="31" s="1"/>
  <c r="AO586" i="31" s="1"/>
  <c r="AL605" i="31"/>
  <c r="AM605" i="31" s="1"/>
  <c r="AO605" i="31" s="1"/>
  <c r="AN605" i="31"/>
  <c r="AN304" i="31"/>
  <c r="AL304" i="31"/>
  <c r="AM304" i="31" s="1"/>
  <c r="AO304" i="31" s="1"/>
  <c r="AN199" i="31"/>
  <c r="AL199" i="31"/>
  <c r="AM199" i="31" s="1"/>
  <c r="AO199" i="31" s="1"/>
  <c r="AL543" i="31"/>
  <c r="AM543" i="31" s="1"/>
  <c r="AO543" i="31" s="1"/>
  <c r="AN543" i="31"/>
  <c r="AN618" i="31"/>
  <c r="AL618" i="31"/>
  <c r="AM618" i="31" s="1"/>
  <c r="AO618" i="31" s="1"/>
  <c r="AN589" i="31"/>
  <c r="AL589" i="31"/>
  <c r="AM589" i="31" s="1"/>
  <c r="AO589" i="31" s="1"/>
  <c r="AN655" i="31"/>
  <c r="AL655" i="31"/>
  <c r="AM655" i="31" s="1"/>
  <c r="AO655" i="31" s="1"/>
  <c r="AN183" i="31"/>
  <c r="AL183" i="31"/>
  <c r="AM183" i="31" s="1"/>
  <c r="AO183" i="31" s="1"/>
  <c r="AN667" i="31"/>
  <c r="AL667" i="31"/>
  <c r="AM667" i="31" s="1"/>
  <c r="AO667" i="31" s="1"/>
  <c r="AL9" i="31"/>
  <c r="AL148" i="31"/>
  <c r="AM148" i="31" s="1"/>
  <c r="AO148" i="31" s="1"/>
  <c r="AN148" i="31"/>
  <c r="AN302" i="31"/>
  <c r="AL302" i="31"/>
  <c r="AM302" i="31" s="1"/>
  <c r="AO302" i="31" s="1"/>
  <c r="AL343" i="31"/>
  <c r="AM343" i="31" s="1"/>
  <c r="AO343" i="31" s="1"/>
  <c r="AN343" i="31"/>
  <c r="AN387" i="31"/>
  <c r="AL387" i="31"/>
  <c r="AM387" i="31" s="1"/>
  <c r="AO387" i="31" s="1"/>
  <c r="AN323" i="31"/>
  <c r="AL323" i="31"/>
  <c r="AM323" i="31" s="1"/>
  <c r="AO323" i="31" s="1"/>
  <c r="AL30" i="31"/>
  <c r="AM30" i="31" s="1"/>
  <c r="AO30" i="31" s="1"/>
  <c r="AN30" i="31"/>
  <c r="AN315" i="31"/>
  <c r="AL315" i="31"/>
  <c r="AM315" i="31" s="1"/>
  <c r="AO315" i="31" s="1"/>
  <c r="AN437" i="31"/>
  <c r="AL437" i="31"/>
  <c r="AM437" i="31" s="1"/>
  <c r="AO437" i="31" s="1"/>
  <c r="AN285" i="31"/>
  <c r="AL285" i="31"/>
  <c r="AM285" i="31" s="1"/>
  <c r="AO285" i="31" s="1"/>
  <c r="AL280" i="31"/>
  <c r="AM280" i="31" s="1"/>
  <c r="AO280" i="31" s="1"/>
  <c r="AN280" i="31"/>
  <c r="AN151" i="31"/>
  <c r="AL151" i="31"/>
  <c r="AM151" i="31" s="1"/>
  <c r="AO151" i="31" s="1"/>
  <c r="AL97" i="31"/>
  <c r="AM97" i="31" s="1"/>
  <c r="AO97" i="31" s="1"/>
  <c r="AN97" i="31"/>
  <c r="AL587" i="31"/>
  <c r="AM587" i="31" s="1"/>
  <c r="AO587" i="31" s="1"/>
  <c r="AN587" i="31"/>
  <c r="AN214" i="31"/>
  <c r="AL214" i="31"/>
  <c r="AM214" i="31" s="1"/>
  <c r="AO214" i="31" s="1"/>
  <c r="AL356" i="31"/>
  <c r="AM356" i="31" s="1"/>
  <c r="AO356" i="31" s="1"/>
  <c r="AN356" i="31"/>
  <c r="AL271" i="31"/>
  <c r="AM271" i="31" s="1"/>
  <c r="AO271" i="31" s="1"/>
  <c r="AN271" i="31"/>
  <c r="AL272" i="31"/>
  <c r="AM272" i="31" s="1"/>
  <c r="AO272" i="31" s="1"/>
  <c r="AN272" i="31"/>
  <c r="AL425" i="31"/>
  <c r="AM425" i="31" s="1"/>
  <c r="AO425" i="31" s="1"/>
  <c r="AN425" i="31"/>
  <c r="AN664" i="31"/>
  <c r="AL664" i="31"/>
  <c r="AM664" i="31" s="1"/>
  <c r="AO664" i="31" s="1"/>
  <c r="AN14" i="31"/>
  <c r="AL14" i="31"/>
  <c r="AM14" i="31" s="1"/>
  <c r="AO14" i="31" s="1"/>
  <c r="AN645" i="31"/>
  <c r="AL645" i="31"/>
  <c r="AM645" i="31" s="1"/>
  <c r="AO645" i="31" s="1"/>
  <c r="AN435" i="31"/>
  <c r="AL435" i="31"/>
  <c r="AM435" i="31" s="1"/>
  <c r="AO435" i="31" s="1"/>
  <c r="AL394" i="31"/>
  <c r="AM394" i="31" s="1"/>
  <c r="AO394" i="31" s="1"/>
  <c r="AN394" i="31"/>
  <c r="AN405" i="31"/>
  <c r="AL405" i="31"/>
  <c r="AM405" i="31" s="1"/>
  <c r="AO405" i="31" s="1"/>
  <c r="AL103" i="31"/>
  <c r="AM103" i="31" s="1"/>
  <c r="AO103" i="31" s="1"/>
  <c r="AN103" i="31"/>
  <c r="AL299" i="31"/>
  <c r="AM299" i="31" s="1"/>
  <c r="AO299" i="31" s="1"/>
  <c r="AN299" i="31"/>
  <c r="AN257" i="31"/>
  <c r="AL257" i="31"/>
  <c r="AM257" i="31" s="1"/>
  <c r="AO257" i="31" s="1"/>
  <c r="AN514" i="31"/>
  <c r="AL514" i="31"/>
  <c r="AM514" i="31" s="1"/>
  <c r="AO514" i="31" s="1"/>
  <c r="AL220" i="31"/>
  <c r="AM220" i="31" s="1"/>
  <c r="AO220" i="31" s="1"/>
  <c r="AN220" i="31"/>
  <c r="AN135" i="31"/>
  <c r="AL135" i="31"/>
  <c r="AM135" i="31" s="1"/>
  <c r="AO135" i="31" s="1"/>
  <c r="AN358" i="31"/>
  <c r="AL358" i="31"/>
  <c r="AM358" i="31" s="1"/>
  <c r="AO358" i="31" s="1"/>
  <c r="AN399" i="31"/>
  <c r="AL399" i="31"/>
  <c r="AM399" i="31" s="1"/>
  <c r="AO399" i="31" s="1"/>
  <c r="AN185" i="31"/>
  <c r="AL185" i="31"/>
  <c r="AM185" i="31" s="1"/>
  <c r="AO185" i="31" s="1"/>
  <c r="AN35" i="31"/>
  <c r="AL35" i="31"/>
  <c r="AM35" i="31" s="1"/>
  <c r="AO35" i="31" s="1"/>
  <c r="AL206" i="31"/>
  <c r="AM206" i="31" s="1"/>
  <c r="AO206" i="31" s="1"/>
  <c r="AN206" i="31"/>
  <c r="AN470" i="31"/>
  <c r="AL470" i="31"/>
  <c r="AM470" i="31" s="1"/>
  <c r="AO470" i="31" s="1"/>
  <c r="AN658" i="31"/>
  <c r="AL658" i="31"/>
  <c r="AM658" i="31" s="1"/>
  <c r="AO658" i="31" s="1"/>
  <c r="AN313" i="31"/>
  <c r="AL313" i="31"/>
  <c r="AM313" i="31" s="1"/>
  <c r="AO313" i="31" s="1"/>
  <c r="AN483" i="31"/>
  <c r="AL483" i="31"/>
  <c r="AM483" i="31" s="1"/>
  <c r="AO483" i="31" s="1"/>
  <c r="AN444" i="31"/>
  <c r="AL444" i="31"/>
  <c r="AM444" i="31" s="1"/>
  <c r="AO444" i="31" s="1"/>
  <c r="AN309" i="31"/>
  <c r="AL309" i="31"/>
  <c r="AM309" i="31" s="1"/>
  <c r="AO309" i="31" s="1"/>
  <c r="AN371" i="31"/>
  <c r="AL371" i="31"/>
  <c r="AM371" i="31" s="1"/>
  <c r="AO371" i="31" s="1"/>
  <c r="AL232" i="31"/>
  <c r="AM232" i="31" s="1"/>
  <c r="AO232" i="31" s="1"/>
  <c r="AN232" i="31"/>
  <c r="AN73" i="31"/>
  <c r="AL73" i="31"/>
  <c r="AM73" i="31" s="1"/>
  <c r="AO73" i="31" s="1"/>
  <c r="AN142" i="31"/>
  <c r="AL142" i="31"/>
  <c r="AM142" i="31" s="1"/>
  <c r="AO142" i="31" s="1"/>
  <c r="AN17" i="31"/>
  <c r="AL17" i="31"/>
  <c r="AM17" i="31" s="1"/>
  <c r="AO17" i="31" s="1"/>
  <c r="AL386" i="31"/>
  <c r="AM386" i="31" s="1"/>
  <c r="AO386" i="31" s="1"/>
  <c r="AN386" i="31"/>
  <c r="AL72" i="31"/>
  <c r="AM72" i="31" s="1"/>
  <c r="AO72" i="31" s="1"/>
  <c r="AN72" i="31"/>
  <c r="AL140" i="31"/>
  <c r="AM140" i="31" s="1"/>
  <c r="AO140" i="31" s="1"/>
  <c r="AN140" i="31"/>
  <c r="AN276" i="31"/>
  <c r="AL276" i="31"/>
  <c r="AM276" i="31" s="1"/>
  <c r="AO276" i="31" s="1"/>
  <c r="AN311" i="31"/>
  <c r="AL311" i="31"/>
  <c r="AM311" i="31" s="1"/>
  <c r="AO311" i="31" s="1"/>
  <c r="AN391" i="31"/>
  <c r="AL391" i="31"/>
  <c r="AM391" i="31" s="1"/>
  <c r="AO391" i="31" s="1"/>
  <c r="AN18" i="31"/>
  <c r="AL18" i="31"/>
  <c r="AM18" i="31" s="1"/>
  <c r="AO18" i="31" s="1"/>
  <c r="AN133" i="31"/>
  <c r="AL133" i="31"/>
  <c r="AM133" i="31" s="1"/>
  <c r="AO133" i="31" s="1"/>
  <c r="AN303" i="31"/>
  <c r="AL303" i="31"/>
  <c r="AM303" i="31" s="1"/>
  <c r="AO303" i="31" s="1"/>
  <c r="AN264" i="31"/>
  <c r="AL264" i="31"/>
  <c r="AM264" i="31" s="1"/>
  <c r="AO264" i="31" s="1"/>
  <c r="AN129" i="31"/>
  <c r="AL129" i="31"/>
  <c r="AM129" i="31" s="1"/>
  <c r="AO129" i="31" s="1"/>
  <c r="AN506" i="31"/>
  <c r="AL506" i="31"/>
  <c r="AM506" i="31" s="1"/>
  <c r="AO506" i="31" s="1"/>
  <c r="AL115" i="31"/>
  <c r="AM115" i="31" s="1"/>
  <c r="AO115" i="31" s="1"/>
  <c r="AN115" i="31"/>
  <c r="AL537" i="31"/>
  <c r="AM537" i="31" s="1"/>
  <c r="AO537" i="31" s="1"/>
  <c r="AN537" i="31"/>
  <c r="AN236" i="31"/>
  <c r="AL236" i="31"/>
  <c r="AM236" i="31" s="1"/>
  <c r="AO236" i="31" s="1"/>
  <c r="AN502" i="31"/>
  <c r="AL502" i="31"/>
  <c r="AM502" i="31" s="1"/>
  <c r="AO502" i="31" s="1"/>
  <c r="AL413" i="31"/>
  <c r="AM413" i="31" s="1"/>
  <c r="AO413" i="31" s="1"/>
  <c r="AN413" i="31"/>
  <c r="AN396" i="31"/>
  <c r="AL396" i="31"/>
  <c r="AM396" i="31" s="1"/>
  <c r="AO396" i="31" s="1"/>
  <c r="AL256" i="31"/>
  <c r="AM256" i="31" s="1"/>
  <c r="AO256" i="31" s="1"/>
  <c r="AN256" i="31"/>
  <c r="AN62" i="31"/>
  <c r="AL62" i="31"/>
  <c r="AM62" i="31" s="1"/>
  <c r="AO62" i="31" s="1"/>
  <c r="AL426" i="31"/>
  <c r="AM426" i="31" s="1"/>
  <c r="AO426" i="31" s="1"/>
  <c r="AN426" i="31"/>
  <c r="AN397" i="31"/>
  <c r="AL397" i="31"/>
  <c r="AM397" i="31" s="1"/>
  <c r="AO397" i="31" s="1"/>
  <c r="AL379" i="31"/>
  <c r="AM379" i="31" s="1"/>
  <c r="AO379" i="31" s="1"/>
  <c r="AN379" i="31"/>
  <c r="AN249" i="31"/>
  <c r="AL249" i="31"/>
  <c r="AM249" i="31" s="1"/>
  <c r="AO249" i="31" s="1"/>
  <c r="AN88" i="31"/>
  <c r="AL88" i="31"/>
  <c r="AM88" i="31" s="1"/>
  <c r="AO88" i="31" s="1"/>
  <c r="AL644" i="31"/>
  <c r="AM644" i="31" s="1"/>
  <c r="AO644" i="31" s="1"/>
  <c r="AN644" i="31"/>
  <c r="AN616" i="31"/>
  <c r="AL616" i="31"/>
  <c r="AM616" i="31" s="1"/>
  <c r="AO616" i="31" s="1"/>
  <c r="AN529" i="31"/>
  <c r="AL529" i="31"/>
  <c r="AM529" i="31" s="1"/>
  <c r="AO529" i="31" s="1"/>
  <c r="AL498" i="31"/>
  <c r="AM498" i="31" s="1"/>
  <c r="AO498" i="31" s="1"/>
  <c r="AN498" i="31"/>
  <c r="AL613" i="31"/>
  <c r="AM613" i="31" s="1"/>
  <c r="AO613" i="31" s="1"/>
  <c r="AN613" i="31"/>
  <c r="AN608" i="31"/>
  <c r="AL608" i="31"/>
  <c r="AM608" i="31" s="1"/>
  <c r="AO608" i="31" s="1"/>
  <c r="AL639" i="31"/>
  <c r="AM639" i="31" s="1"/>
  <c r="AO639" i="31" s="1"/>
  <c r="AN639" i="31"/>
  <c r="AL63" i="31"/>
  <c r="AM63" i="31" s="1"/>
  <c r="AO63" i="31" s="1"/>
  <c r="AN63" i="31"/>
  <c r="AN166" i="31"/>
  <c r="AL166" i="31"/>
  <c r="AM166" i="31" s="1"/>
  <c r="AO166" i="31" s="1"/>
  <c r="AN24" i="31"/>
  <c r="AL24" i="31"/>
  <c r="AM24" i="31" s="1"/>
  <c r="AO24" i="31" s="1"/>
  <c r="AN33" i="31"/>
  <c r="AL33" i="31"/>
  <c r="AM33" i="31" s="1"/>
  <c r="AO33" i="31" s="1"/>
  <c r="AN28" i="31"/>
  <c r="AL28" i="31"/>
  <c r="AM28" i="31" s="1"/>
  <c r="AO28" i="31" s="1"/>
  <c r="AN275" i="31"/>
  <c r="AL275" i="31"/>
  <c r="AM275" i="31" s="1"/>
  <c r="AO275" i="31" s="1"/>
  <c r="AN243" i="31"/>
  <c r="AL243" i="31"/>
  <c r="AM243" i="31" s="1"/>
  <c r="AO243" i="31" s="1"/>
  <c r="AN198" i="31"/>
  <c r="AL198" i="31"/>
  <c r="AM198" i="31" s="1"/>
  <c r="AO198" i="31" s="1"/>
  <c r="AN461" i="31"/>
  <c r="AL461" i="31"/>
  <c r="AM461" i="31" s="1"/>
  <c r="AO461" i="31" s="1"/>
  <c r="AN67" i="31"/>
  <c r="AL67" i="31"/>
  <c r="AM67" i="31" s="1"/>
  <c r="AO67" i="31" s="1"/>
  <c r="AN377" i="31"/>
  <c r="AL377" i="31"/>
  <c r="AM377" i="31" s="1"/>
  <c r="AO377" i="31" s="1"/>
  <c r="AN474" i="31"/>
  <c r="AL474" i="31"/>
  <c r="AM474" i="31" s="1"/>
  <c r="AO474" i="31" s="1"/>
  <c r="AL584" i="31"/>
  <c r="AM584" i="31" s="1"/>
  <c r="AO584" i="31" s="1"/>
  <c r="AN584" i="31"/>
  <c r="AN39" i="31"/>
  <c r="AL39" i="31"/>
  <c r="AM39" i="31" s="1"/>
  <c r="AO39" i="31" s="1"/>
  <c r="AL659" i="31"/>
  <c r="AM659" i="31" s="1"/>
  <c r="AO659" i="31" s="1"/>
  <c r="AN659" i="31"/>
  <c r="AL235" i="31"/>
  <c r="AM235" i="31" s="1"/>
  <c r="AO235" i="31" s="1"/>
  <c r="AN235" i="31"/>
  <c r="AN393" i="31"/>
  <c r="AL393" i="31"/>
  <c r="AM393" i="31" s="1"/>
  <c r="AO393" i="31" s="1"/>
  <c r="AN411" i="31"/>
  <c r="AL411" i="31"/>
  <c r="AM411" i="31" s="1"/>
  <c r="AO411" i="31" s="1"/>
  <c r="AN221" i="31"/>
  <c r="AL221" i="31"/>
  <c r="AM221" i="31" s="1"/>
  <c r="AO221" i="31" s="1"/>
  <c r="AL606" i="31"/>
  <c r="AM606" i="31" s="1"/>
  <c r="AO606" i="31" s="1"/>
  <c r="AN606" i="31"/>
  <c r="AN577" i="31"/>
  <c r="AL577" i="31"/>
  <c r="AM577" i="31" s="1"/>
  <c r="AO577" i="31" s="1"/>
  <c r="AN631" i="31"/>
  <c r="AL631" i="31"/>
  <c r="AM631" i="31" s="1"/>
  <c r="AO631" i="31" s="1"/>
  <c r="AN274" i="31"/>
  <c r="AL274" i="31"/>
  <c r="AM274" i="31" s="1"/>
  <c r="AO274" i="31" s="1"/>
  <c r="AL293" i="31"/>
  <c r="AM293" i="31" s="1"/>
  <c r="AO293" i="31" s="1"/>
  <c r="AN293" i="31"/>
  <c r="AN141" i="31"/>
  <c r="AL141" i="31"/>
  <c r="AM141" i="31" s="1"/>
  <c r="AO141" i="31" s="1"/>
  <c r="AL92" i="31"/>
  <c r="AM92" i="31" s="1"/>
  <c r="AO92" i="31" s="1"/>
  <c r="AN92" i="31"/>
  <c r="AN31" i="31"/>
  <c r="AL31" i="31"/>
  <c r="AM31" i="31" s="1"/>
  <c r="AO31" i="31" s="1"/>
  <c r="AN504" i="31"/>
  <c r="AL504" i="31"/>
  <c r="AM504" i="31" s="1"/>
  <c r="AO504" i="31" s="1"/>
  <c r="AN99" i="31"/>
  <c r="AL99" i="31"/>
  <c r="AM99" i="31" s="1"/>
  <c r="AO99" i="31" s="1"/>
  <c r="AL594" i="31"/>
  <c r="AM594" i="31" s="1"/>
  <c r="AO594" i="31" s="1"/>
  <c r="AN594" i="31"/>
  <c r="AL128" i="31"/>
  <c r="AM128" i="31" s="1"/>
  <c r="AO128" i="31" s="1"/>
  <c r="AN128" i="31"/>
  <c r="AN262" i="31"/>
  <c r="AL262" i="31"/>
  <c r="AM262" i="31" s="1"/>
  <c r="AO262" i="31" s="1"/>
  <c r="AN281" i="31"/>
  <c r="AL281" i="31"/>
  <c r="AM281" i="31" s="1"/>
  <c r="AO281" i="31" s="1"/>
  <c r="AL124" i="31"/>
  <c r="AM124" i="31" s="1"/>
  <c r="AO124" i="31" s="1"/>
  <c r="AN124" i="31"/>
  <c r="AL518" i="31"/>
  <c r="AM518" i="31" s="1"/>
  <c r="AO518" i="31" s="1"/>
  <c r="AN518" i="31"/>
  <c r="AN649" i="31"/>
  <c r="AL649" i="31"/>
  <c r="AM649" i="31" s="1"/>
  <c r="AO649" i="31" s="1"/>
  <c r="AN64" i="31"/>
  <c r="AL64" i="31"/>
  <c r="AM64" i="31" s="1"/>
  <c r="AO64" i="31" s="1"/>
  <c r="AL150" i="31"/>
  <c r="AM150" i="31" s="1"/>
  <c r="AO150" i="31" s="1"/>
  <c r="AN150" i="31"/>
  <c r="AN265" i="31"/>
  <c r="AL265" i="31"/>
  <c r="AM265" i="31" s="1"/>
  <c r="AO265" i="31" s="1"/>
  <c r="AN260" i="31"/>
  <c r="AL260" i="31"/>
  <c r="AM260" i="31" s="1"/>
  <c r="AO260" i="31" s="1"/>
  <c r="AN261" i="31"/>
  <c r="AL261" i="31"/>
  <c r="AM261" i="31" s="1"/>
  <c r="AO261" i="31" s="1"/>
  <c r="AL439" i="31"/>
  <c r="AM439" i="31" s="1"/>
  <c r="AO439" i="31" s="1"/>
  <c r="AN439" i="31"/>
  <c r="AN224" i="31"/>
  <c r="AL224" i="31"/>
  <c r="AM224" i="31" s="1"/>
  <c r="AO224" i="31" s="1"/>
  <c r="AL422" i="31"/>
  <c r="AM422" i="31" s="1"/>
  <c r="AO422" i="31" s="1"/>
  <c r="AN422" i="31"/>
  <c r="AN202" i="31"/>
  <c r="AL202" i="31"/>
  <c r="AM202" i="31" s="1"/>
  <c r="AO202" i="31" s="1"/>
  <c r="AN69" i="31"/>
  <c r="AL69" i="31"/>
  <c r="AM69" i="31" s="1"/>
  <c r="AO69" i="31" s="1"/>
  <c r="AN578" i="31"/>
  <c r="AL578" i="31"/>
  <c r="AM578" i="31" s="1"/>
  <c r="AO578" i="31" s="1"/>
  <c r="AN26" i="31"/>
  <c r="AL26" i="31"/>
  <c r="AM26" i="31" s="1"/>
  <c r="AO26" i="31" s="1"/>
  <c r="AN70" i="31"/>
  <c r="AL70" i="31"/>
  <c r="AM70" i="31" s="1"/>
  <c r="AO70" i="31" s="1"/>
  <c r="AL95" i="31"/>
  <c r="AM95" i="31" s="1"/>
  <c r="AO95" i="31" s="1"/>
  <c r="AN95" i="31"/>
  <c r="AL308" i="31"/>
  <c r="AM308" i="31" s="1"/>
  <c r="AO308" i="31" s="1"/>
  <c r="AN308" i="31"/>
  <c r="AL442" i="31"/>
  <c r="AM442" i="31" s="1"/>
  <c r="AO442" i="31" s="1"/>
  <c r="AN442" i="31"/>
  <c r="AL300" i="31"/>
  <c r="AM300" i="31" s="1"/>
  <c r="AO300" i="31" s="1"/>
  <c r="AN300" i="31"/>
  <c r="AN165" i="31"/>
  <c r="AL165" i="31"/>
  <c r="AM165" i="31" s="1"/>
  <c r="AO165" i="31" s="1"/>
  <c r="AL160" i="31"/>
  <c r="AM160" i="31" s="1"/>
  <c r="AO160" i="31" s="1"/>
  <c r="AN160" i="31"/>
  <c r="AN175" i="31"/>
  <c r="AL175" i="31"/>
  <c r="AM175" i="31" s="1"/>
  <c r="AO175" i="31" s="1"/>
  <c r="AN283" i="31"/>
  <c r="AL283" i="31"/>
  <c r="AM283" i="31" s="1"/>
  <c r="AO283" i="31" s="1"/>
  <c r="AN445" i="31"/>
  <c r="AL445" i="31"/>
  <c r="AM445" i="31" s="1"/>
  <c r="AO445" i="31" s="1"/>
  <c r="AL615" i="31"/>
  <c r="AM615" i="31" s="1"/>
  <c r="AO615" i="31" s="1"/>
  <c r="AN615" i="31"/>
  <c r="AL595" i="31"/>
  <c r="AM595" i="31" s="1"/>
  <c r="AO595" i="31" s="1"/>
  <c r="AN595" i="31"/>
  <c r="AN576" i="31"/>
  <c r="AL576" i="31"/>
  <c r="AM576" i="31" s="1"/>
  <c r="AO576" i="31" s="1"/>
  <c r="AN585" i="31"/>
  <c r="AL585" i="31"/>
  <c r="AM585" i="31" s="1"/>
  <c r="AO585" i="31" s="1"/>
  <c r="AN580" i="31"/>
  <c r="AL580" i="31"/>
  <c r="AM580" i="31" s="1"/>
  <c r="AO580" i="31" s="1"/>
  <c r="AL546" i="31"/>
  <c r="AM546" i="31" s="1"/>
  <c r="AO546" i="31" s="1"/>
  <c r="AN546" i="31"/>
  <c r="AL535" i="31"/>
  <c r="AM535" i="31" s="1"/>
  <c r="AO535" i="31" s="1"/>
  <c r="AN535" i="31"/>
  <c r="AN171" i="31"/>
  <c r="AL171" i="31"/>
  <c r="AM171" i="31" s="1"/>
  <c r="AO171" i="31" s="1"/>
  <c r="AN132" i="31"/>
  <c r="AL132" i="31"/>
  <c r="AM132" i="31" s="1"/>
  <c r="AO132" i="31" s="1"/>
  <c r="AL136" i="31"/>
  <c r="AM136" i="31" s="1"/>
  <c r="AO136" i="31" s="1"/>
  <c r="AN136" i="31"/>
  <c r="AN650" i="31"/>
  <c r="AL650" i="31"/>
  <c r="AM650" i="31" s="1"/>
  <c r="AO650" i="31" s="1"/>
  <c r="AN194" i="31"/>
  <c r="AL194" i="31"/>
  <c r="AM194" i="31" s="1"/>
  <c r="AO194" i="31" s="1"/>
  <c r="AN532" i="31"/>
  <c r="AL532" i="31"/>
  <c r="AM532" i="31" s="1"/>
  <c r="AO532" i="31" s="1"/>
  <c r="AN499" i="31"/>
  <c r="AL499" i="31"/>
  <c r="AM499" i="31" s="1"/>
  <c r="AO499" i="31" s="1"/>
  <c r="AN159" i="31"/>
  <c r="AL159" i="31"/>
  <c r="AM159" i="31" s="1"/>
  <c r="AO159" i="31" s="1"/>
  <c r="AL120" i="31"/>
  <c r="AM120" i="31" s="1"/>
  <c r="AO120" i="31" s="1"/>
  <c r="AN120" i="31"/>
  <c r="AN563" i="31"/>
  <c r="AL563" i="31"/>
  <c r="AM563" i="31" s="1"/>
  <c r="AO563" i="31" s="1"/>
  <c r="AN388" i="31"/>
  <c r="AL388" i="31"/>
  <c r="AM388" i="31" s="1"/>
  <c r="AO388" i="31" s="1"/>
  <c r="AN267" i="31"/>
  <c r="AL267" i="31"/>
  <c r="AM267" i="31" s="1"/>
  <c r="AO267" i="31" s="1"/>
  <c r="AN291" i="31"/>
  <c r="AL291" i="31"/>
  <c r="AM291" i="31" s="1"/>
  <c r="AO291" i="31" s="1"/>
  <c r="AL250" i="31"/>
  <c r="AM250" i="31" s="1"/>
  <c r="AO250" i="31" s="1"/>
  <c r="AN250" i="31"/>
  <c r="AL252" i="31"/>
  <c r="AM252" i="31" s="1"/>
  <c r="AO252" i="31" s="1"/>
  <c r="AN252" i="31"/>
  <c r="AN419" i="31"/>
  <c r="AL419" i="31"/>
  <c r="AM419" i="31" s="1"/>
  <c r="AO419" i="31" s="1"/>
  <c r="AL590" i="31"/>
  <c r="AM590" i="31" s="1"/>
  <c r="AO590" i="31" s="1"/>
  <c r="AN590" i="31"/>
  <c r="AL463" i="31"/>
  <c r="AM463" i="31" s="1"/>
  <c r="AO463" i="31" s="1"/>
  <c r="AN463" i="31"/>
  <c r="AN245" i="31"/>
  <c r="AL245" i="31"/>
  <c r="AM245" i="31" s="1"/>
  <c r="AO245" i="31" s="1"/>
  <c r="AN487" i="31"/>
  <c r="AL487" i="31"/>
  <c r="AM487" i="31" s="1"/>
  <c r="AO487" i="31" s="1"/>
  <c r="AN602" i="31"/>
  <c r="AL602" i="31"/>
  <c r="AM602" i="31" s="1"/>
  <c r="AO602" i="31" s="1"/>
  <c r="AN398" i="31"/>
  <c r="AL398" i="31"/>
  <c r="AM398" i="31" s="1"/>
  <c r="AO398" i="31" s="1"/>
  <c r="AN657" i="31"/>
  <c r="AL657" i="31"/>
  <c r="AM657" i="31" s="1"/>
  <c r="AO657" i="31" s="1"/>
  <c r="AN621" i="31"/>
  <c r="AL621" i="31"/>
  <c r="AM621" i="31" s="1"/>
  <c r="AO621" i="31" s="1"/>
  <c r="AN472" i="31"/>
  <c r="AL472" i="31"/>
  <c r="AM472" i="31" s="1"/>
  <c r="AO472" i="31" s="1"/>
  <c r="AN469" i="31"/>
  <c r="AL469" i="31"/>
  <c r="AM469" i="31" s="1"/>
  <c r="AO469" i="31" s="1"/>
  <c r="AL41" i="31"/>
  <c r="AM41" i="31" s="1"/>
  <c r="AO41" i="31" s="1"/>
  <c r="AN41" i="31"/>
  <c r="AL491" i="31"/>
  <c r="AM491" i="31" s="1"/>
  <c r="AO491" i="31" s="1"/>
  <c r="AN491" i="31"/>
  <c r="AN335" i="31"/>
  <c r="AL335" i="31"/>
  <c r="AM335" i="31" s="1"/>
  <c r="AO335" i="31" s="1"/>
  <c r="AN94" i="31"/>
  <c r="AL94" i="31"/>
  <c r="AM94" i="31" s="1"/>
  <c r="AO94" i="31" s="1"/>
  <c r="AL270" i="31"/>
  <c r="AM270" i="31" s="1"/>
  <c r="AO270" i="31" s="1"/>
  <c r="AN270" i="31"/>
  <c r="AN226" i="31"/>
  <c r="AL226" i="31"/>
  <c r="AM226" i="31" s="1"/>
  <c r="AO226" i="31" s="1"/>
  <c r="AN360" i="31"/>
  <c r="AL360" i="31"/>
  <c r="AM360" i="31" s="1"/>
  <c r="AO360" i="31" s="1"/>
  <c r="AN169" i="31"/>
  <c r="AL169" i="31"/>
  <c r="AM169" i="31" s="1"/>
  <c r="AO169" i="31" s="1"/>
  <c r="AN339" i="31"/>
  <c r="AL339" i="31"/>
  <c r="AM339" i="31" s="1"/>
  <c r="AO339" i="31" s="1"/>
  <c r="AN566" i="31"/>
  <c r="AL566" i="31"/>
  <c r="AM566" i="31" s="1"/>
  <c r="AO566" i="31" s="1"/>
  <c r="AL122" i="31"/>
  <c r="AM122" i="31" s="1"/>
  <c r="AO122" i="31" s="1"/>
  <c r="AN122" i="31"/>
  <c r="AN216" i="31"/>
  <c r="AL216" i="31"/>
  <c r="AM216" i="31" s="1"/>
  <c r="AO216" i="31" s="1"/>
  <c r="AN330" i="31"/>
  <c r="AL330" i="31"/>
  <c r="AM330" i="31" s="1"/>
  <c r="AO330" i="31" s="1"/>
  <c r="AL440" i="31"/>
  <c r="AM440" i="31" s="1"/>
  <c r="AO440" i="31" s="1"/>
  <c r="AN440" i="31"/>
  <c r="AL542" i="31"/>
  <c r="AM542" i="31" s="1"/>
  <c r="AO542" i="31" s="1"/>
  <c r="AN542" i="31"/>
  <c r="AN259" i="31"/>
  <c r="AL259" i="31"/>
  <c r="AM259" i="31" s="1"/>
  <c r="AO259" i="31" s="1"/>
  <c r="AL244" i="31"/>
  <c r="AM244" i="31" s="1"/>
  <c r="AO244" i="31" s="1"/>
  <c r="AN244" i="31"/>
  <c r="AN389" i="31"/>
  <c r="AL389" i="31"/>
  <c r="AM389" i="31" s="1"/>
  <c r="AO389" i="31" s="1"/>
  <c r="AL364" i="31"/>
  <c r="AM364" i="31" s="1"/>
  <c r="AO364" i="31" s="1"/>
  <c r="AN364" i="31"/>
  <c r="AN357" i="31"/>
  <c r="AL357" i="31"/>
  <c r="AM357" i="31" s="1"/>
  <c r="AO357" i="31" s="1"/>
  <c r="AL462" i="31"/>
  <c r="AM462" i="31" s="1"/>
  <c r="AO462" i="31" s="1"/>
  <c r="AN462" i="31"/>
  <c r="AL149" i="31"/>
  <c r="AM149" i="31" s="1"/>
  <c r="AO149" i="31" s="1"/>
  <c r="AN149" i="31"/>
  <c r="AN599" i="31"/>
  <c r="AL599" i="31"/>
  <c r="AM599" i="31" s="1"/>
  <c r="AO599" i="31" s="1"/>
  <c r="AN123" i="31"/>
  <c r="AL123" i="31"/>
  <c r="AM123" i="31" s="1"/>
  <c r="AO123" i="31" s="1"/>
  <c r="AN225" i="31"/>
  <c r="AL225" i="31"/>
  <c r="AM225" i="31" s="1"/>
  <c r="AO225" i="31" s="1"/>
  <c r="AL565" i="31"/>
  <c r="AM565" i="31" s="1"/>
  <c r="AO565" i="31" s="1"/>
  <c r="AN565" i="31"/>
  <c r="AL427" i="31"/>
  <c r="AM427" i="31" s="1"/>
  <c r="AO427" i="31" s="1"/>
  <c r="AN427" i="31"/>
  <c r="AN118" i="31"/>
  <c r="AL118" i="31"/>
  <c r="AM118" i="31" s="1"/>
  <c r="AO118" i="31" s="1"/>
  <c r="AL635" i="31"/>
  <c r="AM635" i="31" s="1"/>
  <c r="AO635" i="31" s="1"/>
  <c r="AN635" i="31"/>
  <c r="AN638" i="31"/>
  <c r="AL638" i="31"/>
  <c r="AM638" i="31" s="1"/>
  <c r="AO638" i="31" s="1"/>
  <c r="AL110" i="31"/>
  <c r="AM110" i="31" s="1"/>
  <c r="AO110" i="31" s="1"/>
  <c r="AN110" i="31"/>
  <c r="AN89" i="31"/>
  <c r="AL89" i="31"/>
  <c r="AM89" i="31" s="1"/>
  <c r="AO89" i="31" s="1"/>
  <c r="AL68" i="31"/>
  <c r="AM68" i="31" s="1"/>
  <c r="AO68" i="31" s="1"/>
  <c r="AN68" i="31"/>
  <c r="AN383" i="31"/>
  <c r="AL383" i="31"/>
  <c r="AM383" i="31" s="1"/>
  <c r="AO383" i="31" s="1"/>
  <c r="AN121" i="31"/>
  <c r="AL121" i="31"/>
  <c r="AM121" i="31" s="1"/>
  <c r="AO121" i="31" s="1"/>
  <c r="AL116" i="31"/>
  <c r="AM116" i="31" s="1"/>
  <c r="AO116" i="31" s="1"/>
  <c r="AN116" i="31"/>
  <c r="AL269" i="31"/>
  <c r="AM269" i="31" s="1"/>
  <c r="AO269" i="31" s="1"/>
  <c r="AN269" i="31"/>
  <c r="AN117" i="31"/>
  <c r="AL117" i="31"/>
  <c r="AM117" i="31" s="1"/>
  <c r="AO117" i="31" s="1"/>
  <c r="AL112" i="31"/>
  <c r="AM112" i="31" s="1"/>
  <c r="AO112" i="31" s="1"/>
  <c r="AN112" i="31"/>
  <c r="AL240" i="31"/>
  <c r="AM240" i="31" s="1"/>
  <c r="AO240" i="31" s="1"/>
  <c r="AN240" i="31"/>
  <c r="AN204" i="31"/>
  <c r="AL204" i="31"/>
  <c r="AM204" i="31" s="1"/>
  <c r="AO204" i="31" s="1"/>
  <c r="AL282" i="31"/>
  <c r="AM282" i="31" s="1"/>
  <c r="AO282" i="31" s="1"/>
  <c r="AN282" i="31"/>
  <c r="AN253" i="31"/>
  <c r="AL253" i="31"/>
  <c r="AM253" i="31" s="1"/>
  <c r="AO253" i="31" s="1"/>
  <c r="AN567" i="31"/>
  <c r="AL567" i="31"/>
  <c r="AM567" i="31" s="1"/>
  <c r="AO567" i="31" s="1"/>
  <c r="AN531" i="31"/>
  <c r="AL531" i="31"/>
  <c r="AM531" i="31" s="1"/>
  <c r="AO531" i="31" s="1"/>
  <c r="AN251" i="31"/>
  <c r="AL251" i="31"/>
  <c r="AM251" i="31" s="1"/>
  <c r="AO251" i="31" s="1"/>
  <c r="E11" i="25"/>
  <c r="E10" i="25"/>
  <c r="AR652" i="31" l="1"/>
  <c r="AQ652" i="31"/>
  <c r="AQ112" i="31"/>
  <c r="AR112" i="31"/>
  <c r="AR627" i="31"/>
  <c r="AQ627" i="31"/>
  <c r="AQ66" i="31"/>
  <c r="AR66" i="31"/>
  <c r="AR536" i="31"/>
  <c r="AQ536" i="31"/>
  <c r="AR552" i="31"/>
  <c r="AQ552" i="31"/>
  <c r="AQ101" i="31"/>
  <c r="AR101" i="31"/>
  <c r="AQ355" i="31"/>
  <c r="AR355" i="31"/>
  <c r="AR428" i="31"/>
  <c r="AQ428" i="31"/>
  <c r="AR167" i="31"/>
  <c r="AQ167" i="31"/>
  <c r="AQ523" i="31"/>
  <c r="AR523" i="31"/>
  <c r="AQ324" i="31"/>
  <c r="AR324" i="31"/>
  <c r="AQ46" i="31"/>
  <c r="AR46" i="31"/>
  <c r="AQ582" i="31"/>
  <c r="AR582" i="31"/>
  <c r="AR629" i="31"/>
  <c r="AQ629" i="31"/>
  <c r="AQ648" i="31"/>
  <c r="AR648" i="31"/>
  <c r="AR571" i="31"/>
  <c r="AQ571" i="31"/>
  <c r="AQ484" i="31"/>
  <c r="AR484" i="31"/>
  <c r="AQ458" i="31"/>
  <c r="AR458" i="31"/>
  <c r="AQ460" i="31"/>
  <c r="AR460" i="31"/>
  <c r="AQ367" i="31"/>
  <c r="AR367" i="31"/>
  <c r="AQ510" i="31"/>
  <c r="AR510" i="31"/>
  <c r="AQ149" i="31"/>
  <c r="AR149" i="31"/>
  <c r="AQ463" i="31"/>
  <c r="AR463" i="31"/>
  <c r="AR535" i="31"/>
  <c r="AQ535" i="31"/>
  <c r="AQ615" i="31"/>
  <c r="AR615" i="31"/>
  <c r="AR300" i="31"/>
  <c r="AQ300" i="31"/>
  <c r="AR518" i="31"/>
  <c r="AQ518" i="31"/>
  <c r="AQ256" i="31"/>
  <c r="AR256" i="31"/>
  <c r="AQ115" i="31"/>
  <c r="AR115" i="31"/>
  <c r="AQ386" i="31"/>
  <c r="AR386" i="31"/>
  <c r="AQ206" i="31"/>
  <c r="AR206" i="31"/>
  <c r="AQ220" i="31"/>
  <c r="AR220" i="31"/>
  <c r="AQ394" i="31"/>
  <c r="AR394" i="31"/>
  <c r="AQ272" i="31"/>
  <c r="AR272" i="31"/>
  <c r="AQ667" i="31"/>
  <c r="AR667" i="31"/>
  <c r="AQ199" i="31"/>
  <c r="AR199" i="31"/>
  <c r="AQ172" i="31"/>
  <c r="AR172" i="31"/>
  <c r="AQ258" i="31"/>
  <c r="AR258" i="31"/>
  <c r="AQ409" i="31"/>
  <c r="AR409" i="31"/>
  <c r="AQ273" i="31"/>
  <c r="AR273" i="31"/>
  <c r="AQ286" i="31"/>
  <c r="AR286" i="31"/>
  <c r="AQ177" i="31"/>
  <c r="AR177" i="31"/>
  <c r="AQ279" i="31"/>
  <c r="AR279" i="31"/>
  <c r="AR614" i="31"/>
  <c r="AQ614" i="31"/>
  <c r="AQ126" i="31"/>
  <c r="AR126" i="31"/>
  <c r="AQ443" i="31"/>
  <c r="AR443" i="31"/>
  <c r="AQ312" i="31"/>
  <c r="AR312" i="31"/>
  <c r="AQ438" i="31"/>
  <c r="AR438" i="31"/>
  <c r="AQ459" i="31"/>
  <c r="AR459" i="31"/>
  <c r="AQ153" i="31"/>
  <c r="AR153" i="31"/>
  <c r="AR656" i="31"/>
  <c r="AQ656" i="31"/>
  <c r="AQ486" i="31"/>
  <c r="AR486" i="31"/>
  <c r="AQ321" i="31"/>
  <c r="AR321" i="31"/>
  <c r="AQ550" i="31"/>
  <c r="AR550" i="31"/>
  <c r="AQ430" i="31"/>
  <c r="AR430" i="31"/>
  <c r="AQ423" i="31"/>
  <c r="AR423" i="31"/>
  <c r="AQ591" i="31"/>
  <c r="AR591" i="31"/>
  <c r="AQ601" i="31"/>
  <c r="AR601" i="31"/>
  <c r="AQ138" i="31"/>
  <c r="AR138" i="31"/>
  <c r="AQ27" i="31"/>
  <c r="AR27" i="31"/>
  <c r="AQ201" i="31"/>
  <c r="AR201" i="31"/>
  <c r="AQ54" i="31"/>
  <c r="AR54" i="31"/>
  <c r="AR333" i="31"/>
  <c r="AQ333" i="31"/>
  <c r="AQ231" i="31"/>
  <c r="AR231" i="31"/>
  <c r="AQ341" i="31"/>
  <c r="AR341" i="31"/>
  <c r="AQ21" i="31"/>
  <c r="AR21" i="31"/>
  <c r="AQ334" i="31"/>
  <c r="AR334" i="31"/>
  <c r="AR297" i="31"/>
  <c r="AQ297" i="31"/>
  <c r="AR476" i="31"/>
  <c r="AQ476" i="31"/>
  <c r="AQ561" i="31"/>
  <c r="AR561" i="31"/>
  <c r="AQ449" i="31"/>
  <c r="AR449" i="31"/>
  <c r="AR497" i="31"/>
  <c r="AQ497" i="31"/>
  <c r="AQ622" i="31"/>
  <c r="AR622" i="31"/>
  <c r="AR609" i="31"/>
  <c r="AQ609" i="31"/>
  <c r="AQ130" i="31"/>
  <c r="AR130" i="31"/>
  <c r="AQ25" i="31"/>
  <c r="AR25" i="31"/>
  <c r="AQ178" i="31"/>
  <c r="AR178" i="31"/>
  <c r="AR488" i="31"/>
  <c r="AQ488" i="31"/>
  <c r="AQ211" i="31"/>
  <c r="AR211" i="31"/>
  <c r="AQ263" i="31"/>
  <c r="AR263" i="31"/>
  <c r="AR482" i="31"/>
  <c r="AQ482" i="31"/>
  <c r="AR326" i="31"/>
  <c r="AQ326" i="31"/>
  <c r="AQ519" i="31"/>
  <c r="AR519" i="31"/>
  <c r="AQ322" i="31"/>
  <c r="AR322" i="31"/>
  <c r="AR493" i="31"/>
  <c r="AQ493" i="31"/>
  <c r="AQ339" i="31"/>
  <c r="AR339" i="31"/>
  <c r="AQ388" i="31"/>
  <c r="AR388" i="31"/>
  <c r="AQ504" i="31"/>
  <c r="AR504" i="31"/>
  <c r="AR444" i="31"/>
  <c r="AQ444" i="31"/>
  <c r="AQ466" i="31"/>
  <c r="AR466" i="31"/>
  <c r="AQ344" i="31"/>
  <c r="AR344" i="31"/>
  <c r="AR620" i="31"/>
  <c r="AQ620" i="31"/>
  <c r="AQ565" i="31"/>
  <c r="AR565" i="31"/>
  <c r="AQ440" i="31"/>
  <c r="AR440" i="31"/>
  <c r="AQ308" i="31"/>
  <c r="AR308" i="31"/>
  <c r="AQ384" i="31"/>
  <c r="AR384" i="31"/>
  <c r="AQ212" i="31"/>
  <c r="AR212" i="31"/>
  <c r="AR544" i="31"/>
  <c r="AQ544" i="31"/>
  <c r="AR305" i="31"/>
  <c r="AQ305" i="31"/>
  <c r="AR372" i="31"/>
  <c r="AQ372" i="31"/>
  <c r="AQ454" i="31"/>
  <c r="AR454" i="31"/>
  <c r="AQ363" i="31"/>
  <c r="AR363" i="31"/>
  <c r="AQ186" i="31"/>
  <c r="AR186" i="31"/>
  <c r="AQ513" i="31"/>
  <c r="AR513" i="31"/>
  <c r="AQ205" i="31"/>
  <c r="AR205" i="31"/>
  <c r="AQ410" i="31"/>
  <c r="AR410" i="31"/>
  <c r="AQ328" i="31"/>
  <c r="AR328" i="31"/>
  <c r="AQ89" i="31"/>
  <c r="AR89" i="31"/>
  <c r="AQ357" i="31"/>
  <c r="AR357" i="31"/>
  <c r="AQ419" i="31"/>
  <c r="AR419" i="31"/>
  <c r="AR650" i="31"/>
  <c r="AQ650" i="31"/>
  <c r="AQ202" i="31"/>
  <c r="AR202" i="31"/>
  <c r="AQ577" i="31"/>
  <c r="AR577" i="31"/>
  <c r="AQ142" i="31"/>
  <c r="AR142" i="31"/>
  <c r="AQ645" i="31"/>
  <c r="AR645" i="31"/>
  <c r="AQ204" i="31"/>
  <c r="AR204" i="31"/>
  <c r="AQ121" i="31"/>
  <c r="AR121" i="31"/>
  <c r="AR599" i="31"/>
  <c r="AQ599" i="31"/>
  <c r="AR472" i="31"/>
  <c r="AQ472" i="31"/>
  <c r="AQ245" i="31"/>
  <c r="AR245" i="31"/>
  <c r="AQ291" i="31"/>
  <c r="AR291" i="31"/>
  <c r="AR499" i="31"/>
  <c r="AQ499" i="31"/>
  <c r="AQ171" i="31"/>
  <c r="AR171" i="31"/>
  <c r="AQ165" i="31"/>
  <c r="AR165" i="31"/>
  <c r="AQ26" i="31"/>
  <c r="AR26" i="31"/>
  <c r="AQ649" i="31"/>
  <c r="AR649" i="31"/>
  <c r="AR411" i="31"/>
  <c r="AQ411" i="31"/>
  <c r="AQ474" i="31"/>
  <c r="AR474" i="31"/>
  <c r="AQ275" i="31"/>
  <c r="AR275" i="31"/>
  <c r="AQ62" i="31"/>
  <c r="AR62" i="31"/>
  <c r="AQ133" i="31"/>
  <c r="AR133" i="31"/>
  <c r="AQ371" i="31"/>
  <c r="AR371" i="31"/>
  <c r="AR470" i="31"/>
  <c r="AQ470" i="31"/>
  <c r="AQ135" i="31"/>
  <c r="AR135" i="31"/>
  <c r="AR405" i="31"/>
  <c r="AQ405" i="31"/>
  <c r="AR284" i="31"/>
  <c r="AQ284" i="31"/>
  <c r="AQ534" i="31"/>
  <c r="AR534" i="31"/>
  <c r="AR581" i="31"/>
  <c r="AQ581" i="31"/>
  <c r="AQ84" i="31"/>
  <c r="AR84" i="31"/>
  <c r="AQ190" i="31"/>
  <c r="AR190" i="31"/>
  <c r="AQ651" i="31"/>
  <c r="AR651" i="31"/>
  <c r="AQ82" i="31"/>
  <c r="AR82" i="31"/>
  <c r="AQ240" i="31"/>
  <c r="AR240" i="31"/>
  <c r="AR251" i="31"/>
  <c r="AQ251" i="31"/>
  <c r="AQ383" i="31"/>
  <c r="AR383" i="31"/>
  <c r="AQ118" i="31"/>
  <c r="AR118" i="31"/>
  <c r="AQ259" i="31"/>
  <c r="AR259" i="31"/>
  <c r="AR566" i="31"/>
  <c r="AQ566" i="31"/>
  <c r="AQ94" i="31"/>
  <c r="AR94" i="31"/>
  <c r="AQ621" i="31"/>
  <c r="AR621" i="31"/>
  <c r="AQ267" i="31"/>
  <c r="AR267" i="31"/>
  <c r="AQ532" i="31"/>
  <c r="AR532" i="31"/>
  <c r="AR578" i="31"/>
  <c r="AQ578" i="31"/>
  <c r="AQ261" i="31"/>
  <c r="AR261" i="31"/>
  <c r="AQ99" i="31"/>
  <c r="AR99" i="31"/>
  <c r="AQ274" i="31"/>
  <c r="AR274" i="31"/>
  <c r="AQ393" i="31"/>
  <c r="AR393" i="31"/>
  <c r="AQ377" i="31"/>
  <c r="AR377" i="31"/>
  <c r="AQ28" i="31"/>
  <c r="AR28" i="31"/>
  <c r="AR608" i="31"/>
  <c r="AQ608" i="31"/>
  <c r="AQ88" i="31"/>
  <c r="AR88" i="31"/>
  <c r="AQ18" i="31"/>
  <c r="AR18" i="31"/>
  <c r="AQ309" i="31"/>
  <c r="AR309" i="31"/>
  <c r="AQ151" i="31"/>
  <c r="AR151" i="31"/>
  <c r="AR323" i="31"/>
  <c r="AQ323" i="31"/>
  <c r="AQ294" i="31"/>
  <c r="AR294" i="31"/>
  <c r="AQ408" i="31"/>
  <c r="AR408" i="31"/>
  <c r="AQ145" i="31"/>
  <c r="AR145" i="31"/>
  <c r="AR569" i="31"/>
  <c r="AQ569" i="31"/>
  <c r="AR158" i="31"/>
  <c r="AQ158" i="31"/>
  <c r="AR191" i="31"/>
  <c r="AQ191" i="31"/>
  <c r="AQ416" i="31"/>
  <c r="AR416" i="31"/>
  <c r="AQ144" i="31"/>
  <c r="AR144" i="31"/>
  <c r="AQ86" i="31"/>
  <c r="AR86" i="31"/>
  <c r="AQ501" i="31"/>
  <c r="AR501" i="31"/>
  <c r="AQ74" i="31"/>
  <c r="AR74" i="31"/>
  <c r="AR548" i="31"/>
  <c r="AQ548" i="31"/>
  <c r="AQ98" i="31"/>
  <c r="AR98" i="31"/>
  <c r="AQ456" i="31"/>
  <c r="AR456" i="31"/>
  <c r="AQ109" i="31"/>
  <c r="AR109" i="31"/>
  <c r="AR636" i="31"/>
  <c r="AQ636" i="31"/>
  <c r="AQ49" i="31"/>
  <c r="AR49" i="31"/>
  <c r="AQ58" i="31"/>
  <c r="AR58" i="31"/>
  <c r="AQ415" i="31"/>
  <c r="AR415" i="31"/>
  <c r="AQ107" i="31"/>
  <c r="AR107" i="31"/>
  <c r="AR632" i="31"/>
  <c r="AQ632" i="31"/>
  <c r="AR661" i="31"/>
  <c r="AQ661" i="31"/>
  <c r="AR481" i="31"/>
  <c r="AQ481" i="31"/>
  <c r="AR617" i="31"/>
  <c r="AQ617" i="31"/>
  <c r="AQ478" i="31"/>
  <c r="AR478" i="31"/>
  <c r="AQ352" i="31"/>
  <c r="AR352" i="31"/>
  <c r="AR494" i="31"/>
  <c r="AQ494" i="31"/>
  <c r="AQ22" i="31"/>
  <c r="AR22" i="31"/>
  <c r="AQ640" i="31"/>
  <c r="AR640" i="31"/>
  <c r="AQ271" i="31"/>
  <c r="AR271" i="31"/>
  <c r="AQ541" i="31"/>
  <c r="AR541" i="31"/>
  <c r="AR473" i="31"/>
  <c r="AQ473" i="31"/>
  <c r="AQ229" i="31"/>
  <c r="AR229" i="31"/>
  <c r="AQ96" i="31"/>
  <c r="AR96" i="31"/>
  <c r="AR546" i="31"/>
  <c r="AQ546" i="31"/>
  <c r="AQ124" i="31"/>
  <c r="AR124" i="31"/>
  <c r="AQ613" i="31"/>
  <c r="AR613" i="31"/>
  <c r="AQ642" i="31"/>
  <c r="AR642" i="31"/>
  <c r="AQ75" i="31"/>
  <c r="AR75" i="31"/>
  <c r="AQ568" i="31"/>
  <c r="AR568" i="31"/>
  <c r="AQ335" i="31"/>
  <c r="AR335" i="31"/>
  <c r="AQ67" i="31"/>
  <c r="AR67" i="31"/>
  <c r="AR506" i="31"/>
  <c r="AQ506" i="31"/>
  <c r="AQ35" i="31"/>
  <c r="AR35" i="31"/>
  <c r="AQ435" i="31"/>
  <c r="AR435" i="31"/>
  <c r="AQ387" i="31"/>
  <c r="AR387" i="31"/>
  <c r="AR605" i="31"/>
  <c r="AQ605" i="31"/>
  <c r="AQ102" i="31"/>
  <c r="AR102" i="31"/>
  <c r="AQ414" i="31"/>
  <c r="AR414" i="31"/>
  <c r="AR545" i="31"/>
  <c r="AQ545" i="31"/>
  <c r="AQ350" i="31"/>
  <c r="AR350" i="31"/>
  <c r="AQ436" i="31"/>
  <c r="AR436" i="31"/>
  <c r="AQ346" i="31"/>
  <c r="AR346" i="31"/>
  <c r="AQ379" i="31"/>
  <c r="AR379" i="31"/>
  <c r="AQ413" i="31"/>
  <c r="AR413" i="31"/>
  <c r="AR356" i="31"/>
  <c r="AQ356" i="31"/>
  <c r="AQ348" i="31"/>
  <c r="AR348" i="31"/>
  <c r="AQ223" i="31"/>
  <c r="AR223" i="31"/>
  <c r="AQ597" i="31"/>
  <c r="AR597" i="31"/>
  <c r="AR176" i="31"/>
  <c r="AQ176" i="31"/>
  <c r="AQ376" i="31"/>
  <c r="AR376" i="31"/>
  <c r="AQ139" i="31"/>
  <c r="AR139" i="31"/>
  <c r="AQ637" i="31"/>
  <c r="AR637" i="31"/>
  <c r="AQ16" i="31"/>
  <c r="AR16" i="31"/>
  <c r="AQ522" i="31"/>
  <c r="AR522" i="31"/>
  <c r="AQ366" i="31"/>
  <c r="AR366" i="31"/>
  <c r="AR603" i="31"/>
  <c r="AQ603" i="31"/>
  <c r="AR607" i="31"/>
  <c r="AQ607" i="31"/>
  <c r="AR593" i="31"/>
  <c r="AQ593" i="31"/>
  <c r="AR378" i="31"/>
  <c r="AQ378" i="31"/>
  <c r="AQ57" i="31"/>
  <c r="AR57" i="31"/>
  <c r="AR527" i="31"/>
  <c r="AQ527" i="31"/>
  <c r="AQ567" i="31"/>
  <c r="AR567" i="31"/>
  <c r="AQ398" i="31"/>
  <c r="AR398" i="31"/>
  <c r="AQ24" i="31"/>
  <c r="AR24" i="31"/>
  <c r="AQ311" i="31"/>
  <c r="AR311" i="31"/>
  <c r="AQ185" i="31"/>
  <c r="AR185" i="31"/>
  <c r="AQ285" i="31"/>
  <c r="AR285" i="31"/>
  <c r="AQ307" i="31"/>
  <c r="AR307" i="31"/>
  <c r="AQ163" i="31"/>
  <c r="AR163" i="31"/>
  <c r="AR521" i="31"/>
  <c r="AQ521" i="31"/>
  <c r="AQ434" i="31"/>
  <c r="AR434" i="31"/>
  <c r="AR104" i="31"/>
  <c r="AQ104" i="31"/>
  <c r="AQ156" i="31"/>
  <c r="AR156" i="31"/>
  <c r="AQ266" i="31"/>
  <c r="AR266" i="31"/>
  <c r="AQ61" i="31"/>
  <c r="AR61" i="31"/>
  <c r="AQ455" i="31"/>
  <c r="AR455" i="31"/>
  <c r="AQ340" i="31"/>
  <c r="AR340" i="31"/>
  <c r="AQ450" i="31"/>
  <c r="AR450" i="31"/>
  <c r="AQ338" i="31"/>
  <c r="AR338" i="31"/>
  <c r="AQ170" i="31"/>
  <c r="AR170" i="31"/>
  <c r="AR269" i="31"/>
  <c r="AQ269" i="31"/>
  <c r="AQ110" i="31"/>
  <c r="AR110" i="31"/>
  <c r="AQ364" i="31"/>
  <c r="AR364" i="31"/>
  <c r="AQ252" i="31"/>
  <c r="AR252" i="31"/>
  <c r="AR95" i="31"/>
  <c r="AQ95" i="31"/>
  <c r="AQ422" i="31"/>
  <c r="AR422" i="31"/>
  <c r="AQ92" i="31"/>
  <c r="AR92" i="31"/>
  <c r="AR575" i="31"/>
  <c r="AQ575" i="31"/>
  <c r="AQ42" i="31"/>
  <c r="AR42" i="31"/>
  <c r="AQ401" i="31"/>
  <c r="AR401" i="31"/>
  <c r="AR119" i="31"/>
  <c r="AQ119" i="31"/>
  <c r="AQ402" i="31"/>
  <c r="AR402" i="31"/>
  <c r="AR600" i="31"/>
  <c r="AQ600" i="31"/>
  <c r="AQ76" i="31"/>
  <c r="AR76" i="31"/>
  <c r="AQ654" i="31"/>
  <c r="AR654" i="31"/>
  <c r="AQ219" i="31"/>
  <c r="AR219" i="31"/>
  <c r="AR407" i="31"/>
  <c r="AQ407" i="31"/>
  <c r="AQ237" i="31"/>
  <c r="AR237" i="31"/>
  <c r="AQ114" i="31"/>
  <c r="AR114" i="31"/>
  <c r="AR441" i="31"/>
  <c r="AQ441" i="31"/>
  <c r="AR515" i="31"/>
  <c r="AQ515" i="31"/>
  <c r="AQ253" i="31"/>
  <c r="AR253" i="31"/>
  <c r="AQ225" i="31"/>
  <c r="AR225" i="31"/>
  <c r="AQ330" i="31"/>
  <c r="AR330" i="31"/>
  <c r="AQ360" i="31"/>
  <c r="AR360" i="31"/>
  <c r="AR602" i="31"/>
  <c r="AQ602" i="31"/>
  <c r="AQ585" i="31"/>
  <c r="AR585" i="31"/>
  <c r="AQ175" i="31"/>
  <c r="AR175" i="31"/>
  <c r="AQ262" i="31"/>
  <c r="AR262" i="31"/>
  <c r="AQ39" i="31"/>
  <c r="AR39" i="31"/>
  <c r="AQ198" i="31"/>
  <c r="AR198" i="31"/>
  <c r="AQ166" i="31"/>
  <c r="AR166" i="31"/>
  <c r="AQ529" i="31"/>
  <c r="AR529" i="31"/>
  <c r="AQ397" i="31"/>
  <c r="AR397" i="31"/>
  <c r="AQ502" i="31"/>
  <c r="AR502" i="31"/>
  <c r="AQ264" i="31"/>
  <c r="AR264" i="31"/>
  <c r="AQ276" i="31"/>
  <c r="AR276" i="31"/>
  <c r="AQ73" i="31"/>
  <c r="AR73" i="31"/>
  <c r="AQ313" i="31"/>
  <c r="AR313" i="31"/>
  <c r="AQ399" i="31"/>
  <c r="AR399" i="31"/>
  <c r="AQ14" i="31"/>
  <c r="AR14" i="31"/>
  <c r="AQ214" i="31"/>
  <c r="AR214" i="31"/>
  <c r="AR437" i="31"/>
  <c r="AQ437" i="31"/>
  <c r="AQ302" i="31"/>
  <c r="AR302" i="31"/>
  <c r="AQ452" i="31"/>
  <c r="AR452" i="31"/>
  <c r="AR392" i="31"/>
  <c r="AQ392" i="31"/>
  <c r="AR557" i="31"/>
  <c r="AQ557" i="31"/>
  <c r="AQ134" i="31"/>
  <c r="AR134" i="31"/>
  <c r="AR524" i="31"/>
  <c r="AQ524" i="31"/>
  <c r="AQ32" i="31"/>
  <c r="AR32" i="31"/>
  <c r="AQ431" i="31"/>
  <c r="AR431" i="31"/>
  <c r="AQ331" i="31"/>
  <c r="AR331" i="31"/>
  <c r="AR368" i="31"/>
  <c r="AQ368" i="31"/>
  <c r="AQ152" i="31"/>
  <c r="AR152" i="31"/>
  <c r="AQ38" i="31"/>
  <c r="AR38" i="31"/>
  <c r="AQ242" i="31"/>
  <c r="AR242" i="31"/>
  <c r="AQ296" i="31"/>
  <c r="AR296" i="31"/>
  <c r="AR320" i="31"/>
  <c r="AQ320" i="31"/>
  <c r="AQ254" i="31"/>
  <c r="AR254" i="31"/>
  <c r="AQ164" i="31"/>
  <c r="AR164" i="31"/>
  <c r="AQ179" i="31"/>
  <c r="AR179" i="31"/>
  <c r="AQ666" i="31"/>
  <c r="AR666" i="31"/>
  <c r="AR572" i="31"/>
  <c r="AQ572" i="31"/>
  <c r="AR464" i="31"/>
  <c r="AQ464" i="31"/>
  <c r="AQ559" i="31"/>
  <c r="AR559" i="31"/>
  <c r="AQ612" i="31"/>
  <c r="AR612" i="31"/>
  <c r="AQ489" i="31"/>
  <c r="AR489" i="31"/>
  <c r="AQ208" i="31"/>
  <c r="AR208" i="31"/>
  <c r="AQ106" i="31"/>
  <c r="AR106" i="31"/>
  <c r="AQ248" i="31"/>
  <c r="AR248" i="31"/>
  <c r="AR374" i="31"/>
  <c r="AQ374" i="31"/>
  <c r="AR624" i="31"/>
  <c r="AQ624" i="31"/>
  <c r="AR643" i="31"/>
  <c r="AQ643" i="31"/>
  <c r="AR68" i="31"/>
  <c r="AQ68" i="31"/>
  <c r="AQ462" i="31"/>
  <c r="AR462" i="31"/>
  <c r="AR542" i="31"/>
  <c r="AQ542" i="31"/>
  <c r="AQ442" i="31"/>
  <c r="AR442" i="31"/>
  <c r="AQ235" i="31"/>
  <c r="AR235" i="31"/>
  <c r="AQ168" i="31"/>
  <c r="AR168" i="31"/>
  <c r="AQ13" i="31"/>
  <c r="AR13" i="31"/>
  <c r="AQ93" i="31"/>
  <c r="AR93" i="31"/>
  <c r="AQ194" i="31"/>
  <c r="AR194" i="31"/>
  <c r="AQ445" i="31"/>
  <c r="AR445" i="31"/>
  <c r="AQ260" i="31"/>
  <c r="AR260" i="31"/>
  <c r="AQ631" i="31"/>
  <c r="AR631" i="31"/>
  <c r="AQ33" i="31"/>
  <c r="AR33" i="31"/>
  <c r="AQ391" i="31"/>
  <c r="AR391" i="31"/>
  <c r="AQ514" i="31"/>
  <c r="AR514" i="31"/>
  <c r="AQ50" i="31"/>
  <c r="AR50" i="31"/>
  <c r="AQ451" i="31"/>
  <c r="AR451" i="31"/>
  <c r="AQ56" i="31"/>
  <c r="AR56" i="31"/>
  <c r="AQ173" i="31"/>
  <c r="AR173" i="31"/>
  <c r="AQ498" i="31"/>
  <c r="AR498" i="31"/>
  <c r="AQ655" i="31"/>
  <c r="AR655" i="31"/>
  <c r="AQ549" i="31"/>
  <c r="AR549" i="31"/>
  <c r="AQ10" i="31"/>
  <c r="AR10" i="31"/>
  <c r="AQ111" i="31"/>
  <c r="AR111" i="31"/>
  <c r="AQ127" i="31"/>
  <c r="AR127" i="31"/>
  <c r="AQ195" i="31"/>
  <c r="AR195" i="31"/>
  <c r="AQ349" i="31"/>
  <c r="AR349" i="31"/>
  <c r="AQ169" i="31"/>
  <c r="AR169" i="31"/>
  <c r="AQ31" i="31"/>
  <c r="AR31" i="31"/>
  <c r="AQ483" i="31"/>
  <c r="AR483" i="31"/>
  <c r="AQ540" i="31"/>
  <c r="AR540" i="31"/>
  <c r="AQ239" i="31"/>
  <c r="AR239" i="31"/>
  <c r="AR509" i="31"/>
  <c r="AQ509" i="31"/>
  <c r="AQ583" i="31"/>
  <c r="AR583" i="31"/>
  <c r="AQ234" i="31"/>
  <c r="AR234" i="31"/>
  <c r="AQ492" i="31"/>
  <c r="AR492" i="31"/>
  <c r="AQ207" i="31"/>
  <c r="AR207" i="31"/>
  <c r="AR369" i="31"/>
  <c r="AQ369" i="31"/>
  <c r="AQ277" i="31"/>
  <c r="AR277" i="31"/>
  <c r="AQ475" i="31"/>
  <c r="AR475" i="31"/>
  <c r="AQ29" i="31"/>
  <c r="AR29" i="31"/>
  <c r="AQ351" i="31"/>
  <c r="AR351" i="31"/>
  <c r="AQ193" i="31"/>
  <c r="AR193" i="31"/>
  <c r="AR647" i="31"/>
  <c r="AQ647" i="31"/>
  <c r="AR633" i="31"/>
  <c r="AQ633" i="31"/>
  <c r="AR282" i="31"/>
  <c r="AQ282" i="31"/>
  <c r="AR116" i="31"/>
  <c r="AQ116" i="31"/>
  <c r="AQ250" i="31"/>
  <c r="AR250" i="31"/>
  <c r="AQ160" i="31"/>
  <c r="AR160" i="31"/>
  <c r="AQ128" i="31"/>
  <c r="AR128" i="31"/>
  <c r="AR584" i="31"/>
  <c r="AQ584" i="31"/>
  <c r="AQ63" i="31"/>
  <c r="AR63" i="31"/>
  <c r="AQ426" i="31"/>
  <c r="AR426" i="31"/>
  <c r="AR140" i="31"/>
  <c r="AQ140" i="31"/>
  <c r="AQ232" i="31"/>
  <c r="AR232" i="31"/>
  <c r="AQ103" i="31"/>
  <c r="AR103" i="31"/>
  <c r="AR587" i="31"/>
  <c r="AQ587" i="31"/>
  <c r="AQ148" i="31"/>
  <c r="AR148" i="31"/>
  <c r="AQ618" i="31"/>
  <c r="AR618" i="31"/>
  <c r="AQ420" i="31"/>
  <c r="AR420" i="31"/>
  <c r="AQ453" i="31"/>
  <c r="AR453" i="31"/>
  <c r="AR554" i="31"/>
  <c r="AQ554" i="31"/>
  <c r="AQ361" i="31"/>
  <c r="AR361" i="31"/>
  <c r="AQ555" i="31"/>
  <c r="AR555" i="31"/>
  <c r="AR80" i="31"/>
  <c r="AQ80" i="31"/>
  <c r="AQ162" i="31"/>
  <c r="AR162" i="31"/>
  <c r="AR626" i="31"/>
  <c r="AQ626" i="31"/>
  <c r="AQ538" i="31"/>
  <c r="AR538" i="31"/>
  <c r="AQ359" i="31"/>
  <c r="AR359" i="31"/>
  <c r="AQ424" i="31"/>
  <c r="AR424" i="31"/>
  <c r="AR646" i="31"/>
  <c r="AQ646" i="31"/>
  <c r="AQ51" i="31"/>
  <c r="AR51" i="31"/>
  <c r="AQ230" i="31"/>
  <c r="AR230" i="31"/>
  <c r="AQ100" i="31"/>
  <c r="AR100" i="31"/>
  <c r="AQ516" i="31"/>
  <c r="AR516" i="31"/>
  <c r="AQ573" i="31"/>
  <c r="AR573" i="31"/>
  <c r="AQ154" i="31"/>
  <c r="AR154" i="31"/>
  <c r="AQ143" i="31"/>
  <c r="AR143" i="31"/>
  <c r="AR467" i="31"/>
  <c r="AQ467" i="31"/>
  <c r="AQ12" i="31"/>
  <c r="AR12" i="31"/>
  <c r="AQ78" i="31"/>
  <c r="AR78" i="31"/>
  <c r="AQ421" i="31"/>
  <c r="AR421" i="31"/>
  <c r="AQ79" i="31"/>
  <c r="AR79" i="31"/>
  <c r="AQ11" i="31"/>
  <c r="AR11" i="31"/>
  <c r="AR539" i="31"/>
  <c r="AQ539" i="31"/>
  <c r="AQ295" i="31"/>
  <c r="AR295" i="31"/>
  <c r="AQ184" i="31"/>
  <c r="AR184" i="31"/>
  <c r="AQ345" i="31"/>
  <c r="AR345" i="31"/>
  <c r="AQ314" i="31"/>
  <c r="AR314" i="31"/>
  <c r="AQ556" i="31"/>
  <c r="AR556" i="31"/>
  <c r="AQ477" i="31"/>
  <c r="AR477" i="31"/>
  <c r="AR59" i="31"/>
  <c r="AQ59" i="31"/>
  <c r="AR395" i="31"/>
  <c r="AQ395" i="31"/>
  <c r="AQ317" i="31"/>
  <c r="AR317" i="31"/>
  <c r="AR512" i="31"/>
  <c r="AQ512" i="31"/>
  <c r="AQ65" i="31"/>
  <c r="AR65" i="31"/>
  <c r="AQ306" i="31"/>
  <c r="AR306" i="31"/>
  <c r="AR619" i="31"/>
  <c r="AQ619" i="31"/>
  <c r="AQ217" i="31"/>
  <c r="AR217" i="31"/>
  <c r="AQ15" i="31"/>
  <c r="AR15" i="31"/>
  <c r="AQ301" i="31"/>
  <c r="AR301" i="31"/>
  <c r="AQ44" i="31"/>
  <c r="AR44" i="31"/>
  <c r="AQ180" i="31"/>
  <c r="AR180" i="31"/>
  <c r="AQ280" i="31"/>
  <c r="AR280" i="31"/>
  <c r="AQ304" i="31"/>
  <c r="AR304" i="31"/>
  <c r="AQ342" i="31"/>
  <c r="AR342" i="31"/>
  <c r="AQ448" i="31"/>
  <c r="AR448" i="31"/>
  <c r="AQ85" i="31"/>
  <c r="AR85" i="31"/>
  <c r="AR227" i="31"/>
  <c r="AQ227" i="31"/>
  <c r="AQ289" i="31"/>
  <c r="AR289" i="31"/>
  <c r="AQ87" i="31"/>
  <c r="AR87" i="31"/>
  <c r="AQ147" i="31"/>
  <c r="AR147" i="31"/>
  <c r="AR485" i="31"/>
  <c r="AQ485" i="31"/>
  <c r="AQ192" i="31"/>
  <c r="AR192" i="31"/>
  <c r="AQ222" i="31"/>
  <c r="AR222" i="31"/>
  <c r="AQ90" i="31"/>
  <c r="AR90" i="31"/>
  <c r="AQ507" i="31"/>
  <c r="AR507" i="31"/>
  <c r="AQ228" i="31"/>
  <c r="AR228" i="31"/>
  <c r="AQ218" i="31"/>
  <c r="AR218" i="31"/>
  <c r="AR526" i="31"/>
  <c r="AQ526" i="31"/>
  <c r="AR634" i="31"/>
  <c r="AQ634" i="31"/>
  <c r="AR657" i="31"/>
  <c r="AQ657" i="31"/>
  <c r="AQ69" i="31"/>
  <c r="AR69" i="31"/>
  <c r="AQ396" i="31"/>
  <c r="AR396" i="31"/>
  <c r="AR553" i="31"/>
  <c r="AQ553" i="31"/>
  <c r="AQ446" i="31"/>
  <c r="AR446" i="31"/>
  <c r="AQ604" i="31"/>
  <c r="AR604" i="31"/>
  <c r="AQ433" i="31"/>
  <c r="AR433" i="31"/>
  <c r="AR491" i="31"/>
  <c r="AQ491" i="31"/>
  <c r="AQ406" i="31"/>
  <c r="AR406" i="31"/>
  <c r="AQ570" i="31"/>
  <c r="AR570" i="31"/>
  <c r="AR83" i="31"/>
  <c r="AQ83" i="31"/>
  <c r="AQ505" i="31"/>
  <c r="AR505" i="31"/>
  <c r="AQ241" i="31"/>
  <c r="AR241" i="31"/>
  <c r="AQ45" i="31"/>
  <c r="AR45" i="31"/>
  <c r="AQ354" i="31"/>
  <c r="AR354" i="31"/>
  <c r="AQ495" i="31"/>
  <c r="AR495" i="31"/>
  <c r="AQ117" i="31"/>
  <c r="AR117" i="31"/>
  <c r="AR580" i="31"/>
  <c r="AQ580" i="31"/>
  <c r="AQ281" i="31"/>
  <c r="AR281" i="31"/>
  <c r="AQ332" i="31"/>
  <c r="AR332" i="31"/>
  <c r="AQ278" i="31"/>
  <c r="AR278" i="31"/>
  <c r="AQ380" i="31"/>
  <c r="AR380" i="31"/>
  <c r="AR490" i="31"/>
  <c r="AQ490" i="31"/>
  <c r="AQ81" i="31"/>
  <c r="AR81" i="31"/>
  <c r="AQ41" i="31"/>
  <c r="AR41" i="31"/>
  <c r="AQ136" i="31"/>
  <c r="AR136" i="31"/>
  <c r="AQ150" i="31"/>
  <c r="AR150" i="31"/>
  <c r="AQ586" i="31"/>
  <c r="AR586" i="31"/>
  <c r="AQ528" i="31"/>
  <c r="AR528" i="31"/>
  <c r="AQ40" i="31"/>
  <c r="AR40" i="31"/>
  <c r="AQ457" i="31"/>
  <c r="AR457" i="31"/>
  <c r="AQ327" i="31"/>
  <c r="AR327" i="31"/>
  <c r="AQ181" i="31"/>
  <c r="AR181" i="31"/>
  <c r="AQ558" i="31"/>
  <c r="AR558" i="31"/>
  <c r="AQ432" i="31"/>
  <c r="AR432" i="31"/>
  <c r="AQ465" i="31"/>
  <c r="AR465" i="31"/>
  <c r="AQ137" i="31"/>
  <c r="AR137" i="31"/>
  <c r="AQ471" i="31"/>
  <c r="AR471" i="31"/>
  <c r="AQ325" i="31"/>
  <c r="AR325" i="31"/>
  <c r="AR47" i="31"/>
  <c r="AQ47" i="31"/>
  <c r="AQ663" i="31"/>
  <c r="AR663" i="31"/>
  <c r="AR638" i="31"/>
  <c r="AQ638" i="31"/>
  <c r="AQ123" i="31"/>
  <c r="AR123" i="31"/>
  <c r="AQ389" i="31"/>
  <c r="AR389" i="31"/>
  <c r="AQ216" i="31"/>
  <c r="AR216" i="31"/>
  <c r="AQ226" i="31"/>
  <c r="AR226" i="31"/>
  <c r="AQ469" i="31"/>
  <c r="AR469" i="31"/>
  <c r="AQ487" i="31"/>
  <c r="AR487" i="31"/>
  <c r="AQ159" i="31"/>
  <c r="AR159" i="31"/>
  <c r="AQ132" i="31"/>
  <c r="AR132" i="31"/>
  <c r="AQ576" i="31"/>
  <c r="AR576" i="31"/>
  <c r="AQ70" i="31"/>
  <c r="AR70" i="31"/>
  <c r="AQ224" i="31"/>
  <c r="AR224" i="31"/>
  <c r="AQ64" i="31"/>
  <c r="AR64" i="31"/>
  <c r="AQ141" i="31"/>
  <c r="AR141" i="31"/>
  <c r="AQ221" i="31"/>
  <c r="AR221" i="31"/>
  <c r="AQ243" i="31"/>
  <c r="AR243" i="31"/>
  <c r="AR616" i="31"/>
  <c r="AQ616" i="31"/>
  <c r="AQ236" i="31"/>
  <c r="AR236" i="31"/>
  <c r="AQ303" i="31"/>
  <c r="AR303" i="31"/>
  <c r="AQ658" i="31"/>
  <c r="AR658" i="31"/>
  <c r="AQ358" i="31"/>
  <c r="AR358" i="31"/>
  <c r="AQ664" i="31"/>
  <c r="AR664" i="31"/>
  <c r="AQ315" i="31"/>
  <c r="AR315" i="31"/>
  <c r="AQ543" i="31"/>
  <c r="AR543" i="31"/>
  <c r="AQ382" i="31"/>
  <c r="AR382" i="31"/>
  <c r="AR155" i="31"/>
  <c r="AQ155" i="31"/>
  <c r="AQ182" i="31"/>
  <c r="AR182" i="31"/>
  <c r="AR668" i="31"/>
  <c r="AQ668" i="31"/>
  <c r="AR125" i="31"/>
  <c r="AQ125" i="31"/>
  <c r="AQ60" i="31"/>
  <c r="AR60" i="31"/>
  <c r="AQ196" i="31"/>
  <c r="AR196" i="31"/>
  <c r="AR623" i="31"/>
  <c r="AQ623" i="31"/>
  <c r="AQ91" i="31"/>
  <c r="AR91" i="31"/>
  <c r="AQ468" i="31"/>
  <c r="AR468" i="31"/>
  <c r="AR530" i="31"/>
  <c r="AQ530" i="31"/>
  <c r="AQ319" i="31"/>
  <c r="AR319" i="31"/>
  <c r="AQ197" i="31"/>
  <c r="AR197" i="31"/>
  <c r="AQ403" i="31"/>
  <c r="AR403" i="31"/>
  <c r="AQ43" i="31"/>
  <c r="AR43" i="31"/>
  <c r="AQ547" i="31"/>
  <c r="AR547" i="31"/>
  <c r="AR479" i="31"/>
  <c r="AQ479" i="31"/>
  <c r="AR653" i="31"/>
  <c r="AQ653" i="31"/>
  <c r="AR560" i="31"/>
  <c r="AQ560" i="31"/>
  <c r="AR625" i="31"/>
  <c r="AQ625" i="31"/>
  <c r="AR362" i="31"/>
  <c r="AQ362" i="31"/>
  <c r="AR131" i="31"/>
  <c r="AQ131" i="31"/>
  <c r="AQ427" i="31"/>
  <c r="AR427" i="31"/>
  <c r="AR590" i="31"/>
  <c r="AQ590" i="31"/>
  <c r="AQ183" i="31"/>
  <c r="AR183" i="31"/>
  <c r="AQ347" i="31"/>
  <c r="AR347" i="31"/>
  <c r="AR329" i="31"/>
  <c r="AQ329" i="31"/>
  <c r="AR287" i="31"/>
  <c r="AQ287" i="31"/>
  <c r="AQ365" i="31"/>
  <c r="AR365" i="31"/>
  <c r="AQ174" i="31"/>
  <c r="AR174" i="31"/>
  <c r="AQ255" i="31"/>
  <c r="AR255" i="31"/>
  <c r="AQ189" i="31"/>
  <c r="AR189" i="31"/>
  <c r="AR533" i="31"/>
  <c r="AQ533" i="31"/>
  <c r="AR318" i="31"/>
  <c r="AQ318" i="31"/>
  <c r="AQ187" i="31"/>
  <c r="AR187" i="31"/>
  <c r="AQ200" i="31"/>
  <c r="AR200" i="31"/>
  <c r="AQ375" i="31"/>
  <c r="AR375" i="31"/>
  <c r="AQ531" i="31"/>
  <c r="AR531" i="31"/>
  <c r="AQ249" i="31"/>
  <c r="AR249" i="31"/>
  <c r="AQ17" i="31"/>
  <c r="AR17" i="31"/>
  <c r="AQ660" i="31"/>
  <c r="AR660" i="31"/>
  <c r="AQ188" i="31"/>
  <c r="AR188" i="31"/>
  <c r="AR659" i="31"/>
  <c r="AQ659" i="31"/>
  <c r="AQ343" i="31"/>
  <c r="AR343" i="31"/>
  <c r="AQ400" i="31"/>
  <c r="AR400" i="31"/>
  <c r="AQ233" i="31"/>
  <c r="AR233" i="31"/>
  <c r="AQ310" i="31"/>
  <c r="AR310" i="31"/>
  <c r="AQ447" i="31"/>
  <c r="AR447" i="31"/>
  <c r="AQ390" i="31"/>
  <c r="AR390" i="31"/>
  <c r="AR508" i="31"/>
  <c r="AQ508" i="31"/>
  <c r="AQ337" i="31"/>
  <c r="AR337" i="31"/>
  <c r="AR665" i="31"/>
  <c r="AQ665" i="31"/>
  <c r="AQ105" i="31"/>
  <c r="AR105" i="31"/>
  <c r="AQ385" i="31"/>
  <c r="AR385" i="31"/>
  <c r="AQ628" i="31"/>
  <c r="AR628" i="31"/>
  <c r="AR563" i="31"/>
  <c r="AQ563" i="31"/>
  <c r="AQ283" i="31"/>
  <c r="AR283" i="31"/>
  <c r="AQ265" i="31"/>
  <c r="AR265" i="31"/>
  <c r="AQ461" i="31"/>
  <c r="AR461" i="31"/>
  <c r="AQ129" i="31"/>
  <c r="AR129" i="31"/>
  <c r="AQ257" i="31"/>
  <c r="AR257" i="31"/>
  <c r="AQ55" i="31"/>
  <c r="AR55" i="31"/>
  <c r="AQ19" i="31"/>
  <c r="AR19" i="31"/>
  <c r="AQ120" i="31"/>
  <c r="AR120" i="31"/>
  <c r="AQ606" i="31"/>
  <c r="AR606" i="31"/>
  <c r="AR299" i="31"/>
  <c r="AQ299" i="31"/>
  <c r="AR589" i="31"/>
  <c r="AQ589" i="31"/>
  <c r="AQ113" i="31"/>
  <c r="AR113" i="31"/>
  <c r="AR203" i="31"/>
  <c r="AQ203" i="31"/>
  <c r="AQ520" i="31"/>
  <c r="AR520" i="31"/>
  <c r="AQ77" i="31"/>
  <c r="AR77" i="31"/>
  <c r="AQ246" i="31"/>
  <c r="AR246" i="31"/>
  <c r="AQ592" i="31"/>
  <c r="AR592" i="31"/>
  <c r="AR598" i="31"/>
  <c r="AQ598" i="31"/>
  <c r="AQ215" i="31"/>
  <c r="AR215" i="31"/>
  <c r="AQ36" i="31"/>
  <c r="AR36" i="31"/>
  <c r="AR23" i="31"/>
  <c r="AQ23" i="31"/>
  <c r="AR635" i="31"/>
  <c r="AQ635" i="31"/>
  <c r="AQ244" i="31"/>
  <c r="AR244" i="31"/>
  <c r="AR122" i="31"/>
  <c r="AQ122" i="31"/>
  <c r="AQ270" i="31"/>
  <c r="AR270" i="31"/>
  <c r="AQ595" i="31"/>
  <c r="AR595" i="31"/>
  <c r="AQ439" i="31"/>
  <c r="AR439" i="31"/>
  <c r="AR594" i="31"/>
  <c r="AQ594" i="31"/>
  <c r="AQ293" i="31"/>
  <c r="AR293" i="31"/>
  <c r="AQ639" i="31"/>
  <c r="AR639" i="31"/>
  <c r="AR644" i="31"/>
  <c r="AQ644" i="31"/>
  <c r="AQ537" i="31"/>
  <c r="AR537" i="31"/>
  <c r="AQ72" i="31"/>
  <c r="AR72" i="31"/>
  <c r="AQ425" i="31"/>
  <c r="AR425" i="31"/>
  <c r="AQ97" i="31"/>
  <c r="AR97" i="31"/>
  <c r="AQ30" i="31"/>
  <c r="AR30" i="31"/>
  <c r="AQ496" i="31"/>
  <c r="AR496" i="31"/>
  <c r="AR500" i="31"/>
  <c r="AQ500" i="31"/>
  <c r="AR404" i="31"/>
  <c r="AQ404" i="31"/>
  <c r="AQ268" i="31"/>
  <c r="AR268" i="31"/>
  <c r="AQ418" i="31"/>
  <c r="AR418" i="31"/>
  <c r="AR161" i="31"/>
  <c r="AQ161" i="31"/>
  <c r="AQ588" i="31"/>
  <c r="AR588" i="31"/>
  <c r="AQ146" i="31"/>
  <c r="AR146" i="31"/>
  <c r="AQ37" i="31"/>
  <c r="AR37" i="31"/>
  <c r="AR381" i="31"/>
  <c r="AQ381" i="31"/>
  <c r="AQ525" i="31"/>
  <c r="AR525" i="31"/>
  <c r="AR551" i="31"/>
  <c r="AQ551" i="31"/>
  <c r="AQ429" i="31"/>
  <c r="AR429" i="31"/>
  <c r="AQ71" i="31"/>
  <c r="AR71" i="31"/>
  <c r="AR662" i="31"/>
  <c r="AQ662" i="31"/>
  <c r="AQ238" i="31"/>
  <c r="AR238" i="31"/>
  <c r="AQ579" i="31"/>
  <c r="AR579" i="31"/>
  <c r="AQ417" i="31"/>
  <c r="AR417" i="31"/>
  <c r="AQ564" i="31"/>
  <c r="AR564" i="31"/>
  <c r="AQ292" i="31"/>
  <c r="AR292" i="31"/>
  <c r="AQ157" i="31"/>
  <c r="AR157" i="31"/>
  <c r="AR596" i="31"/>
  <c r="AQ596" i="31"/>
  <c r="AQ316" i="31"/>
  <c r="AR316" i="31"/>
  <c r="AR290" i="31"/>
  <c r="AQ290" i="31"/>
  <c r="AQ412" i="31"/>
  <c r="AR412" i="31"/>
  <c r="AR562" i="31"/>
  <c r="AQ562" i="31"/>
  <c r="AQ20" i="31"/>
  <c r="AR20" i="31"/>
  <c r="AQ511" i="31"/>
  <c r="AR511" i="31"/>
  <c r="AQ298" i="31"/>
  <c r="AR298" i="31"/>
  <c r="AQ210" i="31"/>
  <c r="AR210" i="31"/>
  <c r="AQ209" i="31"/>
  <c r="AR209" i="31"/>
  <c r="AQ52" i="31"/>
  <c r="AR52" i="31"/>
  <c r="AR503" i="31"/>
  <c r="AQ503" i="31"/>
  <c r="AQ247" i="31"/>
  <c r="AR247" i="31"/>
  <c r="AQ574" i="31"/>
  <c r="AR574" i="31"/>
  <c r="AQ373" i="31"/>
  <c r="AR373" i="31"/>
  <c r="AQ353" i="31"/>
  <c r="AR353" i="31"/>
  <c r="AQ288" i="31"/>
  <c r="AR288" i="31"/>
  <c r="AQ336" i="31"/>
  <c r="AR336" i="31"/>
  <c r="AR517" i="31"/>
  <c r="AQ517" i="31"/>
  <c r="AQ610" i="31"/>
  <c r="AR610" i="31"/>
  <c r="AQ370" i="31"/>
  <c r="AR370" i="31"/>
  <c r="AQ108" i="31"/>
  <c r="AR108" i="31"/>
  <c r="AQ34" i="31"/>
  <c r="AR34" i="31"/>
  <c r="AQ480" i="31"/>
  <c r="AR480" i="31"/>
  <c r="AQ630" i="31"/>
  <c r="AR630" i="31"/>
  <c r="AR611" i="31"/>
  <c r="AQ611" i="31"/>
  <c r="AQ53" i="31"/>
  <c r="AR53" i="31"/>
  <c r="AR641" i="31"/>
  <c r="AQ641" i="31"/>
  <c r="AQ48" i="31"/>
  <c r="AR48" i="31"/>
  <c r="AQ213" i="31"/>
  <c r="AR213" i="31"/>
  <c r="AM9" i="31"/>
  <c r="X4" i="31"/>
  <c r="E41" i="25"/>
  <c r="R41" i="25" s="1"/>
  <c r="S41" i="25" s="1"/>
  <c r="E39" i="25"/>
  <c r="R39" i="25" s="1"/>
  <c r="S39" i="25" s="1"/>
  <c r="E37" i="25"/>
  <c r="R37" i="25" s="1"/>
  <c r="S37" i="25" s="1"/>
  <c r="E31" i="25"/>
  <c r="R31" i="25" s="1"/>
  <c r="S31" i="25" s="1"/>
  <c r="E36" i="25"/>
  <c r="R36" i="25" s="1"/>
  <c r="E38" i="25"/>
  <c r="R38" i="25" s="1"/>
  <c r="E33" i="25"/>
  <c r="R33" i="25" s="1"/>
  <c r="S33" i="25" s="1"/>
  <c r="E35" i="25"/>
  <c r="R35" i="25" s="1"/>
  <c r="S35" i="25" s="1"/>
  <c r="E32" i="25"/>
  <c r="R32" i="25" s="1"/>
  <c r="E34" i="25"/>
  <c r="R34" i="25" s="1"/>
  <c r="E40" i="25"/>
  <c r="R40" i="25" s="1"/>
  <c r="E42" i="25"/>
  <c r="R42" i="25" s="1"/>
  <c r="S42" i="25" s="1"/>
  <c r="J35" i="25"/>
  <c r="K35" i="25" s="1"/>
  <c r="J32" i="25"/>
  <c r="K32" i="25" s="1"/>
  <c r="J40" i="25"/>
  <c r="K40" i="25" s="1"/>
  <c r="J31" i="25"/>
  <c r="K31" i="25" s="1"/>
  <c r="J33" i="25"/>
  <c r="K33" i="25" s="1"/>
  <c r="J42" i="25"/>
  <c r="K42" i="25" s="1"/>
  <c r="J34" i="25"/>
  <c r="K34" i="25" s="1"/>
  <c r="J38" i="25"/>
  <c r="K38" i="25" s="1"/>
  <c r="J41" i="25"/>
  <c r="K41" i="25" s="1"/>
  <c r="J36" i="25"/>
  <c r="K36" i="25" s="1"/>
  <c r="J37" i="25"/>
  <c r="K37" i="25" s="1"/>
  <c r="J39" i="25"/>
  <c r="K39" i="25" s="1"/>
  <c r="E30" i="25"/>
  <c r="R30" i="25" s="1"/>
  <c r="S30" i="25" s="1"/>
  <c r="E22" i="25"/>
  <c r="R22" i="25" s="1"/>
  <c r="S22" i="25" s="1"/>
  <c r="E25" i="25"/>
  <c r="R25" i="25" s="1"/>
  <c r="S25" i="25" s="1"/>
  <c r="E21" i="25"/>
  <c r="R21" i="25" s="1"/>
  <c r="E26" i="25"/>
  <c r="R26" i="25" s="1"/>
  <c r="S26" i="25" s="1"/>
  <c r="E28" i="25"/>
  <c r="R28" i="25" s="1"/>
  <c r="E27" i="25"/>
  <c r="R27" i="25" s="1"/>
  <c r="E24" i="25"/>
  <c r="R24" i="25" s="1"/>
  <c r="S24" i="25" s="1"/>
  <c r="E19" i="25"/>
  <c r="R19" i="25" s="1"/>
  <c r="S19" i="25" s="1"/>
  <c r="E20" i="25"/>
  <c r="R20" i="25" s="1"/>
  <c r="S20" i="25" s="1"/>
  <c r="E23" i="25"/>
  <c r="R23" i="25" s="1"/>
  <c r="E29" i="25"/>
  <c r="R29" i="25" s="1"/>
  <c r="S29" i="25" s="1"/>
  <c r="J26" i="25"/>
  <c r="J25" i="25"/>
  <c r="J23" i="25"/>
  <c r="J20" i="25"/>
  <c r="J29" i="25"/>
  <c r="K29" i="25" s="1"/>
  <c r="J19" i="25"/>
  <c r="J27" i="25"/>
  <c r="J22" i="25"/>
  <c r="J28" i="25"/>
  <c r="K28" i="25" s="1"/>
  <c r="J30" i="25"/>
  <c r="K30" i="25" s="1"/>
  <c r="J21" i="25"/>
  <c r="J24" i="25"/>
  <c r="K25" i="25" l="1"/>
  <c r="K27" i="25"/>
  <c r="K26" i="25"/>
  <c r="Y4" i="31"/>
  <c r="Z4" i="31" s="1"/>
  <c r="S40" i="25"/>
  <c r="S34" i="25"/>
  <c r="S32" i="25"/>
  <c r="S38" i="25"/>
  <c r="S36" i="25"/>
  <c r="K19" i="25"/>
  <c r="S28" i="25"/>
  <c r="K20" i="25"/>
  <c r="S21" i="25"/>
  <c r="K23" i="25"/>
  <c r="K24" i="25"/>
  <c r="S23" i="25"/>
  <c r="K21" i="25"/>
  <c r="K22" i="25"/>
  <c r="S27" i="25"/>
  <c r="E7" i="25" l="1"/>
  <c r="E5" i="25" l="1"/>
  <c r="E6" i="25"/>
  <c r="M31" i="25"/>
  <c r="M32" i="25"/>
  <c r="M33" i="25"/>
  <c r="M34" i="25"/>
  <c r="E12" i="25"/>
  <c r="G24" i="25" l="1"/>
  <c r="T24" i="25" s="1"/>
  <c r="U25" i="25"/>
  <c r="U27" i="25"/>
  <c r="U26" i="25"/>
  <c r="N25" i="25"/>
  <c r="O25" i="25" s="1"/>
  <c r="N47" i="25"/>
  <c r="O47" i="25" s="1"/>
  <c r="N39" i="25"/>
  <c r="O39" i="25" s="1"/>
  <c r="N53" i="25"/>
  <c r="O53" i="25" s="1"/>
  <c r="N26" i="25"/>
  <c r="O26" i="25" s="1"/>
  <c r="N35" i="25"/>
  <c r="O35" i="25" s="1"/>
  <c r="N36" i="25"/>
  <c r="O36" i="25" s="1"/>
  <c r="N51" i="25"/>
  <c r="O51" i="25" s="1"/>
  <c r="N46" i="25"/>
  <c r="O46" i="25" s="1"/>
  <c r="N52" i="25"/>
  <c r="O52" i="25" s="1"/>
  <c r="N31" i="25"/>
  <c r="O31" i="25" s="1"/>
  <c r="U22" i="25"/>
  <c r="N30" i="25"/>
  <c r="O30" i="25" s="1"/>
  <c r="N38" i="25"/>
  <c r="O38" i="25" s="1"/>
  <c r="N43" i="25"/>
  <c r="O43" i="25" s="1"/>
  <c r="N45" i="25"/>
  <c r="O45" i="25" s="1"/>
  <c r="N34" i="25"/>
  <c r="O34" i="25" s="1"/>
  <c r="U21" i="25"/>
  <c r="N29" i="25"/>
  <c r="O29" i="25" s="1"/>
  <c r="N27" i="25"/>
  <c r="O27" i="25" s="1"/>
  <c r="U24" i="25"/>
  <c r="N32" i="25"/>
  <c r="O32" i="25" s="1"/>
  <c r="N41" i="25"/>
  <c r="O41" i="25" s="1"/>
  <c r="N48" i="25"/>
  <c r="O48" i="25" s="1"/>
  <c r="N28" i="25"/>
  <c r="O28" i="25" s="1"/>
  <c r="N44" i="25"/>
  <c r="O44" i="25" s="1"/>
  <c r="N40" i="25"/>
  <c r="O40" i="25" s="1"/>
  <c r="E9" i="25"/>
  <c r="N50" i="25"/>
  <c r="O50" i="25" s="1"/>
  <c r="N54" i="25"/>
  <c r="O54" i="25" s="1"/>
  <c r="N42" i="25"/>
  <c r="O42" i="25" s="1"/>
  <c r="N33" i="25"/>
  <c r="O33" i="25" s="1"/>
  <c r="N37" i="25"/>
  <c r="O37" i="25" s="1"/>
  <c r="G38" i="25"/>
  <c r="H39" i="25" s="1"/>
  <c r="G39" i="25"/>
  <c r="T39" i="25" s="1"/>
  <c r="G37" i="25"/>
  <c r="H38" i="25" s="1"/>
  <c r="G36" i="25"/>
  <c r="H37" i="25" s="1"/>
  <c r="G35" i="25"/>
  <c r="H36" i="25" s="1"/>
  <c r="G33" i="25"/>
  <c r="H34" i="25" s="1"/>
  <c r="G34" i="25"/>
  <c r="H35" i="25" s="1"/>
  <c r="G32" i="25"/>
  <c r="H33" i="25" s="1"/>
  <c r="U19" i="25"/>
  <c r="G31" i="25"/>
  <c r="H32" i="25" s="1"/>
  <c r="U23" i="25"/>
  <c r="G42" i="25"/>
  <c r="H43" i="25" s="1"/>
  <c r="G29" i="25"/>
  <c r="H30" i="25" s="1"/>
  <c r="G41" i="25"/>
  <c r="H42" i="25" s="1"/>
  <c r="G28" i="25"/>
  <c r="T28" i="25" s="1"/>
  <c r="N49" i="25"/>
  <c r="O49" i="25" s="1"/>
  <c r="U20" i="25"/>
  <c r="G40" i="25"/>
  <c r="T40" i="25" s="1"/>
  <c r="G27" i="25"/>
  <c r="G23" i="25"/>
  <c r="H24" i="25" s="1"/>
  <c r="G22" i="25"/>
  <c r="H23" i="25" s="1"/>
  <c r="G21" i="25"/>
  <c r="M55" i="25"/>
  <c r="G26" i="25"/>
  <c r="G20" i="25"/>
  <c r="G25" i="25"/>
  <c r="G19" i="25"/>
  <c r="G30" i="25"/>
  <c r="H25" i="25" l="1"/>
  <c r="T35" i="25"/>
  <c r="T38" i="25"/>
  <c r="H40" i="25"/>
  <c r="T37" i="25"/>
  <c r="T36" i="25"/>
  <c r="T34" i="25"/>
  <c r="T22" i="25"/>
  <c r="T23" i="25"/>
  <c r="T33" i="25"/>
  <c r="T42" i="25"/>
  <c r="T41" i="25"/>
  <c r="T31" i="25"/>
  <c r="T29" i="25"/>
  <c r="H29" i="25"/>
  <c r="H41" i="25"/>
  <c r="T32" i="25"/>
  <c r="H28" i="25"/>
  <c r="T27" i="25"/>
  <c r="H22" i="25"/>
  <c r="T21" i="25"/>
  <c r="H20" i="25"/>
  <c r="T19" i="25"/>
  <c r="H26" i="25"/>
  <c r="T25" i="25"/>
  <c r="H31" i="25"/>
  <c r="T30" i="25"/>
  <c r="T20" i="25"/>
  <c r="H21" i="25"/>
  <c r="H27" i="25"/>
  <c r="T26" i="25"/>
  <c r="K4" i="25" l="1"/>
  <c r="J4" i="25" l="1"/>
  <c r="J11" i="25" s="1"/>
  <c r="G4" i="25"/>
  <c r="W40" i="25" l="1"/>
  <c r="W42" i="25"/>
  <c r="W20" i="25"/>
  <c r="W38" i="25"/>
  <c r="W49" i="25"/>
  <c r="W54" i="25"/>
  <c r="W29" i="25"/>
  <c r="AD19" i="25"/>
  <c r="L22" i="25"/>
  <c r="V22" i="25" s="1"/>
  <c r="Y39" i="25"/>
  <c r="V38" i="25"/>
  <c r="AD53" i="25"/>
  <c r="V50" i="25"/>
  <c r="AB19" i="25"/>
  <c r="L47" i="25"/>
  <c r="L32" i="25"/>
  <c r="AB24" i="25"/>
  <c r="AD24" i="25" s="1"/>
  <c r="AB49" i="25"/>
  <c r="AB30" i="25"/>
  <c r="AD30" i="25" s="1"/>
  <c r="AD48" i="25"/>
  <c r="Y40" i="25"/>
  <c r="Y42" i="25"/>
  <c r="Y20" i="25"/>
  <c r="Y38" i="25"/>
  <c r="Y49" i="25"/>
  <c r="Y54" i="25"/>
  <c r="Y29" i="25"/>
  <c r="AD20" i="25"/>
  <c r="AB27" i="25"/>
  <c r="AD27" i="25" s="1"/>
  <c r="AB38" i="25"/>
  <c r="AD38" i="25" s="1"/>
  <c r="Y23" i="25"/>
  <c r="L49" i="25"/>
  <c r="L33" i="25"/>
  <c r="V52" i="25"/>
  <c r="L31" i="25"/>
  <c r="AB53" i="25"/>
  <c r="V53" i="25"/>
  <c r="L45" i="25"/>
  <c r="AB50" i="25"/>
  <c r="L44" i="25"/>
  <c r="AD21" i="25"/>
  <c r="AB31" i="25"/>
  <c r="AD31" i="25" s="1"/>
  <c r="AB35" i="25"/>
  <c r="AD35" i="25" s="1"/>
  <c r="AB47" i="25"/>
  <c r="V44" i="25"/>
  <c r="V35" i="25"/>
  <c r="V29" i="25"/>
  <c r="AB48" i="25"/>
  <c r="L19" i="25"/>
  <c r="V49" i="25"/>
  <c r="L35" i="25"/>
  <c r="W52" i="25"/>
  <c r="W33" i="25"/>
  <c r="W45" i="25"/>
  <c r="W34" i="25"/>
  <c r="W46" i="25"/>
  <c r="W36" i="25"/>
  <c r="Y24" i="25"/>
  <c r="L53" i="25"/>
  <c r="Y22" i="25"/>
  <c r="L37" i="25"/>
  <c r="V47" i="25"/>
  <c r="AD46" i="25"/>
  <c r="AB44" i="25"/>
  <c r="L38" i="25"/>
  <c r="L51" i="25"/>
  <c r="Y52" i="25"/>
  <c r="Y26" i="25"/>
  <c r="Y33" i="25"/>
  <c r="Y45" i="25"/>
  <c r="Y34" i="25"/>
  <c r="Y46" i="25"/>
  <c r="Y36" i="25"/>
  <c r="AB28" i="25"/>
  <c r="AD28" i="25" s="1"/>
  <c r="AB39" i="25"/>
  <c r="AD39" i="25" s="1"/>
  <c r="AB42" i="25"/>
  <c r="AD42" i="25" s="1"/>
  <c r="L21" i="25"/>
  <c r="AB45" i="25"/>
  <c r="V46" i="25"/>
  <c r="AE21" i="25"/>
  <c r="AE19" i="25"/>
  <c r="V36" i="25"/>
  <c r="L48" i="25"/>
  <c r="AB32" i="25"/>
  <c r="AD32" i="25" s="1"/>
  <c r="AB36" i="25"/>
  <c r="AD36" i="25" s="1"/>
  <c r="V30" i="25"/>
  <c r="V43" i="25"/>
  <c r="W53" i="25"/>
  <c r="AD51" i="25"/>
  <c r="V32" i="25"/>
  <c r="AE20" i="25"/>
  <c r="AD49" i="25"/>
  <c r="AB23" i="25"/>
  <c r="AD23" i="25" s="1"/>
  <c r="L29" i="25"/>
  <c r="V28" i="25"/>
  <c r="W50" i="25"/>
  <c r="W21" i="25"/>
  <c r="W31" i="25"/>
  <c r="W28" i="25"/>
  <c r="W19" i="25"/>
  <c r="W48" i="25"/>
  <c r="W30" i="25"/>
  <c r="AB41" i="25"/>
  <c r="AD41" i="25" s="1"/>
  <c r="V45" i="25"/>
  <c r="V31" i="25"/>
  <c r="Y53" i="25"/>
  <c r="L34" i="25"/>
  <c r="AD45" i="25"/>
  <c r="AD54" i="25"/>
  <c r="L26" i="25"/>
  <c r="V26" i="25" s="1"/>
  <c r="L28" i="25"/>
  <c r="L25" i="25"/>
  <c r="V25" i="25" s="1"/>
  <c r="V48" i="25"/>
  <c r="Y50" i="25"/>
  <c r="Y21" i="25"/>
  <c r="Y31" i="25"/>
  <c r="Y28" i="25"/>
  <c r="Y19" i="25"/>
  <c r="Y48" i="25"/>
  <c r="Y25" i="25"/>
  <c r="Y30" i="25"/>
  <c r="AB25" i="25"/>
  <c r="AD25" i="25" s="1"/>
  <c r="AB40" i="25"/>
  <c r="AD40" i="25" s="1"/>
  <c r="L43" i="25"/>
  <c r="L39" i="25"/>
  <c r="L50" i="25"/>
  <c r="AB52" i="25"/>
  <c r="AD50" i="25"/>
  <c r="L23" i="25"/>
  <c r="V23" i="25" s="1"/>
  <c r="L27" i="25"/>
  <c r="V27" i="25" s="1"/>
  <c r="AB21" i="25"/>
  <c r="AB29" i="25"/>
  <c r="AD29" i="25" s="1"/>
  <c r="AB33" i="25"/>
  <c r="AD33" i="25" s="1"/>
  <c r="AB22" i="25"/>
  <c r="AD22" i="25" s="1"/>
  <c r="AD47" i="25"/>
  <c r="W44" i="25"/>
  <c r="AD52" i="25"/>
  <c r="L30" i="25"/>
  <c r="L46" i="25"/>
  <c r="V51" i="25"/>
  <c r="L24" i="25"/>
  <c r="V24" i="25" s="1"/>
  <c r="AB43" i="25"/>
  <c r="V40" i="25"/>
  <c r="W43" i="25"/>
  <c r="W35" i="25"/>
  <c r="W41" i="25"/>
  <c r="W47" i="25"/>
  <c r="W37" i="25"/>
  <c r="W51" i="25"/>
  <c r="W32" i="25"/>
  <c r="V54" i="25"/>
  <c r="V34" i="25"/>
  <c r="Y44" i="25"/>
  <c r="AB20" i="25"/>
  <c r="L40" i="25"/>
  <c r="V39" i="25"/>
  <c r="V41" i="25"/>
  <c r="L20" i="25"/>
  <c r="AD43" i="25"/>
  <c r="W39" i="25"/>
  <c r="V37" i="25"/>
  <c r="Y43" i="25"/>
  <c r="Y27" i="25"/>
  <c r="Y35" i="25"/>
  <c r="Y41" i="25"/>
  <c r="Y47" i="25"/>
  <c r="Y37" i="25"/>
  <c r="Y51" i="25"/>
  <c r="Y32" i="25"/>
  <c r="AB26" i="25"/>
  <c r="AD26" i="25" s="1"/>
  <c r="AB37" i="25"/>
  <c r="AD37" i="25" s="1"/>
  <c r="V33" i="25"/>
  <c r="L36" i="25"/>
  <c r="L42" i="25"/>
  <c r="AB51" i="25"/>
  <c r="AB54" i="25"/>
  <c r="V42" i="25"/>
  <c r="L41" i="25"/>
  <c r="L54" i="25"/>
  <c r="AD44" i="25"/>
  <c r="AB34" i="25"/>
  <c r="AD34" i="25" s="1"/>
  <c r="AB46" i="25"/>
  <c r="L52" i="25"/>
  <c r="W27" i="25" l="1"/>
  <c r="W25" i="25"/>
  <c r="W26" i="25"/>
  <c r="Z26" i="25" s="1"/>
  <c r="AE22" i="25"/>
  <c r="AE23" i="25"/>
  <c r="AE24" i="25"/>
  <c r="W23" i="25"/>
  <c r="Z23" i="25" s="1"/>
  <c r="Z39" i="25"/>
  <c r="Z52" i="25"/>
  <c r="Z47" i="25"/>
  <c r="Z30" i="25"/>
  <c r="Z25" i="25"/>
  <c r="Z35" i="25"/>
  <c r="AE34" i="25"/>
  <c r="Z31" i="25"/>
  <c r="Z46" i="25"/>
  <c r="Z34" i="25"/>
  <c r="W22" i="25"/>
  <c r="Z22" i="25" s="1"/>
  <c r="Z45" i="25"/>
  <c r="Z44" i="25"/>
  <c r="W24" i="25"/>
  <c r="Z24" i="25" s="1"/>
  <c r="AE29" i="25"/>
  <c r="Z41" i="25"/>
  <c r="Z36" i="25"/>
  <c r="AE32" i="25"/>
  <c r="AE36" i="25"/>
  <c r="AE28" i="25"/>
  <c r="AE27" i="25"/>
  <c r="Z29" i="25"/>
  <c r="AE37" i="25"/>
  <c r="Z43" i="25"/>
  <c r="Z54" i="25"/>
  <c r="AE30" i="25"/>
  <c r="Z48" i="25"/>
  <c r="Z33" i="25"/>
  <c r="AE26" i="25"/>
  <c r="Z49" i="25"/>
  <c r="AE40" i="25"/>
  <c r="Z19" i="25"/>
  <c r="Z53" i="25"/>
  <c r="Z38" i="25"/>
  <c r="AE35" i="25"/>
  <c r="AE33" i="25"/>
  <c r="AE41" i="25"/>
  <c r="Z28" i="25"/>
  <c r="Z20" i="25"/>
  <c r="AE25" i="25"/>
  <c r="Z42" i="25"/>
  <c r="Z27" i="25"/>
  <c r="Z32" i="25"/>
  <c r="Z21" i="25"/>
  <c r="AE38" i="25"/>
  <c r="AE31" i="25"/>
  <c r="Z40" i="25"/>
  <c r="Z51" i="25"/>
  <c r="AE42" i="25"/>
  <c r="Z50" i="25"/>
  <c r="Z37" i="25"/>
  <c r="AE39" i="25"/>
  <c r="D10" i="23" l="1"/>
  <c r="B17" i="28" l="1" a="1"/>
  <c r="B17" i="28" s="1"/>
  <c r="B15" i="28" a="1"/>
  <c r="B15" i="28" s="1"/>
  <c r="B16" i="28" a="1"/>
  <c r="B16" i="28" s="1"/>
  <c r="D13" i="23" l="1"/>
  <c r="D21" i="23"/>
  <c r="D20" i="23"/>
  <c r="D9" i="23" l="1"/>
  <c r="D11" i="23" l="1"/>
  <c r="D16" i="23" l="1"/>
  <c r="D15" i="23" l="1"/>
  <c r="D12" i="23" l="1"/>
  <c r="L20" i="14" l="1"/>
  <c r="I20" i="14"/>
  <c r="H21" i="21" l="1"/>
  <c r="B20" i="28"/>
  <c r="H57" i="28"/>
  <c r="M57" i="28" s="1"/>
  <c r="A57" i="28" s="1"/>
  <c r="F21" i="21"/>
  <c r="D21" i="22" s="1"/>
  <c r="L13" i="14"/>
  <c r="B28" i="28" s="1"/>
  <c r="I13" i="14"/>
  <c r="J4" i="14" s="1"/>
  <c r="I5" i="14" s="1"/>
  <c r="I18" i="14"/>
  <c r="M16" i="28" s="1"/>
  <c r="L19" i="14"/>
  <c r="H20" i="21" s="1"/>
  <c r="L18" i="14"/>
  <c r="H13" i="21" s="1"/>
  <c r="I34" i="14"/>
  <c r="I19" i="14"/>
  <c r="F20" i="21" s="1"/>
  <c r="D20" i="22" s="1"/>
  <c r="I36" i="14"/>
  <c r="I30" i="14"/>
  <c r="L30" i="14"/>
  <c r="G20" i="22" l="1"/>
  <c r="G21" i="22"/>
  <c r="B19" i="28"/>
  <c r="N16" i="28"/>
  <c r="M4" i="14"/>
  <c r="L5" i="14" s="1"/>
  <c r="L12" i="14" s="1"/>
  <c r="F26" i="12"/>
  <c r="F9" i="21"/>
  <c r="I12" i="14"/>
  <c r="G26" i="12"/>
  <c r="F13" i="21"/>
  <c r="D13" i="22" s="1"/>
  <c r="G13" i="22" l="1"/>
  <c r="F10" i="21"/>
  <c r="D10" i="22" s="1"/>
  <c r="D9" i="22"/>
  <c r="Q6" i="14"/>
  <c r="I26" i="12"/>
  <c r="I31" i="12" s="1"/>
  <c r="I43" i="12" s="1"/>
  <c r="H26" i="12"/>
  <c r="H31" i="12" s="1"/>
  <c r="H55" i="12" s="1"/>
  <c r="H11" i="21"/>
  <c r="N15" i="28"/>
  <c r="L11" i="14"/>
  <c r="F11" i="21"/>
  <c r="D11" i="22" s="1"/>
  <c r="N12" i="14"/>
  <c r="M15" i="28"/>
  <c r="B23" i="28"/>
  <c r="G31" i="12"/>
  <c r="G27" i="12"/>
  <c r="I35" i="14" s="1"/>
  <c r="F31" i="12"/>
  <c r="G11" i="22" l="1"/>
  <c r="I55" i="12"/>
  <c r="I46" i="12"/>
  <c r="I54" i="12"/>
  <c r="I56" i="12"/>
  <c r="I49" i="12" s="1"/>
  <c r="L29" i="14" s="1"/>
  <c r="H16" i="21" s="1"/>
  <c r="H54" i="12"/>
  <c r="H56" i="12"/>
  <c r="H9" i="12" s="1"/>
  <c r="H50" i="12" s="1"/>
  <c r="I42" i="12"/>
  <c r="I45" i="12" s="1"/>
  <c r="L25" i="14" s="1"/>
  <c r="N13" i="28"/>
  <c r="B13" i="28" s="1"/>
  <c r="H9" i="21"/>
  <c r="F55" i="12"/>
  <c r="F56" i="12"/>
  <c r="F9" i="12" s="1"/>
  <c r="F54" i="12"/>
  <c r="Q13" i="14"/>
  <c r="F26" i="21" s="1"/>
  <c r="M57" i="29"/>
  <c r="Q14" i="14"/>
  <c r="B25" i="28" s="1"/>
  <c r="M55" i="28"/>
  <c r="Q12" i="14"/>
  <c r="I35" i="12"/>
  <c r="L23" i="14"/>
  <c r="G46" i="12"/>
  <c r="G52" i="12"/>
  <c r="I33" i="14" s="1"/>
  <c r="G56" i="12"/>
  <c r="G49" i="12" s="1"/>
  <c r="I29" i="14" s="1"/>
  <c r="G43" i="12"/>
  <c r="G55" i="12"/>
  <c r="G54" i="12"/>
  <c r="G42" i="12"/>
  <c r="I11" i="14"/>
  <c r="M13" i="28" s="1"/>
  <c r="B29" i="29" l="1"/>
  <c r="C39" i="32"/>
  <c r="N18" i="28"/>
  <c r="B18" i="28" s="1"/>
  <c r="G45" i="12"/>
  <c r="I25" i="14" s="1"/>
  <c r="H49" i="12"/>
  <c r="H43" i="12"/>
  <c r="H46" i="12"/>
  <c r="H38" i="12"/>
  <c r="H39" i="12"/>
  <c r="H42" i="12"/>
  <c r="H45" i="12" s="1"/>
  <c r="H40" i="12"/>
  <c r="H33" i="12"/>
  <c r="N17" i="28"/>
  <c r="H15" i="21"/>
  <c r="I37" i="12"/>
  <c r="L16" i="14" s="1"/>
  <c r="I34" i="12"/>
  <c r="L14" i="14" s="1"/>
  <c r="L15" i="14"/>
  <c r="H26" i="21"/>
  <c r="G26" i="22" s="1"/>
  <c r="F40" i="12"/>
  <c r="F22" i="12"/>
  <c r="F38" i="12"/>
  <c r="F53" i="12"/>
  <c r="F46" i="12"/>
  <c r="F42" i="12"/>
  <c r="F43" i="12"/>
  <c r="F52" i="12"/>
  <c r="F39" i="12"/>
  <c r="F49" i="12"/>
  <c r="F33" i="12"/>
  <c r="F50" i="12"/>
  <c r="F27" i="12"/>
  <c r="F29" i="29"/>
  <c r="D26" i="21"/>
  <c r="I23" i="14"/>
  <c r="G35" i="12"/>
  <c r="G47" i="12" s="1"/>
  <c r="I47" i="12"/>
  <c r="M18" i="28"/>
  <c r="F16" i="21"/>
  <c r="D16" i="22" s="1"/>
  <c r="G9" i="22"/>
  <c r="H10" i="21"/>
  <c r="G10" i="22" s="1"/>
  <c r="G16" i="22" l="1"/>
  <c r="H35" i="12"/>
  <c r="H34" i="12" s="1"/>
  <c r="F35" i="12"/>
  <c r="F37" i="12" s="1"/>
  <c r="G37" i="12"/>
  <c r="I16" i="14" s="1"/>
  <c r="G34" i="12"/>
  <c r="I14" i="14" s="1"/>
  <c r="I15" i="14"/>
  <c r="F15" i="21"/>
  <c r="D15" i="22" s="1"/>
  <c r="M17" i="28"/>
  <c r="B14" i="28"/>
  <c r="H12" i="21"/>
  <c r="L27" i="14"/>
  <c r="I48" i="12"/>
  <c r="L28" i="14" s="1"/>
  <c r="D26" i="22"/>
  <c r="D26" i="23"/>
  <c r="I27" i="14"/>
  <c r="G48" i="12"/>
  <c r="I28" i="14" s="1"/>
  <c r="F45" i="12"/>
  <c r="G15" i="22" l="1"/>
  <c r="H47" i="12"/>
  <c r="H48" i="12" s="1"/>
  <c r="H37" i="12"/>
  <c r="F47" i="12"/>
  <c r="F48" i="12" s="1"/>
  <c r="F12" i="21"/>
  <c r="D12" i="22" s="1"/>
  <c r="F34" i="12"/>
  <c r="G12" i="2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<sst xmlns="http://schemas.openxmlformats.org/spreadsheetml/2006/main" count="1869" uniqueCount="1337">
  <si>
    <t>Gross Loan Amount</t>
  </si>
  <si>
    <t>Property Value</t>
  </si>
  <si>
    <t>Property type</t>
  </si>
  <si>
    <t>Residential</t>
  </si>
  <si>
    <t>LTV</t>
  </si>
  <si>
    <t>Actual Vs Client</t>
  </si>
  <si>
    <t>Property</t>
  </si>
  <si>
    <t>1st</t>
  </si>
  <si>
    <t>2nd</t>
  </si>
  <si>
    <t>Actual</t>
  </si>
  <si>
    <t>Property Type</t>
  </si>
  <si>
    <t>charge</t>
  </si>
  <si>
    <t>Interest</t>
  </si>
  <si>
    <t>Existing Outstanding</t>
  </si>
  <si>
    <t>Our Charge</t>
  </si>
  <si>
    <t>Purchase Price</t>
  </si>
  <si>
    <t>Purchase Date</t>
  </si>
  <si>
    <t>TOTAL:</t>
  </si>
  <si>
    <t>Net Loan Amount</t>
  </si>
  <si>
    <t>To be Discharged</t>
  </si>
  <si>
    <t>Gross Loan</t>
  </si>
  <si>
    <t>AN1</t>
  </si>
  <si>
    <t>Current lender</t>
  </si>
  <si>
    <t>Existing Charge</t>
  </si>
  <si>
    <t>Current LTV</t>
  </si>
  <si>
    <t>3rd</t>
  </si>
  <si>
    <t>Net Loan</t>
  </si>
  <si>
    <t>Arrangement Fee</t>
  </si>
  <si>
    <t>Proprietor</t>
  </si>
  <si>
    <t>Commercial</t>
  </si>
  <si>
    <t>Semi Commercial</t>
  </si>
  <si>
    <t>New Build</t>
  </si>
  <si>
    <t>Permitted Development</t>
  </si>
  <si>
    <t>Other</t>
  </si>
  <si>
    <t>Postcode</t>
  </si>
  <si>
    <t>please enter any more into cells with a "-"</t>
  </si>
  <si>
    <t>Age</t>
  </si>
  <si>
    <t>Nationality</t>
  </si>
  <si>
    <t>BTL</t>
  </si>
  <si>
    <t>Main Res</t>
  </si>
  <si>
    <t xml:space="preserve">Yes </t>
  </si>
  <si>
    <t xml:space="preserve">No </t>
  </si>
  <si>
    <t>Please Choose</t>
  </si>
  <si>
    <t>Title Insurance Premium</t>
  </si>
  <si>
    <t>Loan Start Date</t>
  </si>
  <si>
    <t>Term</t>
  </si>
  <si>
    <t>Net Principal Balance</t>
  </si>
  <si>
    <t xml:space="preserve"> 1st Charge Outstanding (£)</t>
  </si>
  <si>
    <t>Actual Term</t>
  </si>
  <si>
    <t xml:space="preserve">  Actual Rolled term</t>
  </si>
  <si>
    <t xml:space="preserve">  Actual Serviced term</t>
  </si>
  <si>
    <t>APRC (%)</t>
  </si>
  <si>
    <t xml:space="preserve"> Live Gross Loan Amount</t>
  </si>
  <si>
    <t>Real</t>
  </si>
  <si>
    <t xml:space="preserve">Adjustment </t>
  </si>
  <si>
    <t xml:space="preserve">Monthly Additional Interest </t>
  </si>
  <si>
    <t xml:space="preserve">Accumulated Collected
Rolled Interest </t>
  </si>
  <si>
    <t>Serviced int Amount(£)</t>
  </si>
  <si>
    <t>Product Type</t>
  </si>
  <si>
    <t>Rate Override (Optional)</t>
  </si>
  <si>
    <t>Summary of Terms - Indicative Illustration</t>
  </si>
  <si>
    <t>Range</t>
  </si>
  <si>
    <t>Product Name</t>
  </si>
  <si>
    <t>Rolled Months Interest</t>
  </si>
  <si>
    <t>Deferred Interest</t>
  </si>
  <si>
    <t xml:space="preserve">Valuation Fee </t>
  </si>
  <si>
    <t>TBC by the Underwriter</t>
  </si>
  <si>
    <t xml:space="preserve">Lender Legal Fee </t>
  </si>
  <si>
    <t xml:space="preserve">Excludes the borrower's own legal cost </t>
  </si>
  <si>
    <t>Fusion</t>
  </si>
  <si>
    <t>Variable Bridge</t>
  </si>
  <si>
    <t>Fixed Bridge</t>
  </si>
  <si>
    <t>Bridging Loans</t>
  </si>
  <si>
    <t xml:space="preserve">Commitment Fee </t>
  </si>
  <si>
    <t>BBR</t>
  </si>
  <si>
    <t>Sub Product</t>
  </si>
  <si>
    <t>Serviced Months</t>
  </si>
  <si>
    <t>Payable when DIP signed, refundable on completion</t>
  </si>
  <si>
    <t>Monthly Payment</t>
  </si>
  <si>
    <t>24 Months</t>
  </si>
  <si>
    <t>Fee</t>
  </si>
  <si>
    <r>
      <rPr>
        <b/>
        <sz val="9"/>
        <rFont val="Calibri"/>
        <family val="2"/>
        <scheme val="minor"/>
      </rPr>
      <t>Please note:</t>
    </r>
    <r>
      <rPr>
        <sz val="9"/>
        <rFont val="Calibri"/>
        <family val="2"/>
        <scheme val="minor"/>
      </rPr>
      <t xml:space="preserve"> indicative only, subject to full underwrite, valuation, credit report and other supporting evidence. This Document is confidential to the intended recipient.  If you are not the intended recipient, do not use, copy or disclose the information in any way or act in reliance on it, and notify the sender immediately, then delete it from your system.  Market Financial Solutions Ltd accepts no liability (to the fullest extent permitted by law) for opinions, conclusions and other information in this message which do not relate to its official business.  No contracts or official orders will be confirmed by means of this document. </t>
    </r>
  </si>
  <si>
    <t>Arrangement Fee (%)</t>
  </si>
  <si>
    <t>Broker Fee (%)</t>
  </si>
  <si>
    <t xml:space="preserve">Top Slicing (£ pm) </t>
  </si>
  <si>
    <t xml:space="preserve">Rent (£ pm) </t>
  </si>
  <si>
    <t>Additional Broker Fee (%)</t>
  </si>
  <si>
    <t>Gross LTV</t>
  </si>
  <si>
    <t>NPB</t>
  </si>
  <si>
    <t xml:space="preserve">Net Loan </t>
  </si>
  <si>
    <t>Arrangement Fee (£)</t>
  </si>
  <si>
    <t>Net LTV</t>
  </si>
  <si>
    <t>Additional Broker Fee (£)</t>
  </si>
  <si>
    <t>Deferred (£)</t>
  </si>
  <si>
    <t>Coupon Rate (%)</t>
  </si>
  <si>
    <t>Rolled Months</t>
  </si>
  <si>
    <t>Broker Fee (£)</t>
  </si>
  <si>
    <t>Rolled Interest (£)</t>
  </si>
  <si>
    <t>Fixed Rate (%)</t>
  </si>
  <si>
    <t xml:space="preserve">Monthly Payment </t>
  </si>
  <si>
    <t>Loan</t>
  </si>
  <si>
    <t xml:space="preserve">Bridging Loan Calculator </t>
  </si>
  <si>
    <t>ICR</t>
  </si>
  <si>
    <t>ICR Too Low Please Adjust Loan Amount</t>
  </si>
  <si>
    <t>Eligible Nationalities</t>
  </si>
  <si>
    <t xml:space="preserve">Title Insurance Premium </t>
  </si>
  <si>
    <t xml:space="preserve">Fusion </t>
  </si>
  <si>
    <t>Yes</t>
  </si>
  <si>
    <t>No</t>
  </si>
  <si>
    <t>Notes to the Underwriter</t>
  </si>
  <si>
    <r>
      <t xml:space="preserve">Total Interest 
</t>
    </r>
    <r>
      <rPr>
        <b/>
        <sz val="9"/>
        <color theme="0"/>
        <rFont val="Tahoma"/>
        <family val="2"/>
      </rPr>
      <t>(defer + rolled + serviced)</t>
    </r>
  </si>
  <si>
    <t>Resi BTL single unit</t>
  </si>
  <si>
    <t>Resi Large Loan</t>
  </si>
  <si>
    <t>Resi Portfolio</t>
  </si>
  <si>
    <t>Dev Exit</t>
  </si>
  <si>
    <t>2nd charge</t>
  </si>
  <si>
    <t>Max LTV Achieved</t>
  </si>
  <si>
    <t>N/A</t>
  </si>
  <si>
    <t>Please enter data in all required fields (yellow) to generate a quote</t>
  </si>
  <si>
    <t>Permitted/Light Dev</t>
  </si>
  <si>
    <t>Borrower Name</t>
  </si>
  <si>
    <t>Property Address</t>
  </si>
  <si>
    <t>Title Insurance</t>
  </si>
  <si>
    <t>Eligibility</t>
  </si>
  <si>
    <t>Commitment Fee (£)</t>
  </si>
  <si>
    <r>
      <rPr>
        <b/>
        <u/>
        <sz val="10.5"/>
        <color theme="1"/>
        <rFont val="Calibri"/>
        <family val="2"/>
        <scheme val="minor"/>
      </rPr>
      <t>Eligible nationalities</t>
    </r>
    <r>
      <rPr>
        <sz val="10.5"/>
        <color theme="1"/>
        <rFont val="Calibri"/>
        <family val="2"/>
        <scheme val="minor"/>
      </rPr>
      <t xml:space="preserve">
Individual: </t>
    </r>
    <r>
      <rPr>
        <b/>
        <sz val="10.5"/>
        <color theme="1"/>
        <rFont val="Calibri"/>
        <family val="2"/>
        <scheme val="minor"/>
      </rPr>
      <t>UK national</t>
    </r>
    <r>
      <rPr>
        <sz val="10.5"/>
        <color theme="1"/>
        <rFont val="Calibri"/>
        <family val="2"/>
        <scheme val="minor"/>
      </rPr>
      <t xml:space="preserve">/passport holder of </t>
    </r>
    <r>
      <rPr>
        <b/>
        <sz val="10.5"/>
        <color theme="1"/>
        <rFont val="Calibri"/>
        <family val="2"/>
        <scheme val="minor"/>
      </rPr>
      <t>EEA country, Channel Islands, Switzerland, USA, Canada, Australia or New Zealand.
C</t>
    </r>
    <r>
      <rPr>
        <sz val="10.5"/>
        <color theme="1"/>
        <rFont val="Calibri"/>
        <family val="2"/>
        <scheme val="minor"/>
      </rPr>
      <t xml:space="preserve">orporate: company, Trust and partnership </t>
    </r>
    <r>
      <rPr>
        <b/>
        <sz val="10.5"/>
        <color theme="1"/>
        <rFont val="Calibri"/>
        <family val="2"/>
        <scheme val="minor"/>
      </rPr>
      <t xml:space="preserve">incorporated in the UK, EEA, Channel Islands, Switzerland or the British Virgin Islands.
</t>
    </r>
    <r>
      <rPr>
        <sz val="10.5"/>
        <color theme="1"/>
        <rFont val="Calibri"/>
        <family val="2"/>
        <scheme val="minor"/>
      </rPr>
      <t>UBO must meet the individual nationality criteria even if company incorporated in the permitted list.</t>
    </r>
  </si>
  <si>
    <t>Pay Rate (pm)</t>
  </si>
  <si>
    <t xml:space="preserve">Total Loan Term </t>
  </si>
  <si>
    <t>Min Interest Period</t>
  </si>
  <si>
    <t>3 Months</t>
  </si>
  <si>
    <t>Rolled Months exceed Total Term</t>
  </si>
  <si>
    <t>NA</t>
  </si>
  <si>
    <t>1st Charge</t>
  </si>
  <si>
    <t>Specific Net Loan</t>
  </si>
  <si>
    <t>Total Interest</t>
  </si>
  <si>
    <t>2nd Charge</t>
  </si>
  <si>
    <t>Max Loan</t>
  </si>
  <si>
    <t>Min Loan</t>
  </si>
  <si>
    <t>Roll Int Coupon (£)</t>
  </si>
  <si>
    <t>Roll Int BBR (£)</t>
  </si>
  <si>
    <t>Drop Down</t>
  </si>
  <si>
    <t>ERC/Exit Fee</t>
  </si>
  <si>
    <t>Exit Fee (£)</t>
  </si>
  <si>
    <t>LTV for Vlookup</t>
  </si>
  <si>
    <t>LTV for Input Page</t>
  </si>
  <si>
    <t>Gross Loan based on LTV and rate</t>
  </si>
  <si>
    <t>LTV based on Gross Loan</t>
  </si>
  <si>
    <t>Residentail</t>
  </si>
  <si>
    <t>Fixed Bridging Rates</t>
  </si>
  <si>
    <t>Variable Bridging Rates</t>
  </si>
  <si>
    <t>Semi &amp; Full Commercial</t>
  </si>
  <si>
    <t xml:space="preserve">Semi &amp; Full Commercial Large Loan </t>
  </si>
  <si>
    <t>(0.00%)</t>
  </si>
  <si>
    <t>UK</t>
  </si>
  <si>
    <t>EEA Country</t>
  </si>
  <si>
    <t>Channel Islands</t>
  </si>
  <si>
    <t>Switzerland</t>
  </si>
  <si>
    <t>USA</t>
  </si>
  <si>
    <t>Canada</t>
  </si>
  <si>
    <t>Australia</t>
  </si>
  <si>
    <t>New Zealand</t>
  </si>
  <si>
    <t>Individual applicant (passport holder of):</t>
  </si>
  <si>
    <t>Corporate applicant (company, trust or partnership incorporated in):</t>
  </si>
  <si>
    <t>Property types</t>
  </si>
  <si>
    <t>BVI</t>
  </si>
  <si>
    <t xml:space="preserve">UBO to meet individual nationality criteria </t>
  </si>
  <si>
    <t>Applicant Type</t>
  </si>
  <si>
    <t>Individual</t>
  </si>
  <si>
    <t>Corporate</t>
  </si>
  <si>
    <t>Country of Icorporation</t>
  </si>
  <si>
    <t>Mix Rate</t>
  </si>
  <si>
    <t>Sub Product Bridge only</t>
  </si>
  <si>
    <t>Use Rate Override</t>
  </si>
  <si>
    <t>Please enter Mix Rate Manually</t>
  </si>
  <si>
    <r>
      <t xml:space="preserve">Net Loan 
</t>
    </r>
    <r>
      <rPr>
        <sz val="9"/>
        <rFont val="Calibri"/>
        <family val="2"/>
        <scheme val="minor"/>
      </rPr>
      <t>(day 1 advance)</t>
    </r>
  </si>
  <si>
    <r>
      <t xml:space="preserve">Gross Loan 
</t>
    </r>
    <r>
      <rPr>
        <sz val="8"/>
        <rFont val="Calibri"/>
        <family val="2"/>
        <scheme val="minor"/>
      </rPr>
      <t>(repayable at redemption)</t>
    </r>
  </si>
  <si>
    <t>Specific Net Loan (£)</t>
  </si>
  <si>
    <t>Sub Product Type</t>
  </si>
  <si>
    <t>Exit Fee (%) Bridge Only</t>
  </si>
  <si>
    <t>Macro for Indicative</t>
  </si>
  <si>
    <t>Reference</t>
  </si>
  <si>
    <t>Specific Net Loan ?</t>
  </si>
  <si>
    <t>Full Annual Rate (%)</t>
  </si>
  <si>
    <t>Deferred (%)</t>
  </si>
  <si>
    <t>Full Rate (pm)</t>
  </si>
  <si>
    <t>Full Coupon Rate (pm)</t>
  </si>
  <si>
    <t>BBR (pm)</t>
  </si>
  <si>
    <t>APRC (% pm)</t>
  </si>
  <si>
    <t xml:space="preserve">Full Monthly Rate (%) </t>
  </si>
  <si>
    <t>HubSpot reference</t>
  </si>
  <si>
    <t>Lending off</t>
  </si>
  <si>
    <t>Country Of Incorporation</t>
  </si>
  <si>
    <t>Resi</t>
  </si>
  <si>
    <t>Comm/Semi Comm</t>
  </si>
  <si>
    <t>Normal Calc</t>
  </si>
  <si>
    <t>Full Annual / Monthly Rate (%)</t>
  </si>
  <si>
    <t>Serviced Interest</t>
  </si>
  <si>
    <r>
      <t xml:space="preserve">Total Interest 
</t>
    </r>
    <r>
      <rPr>
        <b/>
        <sz val="9"/>
        <color theme="0"/>
        <rFont val="Tahoma"/>
        <family val="2"/>
      </rPr>
      <t>(Rolled + Serviced)</t>
    </r>
  </si>
  <si>
    <r>
      <t xml:space="preserve">Total Interest 
</t>
    </r>
    <r>
      <rPr>
        <b/>
        <sz val="9"/>
        <color theme="0"/>
        <rFont val="Tahoma"/>
        <family val="2"/>
      </rPr>
      <t>(Defer + Rolled + Serviced)</t>
    </r>
  </si>
  <si>
    <t>Broker Client Fee (%)</t>
  </si>
  <si>
    <t>Broker Client Fee (£)</t>
  </si>
  <si>
    <r>
      <t xml:space="preserve">Broker Client Fee
</t>
    </r>
    <r>
      <rPr>
        <sz val="8"/>
        <rFont val="Calibri"/>
        <family val="2"/>
        <scheme val="minor"/>
      </rPr>
      <t>(To be deducted from the net loan)</t>
    </r>
  </si>
  <si>
    <r>
      <t xml:space="preserve">Broker Client Fee 
</t>
    </r>
    <r>
      <rPr>
        <sz val="8"/>
        <rFont val="Calibri"/>
        <family val="2"/>
        <scheme val="minor"/>
      </rPr>
      <t>(To be deducted from the net loan)</t>
    </r>
  </si>
  <si>
    <t>Go to Indicatives</t>
  </si>
  <si>
    <t>Outstading Charge</t>
  </si>
  <si>
    <t>Date</t>
  </si>
  <si>
    <t>Rolled / Serviced</t>
  </si>
  <si>
    <t>Initital</t>
  </si>
  <si>
    <t>Select Product</t>
  </si>
  <si>
    <t>Date of Change</t>
  </si>
  <si>
    <t>Rate</t>
  </si>
  <si>
    <t>BBR Change</t>
  </si>
  <si>
    <t>Monthly Coupon Rate</t>
  </si>
  <si>
    <t>Effective date</t>
  </si>
  <si>
    <t>Principle</t>
  </si>
  <si>
    <t>Monthly Rate</t>
  </si>
  <si>
    <t>Annual Rate</t>
  </si>
  <si>
    <t>BBR Monthly</t>
  </si>
  <si>
    <t>Total Interest Per month</t>
  </si>
  <si>
    <t>Interest Collected</t>
  </si>
  <si>
    <t>ERC</t>
  </si>
  <si>
    <t>Sum of ERC</t>
  </si>
  <si>
    <t>Fusion Rates</t>
  </si>
  <si>
    <t>Gross Loan Based on Net Loan Fixed</t>
  </si>
  <si>
    <t>Gross Loan Based on Net Loan Variable</t>
  </si>
  <si>
    <t>Extension</t>
  </si>
  <si>
    <t>Allownance</t>
  </si>
  <si>
    <t>Allowance remaing</t>
  </si>
  <si>
    <t>Sum of Redemption</t>
  </si>
  <si>
    <t>Initial Rolled int Amount</t>
  </si>
  <si>
    <t xml:space="preserve">Exit Fee </t>
  </si>
  <si>
    <t>Outstanding Charge</t>
  </si>
  <si>
    <t>Please take screenshot and add at the bottom of the indicative for more than 11 properties</t>
  </si>
  <si>
    <t>Input Fields</t>
  </si>
  <si>
    <t>Pay Rate Monthly</t>
  </si>
  <si>
    <t xml:space="preserve">  Serviced Term</t>
  </si>
  <si>
    <t>Rolled Term</t>
  </si>
  <si>
    <t>Monthly Client Coupon Rate</t>
  </si>
  <si>
    <t>Total Interest Per Month</t>
  </si>
  <si>
    <t xml:space="preserve"> Rolled int Amount</t>
  </si>
  <si>
    <t>Collected Rolled Interest</t>
  </si>
  <si>
    <t xml:space="preserve">Accumulated Outstanding 
Rolled Interest </t>
  </si>
  <si>
    <t>Accumulated Outstanding 
Rolled Interest After int Payments</t>
  </si>
  <si>
    <t>Expected Serviced Interest</t>
  </si>
  <si>
    <t>Collected Serviced Interest)</t>
  </si>
  <si>
    <t>Outstading Interest Amount</t>
  </si>
  <si>
    <t>Accumulated outstanding 
Serviced Interest with Adjustment</t>
  </si>
  <si>
    <t>Multi Property Loan ?</t>
  </si>
  <si>
    <t>Gross Loan Based on Net Loan Fusion</t>
  </si>
  <si>
    <t>6 Months</t>
  </si>
  <si>
    <t>Client (Mandatory)</t>
  </si>
  <si>
    <t>Redemption(s)</t>
  </si>
  <si>
    <t>Full redemption date</t>
  </si>
  <si>
    <t>Full redemption made on extended loan before loan end date</t>
  </si>
  <si>
    <t>Coupon / Fixed rate £</t>
  </si>
  <si>
    <t>Coupon / Fixed rate %</t>
  </si>
  <si>
    <t>BBR Cost £</t>
  </si>
  <si>
    <t>Full Int BBR (£)</t>
  </si>
  <si>
    <t>Full Int Coupon (£)</t>
  </si>
  <si>
    <t>BBR (pm) %</t>
  </si>
  <si>
    <t>Main Calculations</t>
  </si>
  <si>
    <t>THIS IS SET TEXT THAT WILL BE PRINTED - DO NOT AMEND COLUMNS A to D</t>
  </si>
  <si>
    <t>Shows rows to check</t>
  </si>
  <si>
    <t>UW TO CHECK</t>
  </si>
  <si>
    <t>NOTES FOR THE UNDERWRITER</t>
  </si>
  <si>
    <t>Overwrite - new value?</t>
  </si>
  <si>
    <t>Notes for overwrite</t>
  </si>
  <si>
    <t>Formula pull through</t>
  </si>
  <si>
    <t>Decision in Principle</t>
  </si>
  <si>
    <t>← Check</t>
  </si>
  <si>
    <t>Means variable value to the left to check or amend (amends to the right)</t>
  </si>
  <si>
    <t>Defaults to todays date</t>
  </si>
  <si>
    <t>Proposed Loan to:</t>
  </si>
  <si>
    <r>
      <t>Security Property</t>
    </r>
    <r>
      <rPr>
        <sz val="10"/>
        <color rgb="FF000000"/>
        <rFont val="Calibri"/>
        <family val="2"/>
        <scheme val="minor"/>
      </rPr>
      <t xml:space="preserve">: </t>
    </r>
  </si>
  <si>
    <r>
      <t>We Market Financial Solutions Limited (hereinafter "MFS", “we”, “us”) propose to arrange a loan facility to you on the terms, financial particulars and conditions set out below (“the Loan”).
The Loan itself will be subject to the receipt of a signed Decision in Principle (this document), payment of the Admin and Valuation Fees referred to below, a signed contract, a valuation, responses to MFS enquiries, due diligence, and will be subject to the terms and conditions of a loan agreement (</t>
    </r>
    <r>
      <rPr>
        <b/>
        <sz val="10"/>
        <color rgb="FF000000"/>
        <rFont val="Calibri"/>
        <family val="2"/>
        <scheme val="minor"/>
      </rPr>
      <t>Loan Agreement</t>
    </r>
    <r>
      <rPr>
        <sz val="10"/>
        <color rgb="FF000000"/>
        <rFont val="Calibri"/>
        <family val="2"/>
        <scheme val="minor"/>
      </rPr>
      <t xml:space="preserve">) which shall be secured by our standard form Security and a Guarantee (both defined in The Summary below). 
This Decision in Principle sets out the obligations of Market Financial Solutions regarding data protection and the rights of clients, partners, affiliate, vendor, and any third-party provider in respect of their personal data under The Data Protection Act 2018 (”GDPR”).
The terms of and financial particulars of the Loan are set out in The Summary below.
</t>
    </r>
  </si>
  <si>
    <t>The Summary</t>
  </si>
  <si>
    <t>This main section is pulled through automatically from Loan Data Tab AND ICR Main tab - suggest value changes in original tabs rather than here</t>
  </si>
  <si>
    <t>Borrower (“you”):</t>
  </si>
  <si>
    <t>Product Type:</t>
  </si>
  <si>
    <t>Annual Interest Rate:</t>
  </si>
  <si>
    <r>
      <t xml:space="preserve">Net Loan </t>
    </r>
    <r>
      <rPr>
        <sz val="10"/>
        <color rgb="FF000000"/>
        <rFont val="Calibri"/>
        <family val="2"/>
        <scheme val="minor"/>
      </rPr>
      <t>(advanced day 1)</t>
    </r>
    <r>
      <rPr>
        <b/>
        <sz val="10"/>
        <color rgb="FF000000"/>
        <rFont val="Calibri"/>
        <family val="2"/>
        <scheme val="minor"/>
      </rPr>
      <t>:</t>
    </r>
  </si>
  <si>
    <t>Broker’s Commission:</t>
  </si>
  <si>
    <t>&lt;-only the admin fee amount needed</t>
  </si>
  <si>
    <t>Valuation Fee:</t>
  </si>
  <si>
    <t>&lt;-only the valuation amount needed</t>
  </si>
  <si>
    <t>Legal Fees:</t>
  </si>
  <si>
    <t>← £ FEE</t>
  </si>
  <si>
    <t>&lt;- legal fees and any clause</t>
  </si>
  <si>
    <t>Hide row if no title insurance (e.g. purchase)</t>
  </si>
  <si>
    <t xml:space="preserve">Security: </t>
  </si>
  <si>
    <t>xxxxxxxxxxx</t>
  </si>
  <si>
    <t>Financial Covenants:</t>
  </si>
  <si>
    <t>TERMS OF BUSINESS</t>
  </si>
  <si>
    <t>Defined Terms</t>
  </si>
  <si>
    <t xml:space="preserve">The terms defined in The Summary above are imported with the same meaning in these Terms of Business. </t>
  </si>
  <si>
    <t>← Check Date</t>
  </si>
  <si>
    <t>&lt;- DIP expiry defaults to 14 days from todays date</t>
  </si>
  <si>
    <t>General &amp; Privacy</t>
  </si>
  <si>
    <t>Loan Purpose</t>
  </si>
  <si>
    <t>Loan Amount and Deduction of Fees</t>
  </si>
  <si>
    <t>Please note that the financial particulars in The Summary are, at this stage, estimates only, and are subject to contract.  These will only be varied in circumstances where our enquiries reveal information which differs from that provided on initial application or if there is reason to do so at our discretion.</t>
  </si>
  <si>
    <t>and any other fees, costs, or expenses payable by you (which have not already been paid), from the Gross Loan Amount upon completion of the Loan.</t>
  </si>
  <si>
    <t>Payments to your Broker/Intermediary</t>
  </si>
  <si>
    <r>
      <t xml:space="preserve">You authorise us to deduct the Broker Client Fee from the Net Loan Amount which is in line with your agreement with your Broker/Intermediary and payable to your Broker/Intermediary. No part of the Broker Client Fee is payable to us. 
In addition to any Broker Client Fee, Market Financial Solutions or its investors pay a part of the Product Fee to your Introducer/Broker as Broker’s Commission upon drawdown of the Loan, in the amount as specified in The Summary. </t>
    </r>
    <r>
      <rPr>
        <b/>
        <sz val="8.5"/>
        <color rgb="FF000000"/>
        <rFont val="Tahoma"/>
        <family val="2"/>
      </rPr>
      <t xml:space="preserve">This means that your Broker/Intermediary may be unable to provide impartial advice about the Loan to you. </t>
    </r>
  </si>
  <si>
    <t xml:space="preserve">Market Financial Solutions or its investors pay a part of the Product Fee to your Introducer/Broker as Broker’s Commission upon drawdown of the Loan, in the amount as specified in The Summary. This means that your Broker/Intermediary may be unable to provide impartial advice about the Loan to you. </t>
  </si>
  <si>
    <t xml:space="preserve">Interest Rate Applied </t>
  </si>
  <si>
    <t>Term of Loan</t>
  </si>
  <si>
    <t>Valuation Fee and Legal Fees</t>
  </si>
  <si>
    <t>The fees for the valuation of the Property shall be your cost and will be collected in advance upon acceptance of this Decision in Principle.  You will be responsible for our Legal Fees in relation to the Loan.  These are set out in the Financial Summary.  You will be responsible for these fees whether the Loan proceeds to completion or not.  Our solicitors will require payment in full or your solicitors' undertaking to make payment before commencing work.  With regards to the Valuation report, unless Title Insurance is used, once our Solicitors have conducted their Report on Title it will need to be sent to the valuer for their comments. Any detrimental impact, or adverse comments from the Valuer may result in MFS not being able to proceed with the Loan or varying the terms offered.</t>
  </si>
  <si>
    <t>Tariff of Charges</t>
  </si>
  <si>
    <t>Fee Structure Table - Post Completion</t>
  </si>
  <si>
    <t>Note: standard tarrif for all cases. ONLY change for a customer case with Credit Committee Approval</t>
  </si>
  <si>
    <t>Charges from</t>
  </si>
  <si>
    <t>Chaps Fee</t>
  </si>
  <si>
    <t>Data Request</t>
  </si>
  <si>
    <t xml:space="preserve">Building Insurance </t>
  </si>
  <si>
    <t xml:space="preserve">Expiry/Renewal of Buildings Insurance </t>
  </si>
  <si>
    <t>Duplicate or Interim Statement (per Statement)</t>
  </si>
  <si>
    <r>
      <t>Calculating Settlement Figures for 3</t>
    </r>
    <r>
      <rPr>
        <vertAlign val="superscript"/>
        <sz val="10"/>
        <color rgb="FF000000"/>
        <rFont val="Calibri"/>
        <family val="2"/>
        <scheme val="minor"/>
      </rPr>
      <t>rd</t>
    </r>
    <r>
      <rPr>
        <sz val="10"/>
        <color rgb="FF000000"/>
        <rFont val="Calibri"/>
        <family val="2"/>
        <scheme val="minor"/>
      </rPr>
      <t xml:space="preserve"> time onwards</t>
    </r>
  </si>
  <si>
    <t>Approval of Tenancy Agreement</t>
  </si>
  <si>
    <t>Deed of Postponement (per Deed required to be executed)</t>
  </si>
  <si>
    <t xml:space="preserve">Unpaid Ground Rent or Service Charge </t>
  </si>
  <si>
    <t>Repayment Administration Fee (per Property being discharged)</t>
  </si>
  <si>
    <t>Deeds Handling</t>
  </si>
  <si>
    <t>Part Sale / Transfer of Security (per part sale/transfer)</t>
  </si>
  <si>
    <t>Consent to Another Lender (per Consent granted)</t>
  </si>
  <si>
    <t>Approval of Easement</t>
  </si>
  <si>
    <t>Part Repayment (per part-payment)</t>
  </si>
  <si>
    <t>Instructing Solicitors</t>
  </si>
  <si>
    <t>Mortgage Reference or Questionnaire</t>
  </si>
  <si>
    <t>Confirmation of Payment History</t>
  </si>
  <si>
    <t>Unpaid/Declined/Dishonoured Direct Debit or Cheque</t>
  </si>
  <si>
    <t>Set Up fee</t>
  </si>
  <si>
    <t>Loan Administration Fee</t>
  </si>
  <si>
    <t>Asset Manager Fee</t>
  </si>
  <si>
    <t>Fees Structure Table - In event of Default</t>
  </si>
  <si>
    <t>Letters and Calls to Customers (per letter or call)</t>
  </si>
  <si>
    <t>Letter and Calls to Third Parties (per letter or call)</t>
  </si>
  <si>
    <t>Instruction of Collection Agents</t>
  </si>
  <si>
    <t>Issue of Default Notice</t>
  </si>
  <si>
    <t>Issue of Possession Proceedings</t>
  </si>
  <si>
    <t>Court Preparation Fee (per hearing)</t>
  </si>
  <si>
    <t>Court Hearing Fee (per hearing)</t>
  </si>
  <si>
    <t>Issuing a Warrant for Possession</t>
  </si>
  <si>
    <t>Borrowers Application to Suspend our Legal Action</t>
  </si>
  <si>
    <t>Repossession of Property (per property)</t>
  </si>
  <si>
    <t>Administration of an Account in Possession (per month)</t>
  </si>
  <si>
    <t>Realisation of the Sale of a Repossessed Property</t>
  </si>
  <si>
    <t>Issuing a Demand to Appoint a Receiver</t>
  </si>
  <si>
    <t>Appointing a Receiver to Manage the Account</t>
  </si>
  <si>
    <t>Director's Time (where applicable) per hour</t>
  </si>
  <si>
    <t>Monthly Arrears Management Fee</t>
  </si>
  <si>
    <t>Please see the enclosed Appendix – Schedule 1 for the explanation of each charge outlined within the Fee structure tables.</t>
  </si>
  <si>
    <r>
      <t>You acknowledge and agree that we do not, and will not, provide any financial, accounting, taxation or legal advice in relation to the Loan (and this includes any advice</t>
    </r>
    <r>
      <rPr>
        <i/>
        <sz val="10"/>
        <color rgb="FF000000"/>
        <rFont val="Calibri"/>
        <family val="2"/>
        <scheme val="minor"/>
      </rPr>
      <t xml:space="preserve"> </t>
    </r>
    <r>
      <rPr>
        <sz val="10"/>
        <color rgb="FF000000"/>
        <rFont val="Calibri"/>
        <family val="2"/>
        <scheme val="minor"/>
      </rPr>
      <t>as to the suitability of the Loan for you).</t>
    </r>
  </si>
  <si>
    <t xml:space="preserve">
You should seek your own independent advice in relation to this Decision in Principle.</t>
  </si>
  <si>
    <t xml:space="preserve">Assignment </t>
  </si>
  <si>
    <t>Agency and Conflict of Interest</t>
  </si>
  <si>
    <t>Indemnity</t>
  </si>
  <si>
    <t>Data Breach Notification</t>
  </si>
  <si>
    <t>All personal data breaches must be reported immediately to the Company’s Data Protection Officer.</t>
  </si>
  <si>
    <t>Data Protection Officer Contact details:</t>
  </si>
  <si>
    <r>
      <t>Email:</t>
    </r>
    <r>
      <rPr>
        <sz val="10"/>
        <color rgb="FF0070C0"/>
        <rFont val="Calibri"/>
        <family val="2"/>
        <scheme val="minor"/>
      </rPr>
      <t xml:space="preserve"> </t>
    </r>
    <r>
      <rPr>
        <u/>
        <sz val="10"/>
        <color rgb="FF0070C0"/>
        <rFont val="Calibri"/>
        <family val="2"/>
        <scheme val="minor"/>
      </rPr>
      <t xml:space="preserve">privacy@mfsuk.com </t>
    </r>
  </si>
  <si>
    <t>Data Controller: Market Financial Solutions Limited.</t>
  </si>
  <si>
    <r>
      <t>Signature:</t>
    </r>
    <r>
      <rPr>
        <sz val="10"/>
        <color rgb="FF000000"/>
        <rFont val="Calibri"/>
        <family val="2"/>
        <scheme val="minor"/>
      </rPr>
      <t xml:space="preserve"> ___________________________________         </t>
    </r>
  </si>
  <si>
    <t>Signature: ______________________________</t>
  </si>
  <si>
    <t xml:space="preserve">Name of Signatory: _____________________________        </t>
  </si>
  <si>
    <t xml:space="preserve"> Name of Signatory: ____________________________  </t>
  </si>
  <si>
    <t>Borrowers</t>
  </si>
  <si>
    <t>Default is 2 buyers - enter number 1-4 in column H, left, to make signatories appear/dissapear on the DIP</t>
  </si>
  <si>
    <t xml:space="preserve">(Print Name)                                                                    </t>
  </si>
  <si>
    <t xml:space="preserve">  (Print Name)</t>
  </si>
  <si>
    <t>Number applicants</t>
  </si>
  <si>
    <t xml:space="preserve">Date: ________________________________________        </t>
  </si>
  <si>
    <t xml:space="preserve"> Date: _______________________________________</t>
  </si>
  <si>
    <r>
      <t>Signature:</t>
    </r>
    <r>
      <rPr>
        <sz val="10"/>
        <color rgb="FF000000"/>
        <rFont val="Calibri"/>
        <family val="2"/>
        <scheme val="minor"/>
      </rPr>
      <t xml:space="preserve"> ___________________________________        </t>
    </r>
  </si>
  <si>
    <t xml:space="preserve">(Print Name)                                                              </t>
  </si>
  <si>
    <t xml:space="preserve">Date: ________________________________________         </t>
  </si>
  <si>
    <t>Gross Loan Amount:</t>
  </si>
  <si>
    <t>Loan Term:</t>
  </si>
  <si>
    <t xml:space="preserve">24 months. The Loan Term may be extended by up to 12 months at the Lender’s discretion.  Further details are set out below.	 </t>
  </si>
  <si>
    <t xml:space="preserve">Net Loan Amount (advanced day 1): </t>
  </si>
  <si>
    <t xml:space="preserve">Arrangement Fees: </t>
  </si>
  <si>
    <t xml:space="preserve">Months Interest Rolled Up: </t>
  </si>
  <si>
    <t xml:space="preserve">Serviced Monthly Payments: </t>
  </si>
  <si>
    <t xml:space="preserve">Minimum Interest Period: </t>
  </si>
  <si>
    <t xml:space="preserve">6 Months from the date of completion </t>
  </si>
  <si>
    <t xml:space="preserve">Minimum Interest Period Fee: </t>
  </si>
  <si>
    <t xml:space="preserve">Broker’s Commission: </t>
  </si>
  <si>
    <t xml:space="preserve">Broker Client Fee: </t>
  </si>
  <si>
    <t>Early Repayment Charge (ERC): </t>
  </si>
  <si>
    <t xml:space="preserve">Commitment Fee: </t>
  </si>
  <si>
    <t xml:space="preserve">Legal Fees: </t>
  </si>
  <si>
    <t>Title Insurance:</t>
  </si>
  <si>
    <t xml:space="preserve">Financial Covenants: </t>
  </si>
  <si>
    <t>Offer Expiry</t>
  </si>
  <si>
    <t xml:space="preserve">Please note that the terms offered are valid for only 14 days from the date of this offer. 
The Loan as per the terms offered within The Summary above must be drawn down on or before 21 Days from the date on which we instruct our solicitors. Failure to complete the drawdown of the Loan on or before 21 Days from the date of which we instruct our solicitors will render the loan offer expired and you will be liable to pay our costs incurred including our solicitors’ abortive legal fees and disbursements. </t>
  </si>
  <si>
    <t xml:space="preserve">Market Financial Solutions Limited is arranging this transaction for the Loan to be advanced to you. The Loan has been approved in principle by us, but remains conditional upon and subject to satisfactory due diligence, valuation and enquiries to us and our solicitors.  We reserve the right to vary the terms or withdraw the Loan at our discretion, should enquiries, valuation or due diligence result in material change to the application as now presented or contradict any information disclosed by you to date.  If we decide to vary terms we will notify you of variations and provide our reasons for doing so. 
By accepting these terms and signing this Decision in Principle, you authorise Market Financial Solutions Limited and its subsidiaries to conduct due diligence checks and data handling either to assess the viability of the application or whilst the Loan is in effect, including:  </t>
  </si>
  <si>
    <t>The Loan is being provided solely for business purposes, and by signing this Decision in Principle you declare to us that the Loan is entered into by you wholly for the purposes of your business, profession or trade carried on, or intended to be carried on by you.  The Loan is therefore exempt from the provisions of the Financial Services &amp; Markets Act 2000, The Mortgage Credit Directive Order 2015, and Consumer Credit Act 1974 and you will not get the protection afforded by those Acts.  You will be required to provide and sign a declaration relating to business purposes before drawdown.</t>
  </si>
  <si>
    <t xml:space="preserve">You confirm to us that the property has never been occupied by you or any spouse, unmarried partner, civil partner, parents, grandparents, siblings, children and grandchildren or any other related person and will not be occupied by you or any of the above-stated persons or any other related person in the future and whilst any amount of the Loan remains outstanding.  You will be required to sign a declaration certificate to this effect before completion takes place.   </t>
  </si>
  <si>
    <t xml:space="preserve">We will rely upon your declarations when completing your Loan, and such declarations will be a condition of the lending.   </t>
  </si>
  <si>
    <t xml:space="preserve">The standard rate of interest payable on the Gross Loan Amount will be the Interest Rate in The Summary, which is calculated as a flat percentage rate applied monthly. In accordance with the Interest Rate outlined in The Summary the applicable APRC of the loan is within the letter sent to your Introducer/Broker. Please refer to them for the same. Interest that is not deducted at source on completion is to be paid to us monthly until the Loan Term has expired, at which date the contractual balance outstanding together with any outstanding fees, costs and expenses (including our legal fees for discharge) is repayable in full. Interest payments after the interest retention period must be made on or before the due date and is payable monthly in advance.   In the event of a default under the terms of the Loan, interest on the Loan outstanding will accrue at the Default Rate, which is 3% per month. Further details are included in the Loan Agreement issued later in the process if the Loan is proceeding. 
If the Borrower cannot redeem the loan upon or before the expiry of the Loan Term, they can request an extension no later than 4 weeks before the loan term expiry. The Lender may in its absolute discretion extend the Loan Term by up to 12 months.  Any extension will be subject to ‘fit and proper’ covenant test (e.g. involving income, valuation, payment profile checks and any other checks the Lender deems necessary) and the payment by the Borrower to the Lender of an amount equal to 1% of the outstanding principal balance at the point of extension. If the Borrower fails to notify the Lender in writing at least one month before the expiry of the Loan Term or fails to service, the monthly interest due whilst the Gross Loan Amount is outstanding the interest rate will increase to 3% and be applicable on the total amount outstanding </t>
  </si>
  <si>
    <t>Legally Binding Agreement</t>
  </si>
  <si>
    <t xml:space="preserve">You acknowledge that this Decision in Principle is an agreement for the Loan and is intended to be legally binding, and will be governed by the laws of England and Wales. This letter may be signed in counterparts and emailed scanned versions, of which the sum of the parts shall form a legally binding agreement.  You will be bound by the terms of this Decision in Principle and the payment made hereunder whether or not the Loan proceeds to completion.   </t>
  </si>
  <si>
    <t xml:space="preserve">In some instances, we may arrange to assign or transfer the Loan to such entity associated with us, as we deem fit at our discretion.  The Terms will not change.  If we do assign the Loan you will be notified of the change of lender and be provided with contact and payment details.  You may not assign the Loan or its benefit or obligations to any other party. </t>
  </si>
  <si>
    <t xml:space="preserve">You acknowledge that we do not act as your agent and therefore do not owe you a duty of care in this regard.  When signing this Decision in Principle you expressly waive any claim you may now or in the future seek to bring.  You agree to waive any claim to a conflict of interest arising out of any assignment of the Loan or the Loan itself. </t>
  </si>
  <si>
    <t xml:space="preserve">You agree to indemnify and hold us harmless (including all of our employees, and assignees and their employees agents or directors, agents and directors) against all claims, losses, damages, liabilities, costs and expenses whether consequential or not, incurred or arising out of or related to any actual or threatened claim against us (or any of its employees, agents and directors and assignees etc.), brought by any guarantor or any other party to the Loan (except for instances where such liability arises through direct gross negligence or fraud) or in relation to the Loan. Please note, your solicitor must hold sufficient professional indemnity insurance to cover the Gross Loan Amount. </t>
  </si>
  <si>
    <t xml:space="preserve"> is to be paid to us or an associated company as directed by us prior to instructing Valuers &amp; Solicitors and is payable on acceptance of this Decision in Principle. The Commitment Fee will be refunded to you by us on completion (drawdown) of the Loan. In circumstances where the Loan is not completed for reasons such as the property failing to meet valuation, the Loan failing to meet current underwriting criteria, you failing to satisfy customer due diligence, non-disclosure by you, misrepresentation by you, or any other matter or issue which, at our discretion deems us unable to proceed with providing you the Loan, the Commitment Fee will not be refunded.   </t>
  </si>
  <si>
    <t>Automatic DIP production - choose Print to Microsft PDF for a email DIP</t>
  </si>
  <si>
    <t/>
  </si>
  <si>
    <t>£199</t>
  </si>
  <si>
    <t>HIDE ROW</t>
  </si>
  <si>
    <t>A first legal charge over the Security Property.</t>
  </si>
  <si>
    <t>4% of loan balance in yr1, 3% of loan balance in yr2. No charge thereafter.</t>
  </si>
  <si>
    <t xml:space="preserve">Annual Interest Rate:    </t>
  </si>
  <si>
    <t>Minimum Interest Payment:</t>
  </si>
  <si>
    <t>the amount of interest payable for 3 Months</t>
  </si>
  <si>
    <t>Commitment Fee:</t>
  </si>
  <si>
    <t>Guarantee:</t>
  </si>
  <si>
    <t>&lt;- Select Semi or Full Commercial</t>
  </si>
  <si>
    <t>Hide row if no deffered interest</t>
  </si>
  <si>
    <t>Proc Fee (%)</t>
  </si>
  <si>
    <t>Proc Fee</t>
  </si>
  <si>
    <t xml:space="preserve">Deferred Interest &amp; Pay Rate: </t>
  </si>
  <si>
    <t>xxxxxxx</t>
  </si>
  <si>
    <t>Company Number</t>
  </si>
  <si>
    <t>XXXXXXXXX</t>
  </si>
  <si>
    <t>Title Number</t>
  </si>
  <si>
    <t>Semi-Commercial</t>
  </si>
  <si>
    <t>&lt;-only the shareholder name</t>
  </si>
  <si>
    <t>Hide row if Personal application</t>
  </si>
  <si>
    <t>Hide row if no title insurance</t>
  </si>
  <si>
    <t>&lt;-- DIP expiry defaults to 14 days from todays date</t>
  </si>
  <si>
    <t xml:space="preserve">You authorise us (and/or to instruct our solicitors), to deduct any Arrangement Fees (which includes the Broker’s Commission as specified in The Summary), Legal Fees and expenses, any Rolled Up and Deferred Interest and any other fees, costs or expenses payable by you (which have not already been paid), from the Gross Loan Amount upon completion of the Loan.  </t>
  </si>
  <si>
    <r>
      <t xml:space="preserve"> is to be paid to us or an associated company as directed </t>
    </r>
    <r>
      <rPr>
        <b/>
        <sz val="11"/>
        <color theme="1"/>
        <rFont val="Calibri"/>
        <family val="2"/>
        <scheme val="minor"/>
      </rPr>
      <t xml:space="preserve">by us prior to instructing Valuers &amp; Solicitors and is payable on acceptance of this Decision in Principle. The Commitment Fee will be refunded to you by us on completion (drawdown) of the Loan. In circumstances where the Loan is not completed for reasons such as the property failing to meet valuation, the Loan failing to meet current underwriting criteria, you failing to satisfy customer due diligence, non-disclosure by you, misrepresentation by you, or any other matter or issue which, at our discretion deems us unable to proceed </t>
    </r>
    <r>
      <rPr>
        <sz val="11"/>
        <color theme="1"/>
        <rFont val="Calibri"/>
        <family val="2"/>
        <scheme val="minor"/>
      </rPr>
      <t>with providing you the Loan, the Commitment Fee will not be refunded.  </t>
    </r>
  </si>
  <si>
    <r>
      <t xml:space="preserve">•   ID, AML, Credit Searches including a payment profile, and KYC (Know Your Customer) fraud checks as well as other  Public Information searches we deem necessary from different Credit Reference Agencies (CRAs).
•   Many checks and searches use or share relevant data with third-party external companies and against any specifications  on any databases available with relation to your Loan or property. A record of each search carried out will be retained on  your credit file initially as a soft footprint (should have no impact on your credit score) but over time and following  application it may be set as a hard, or application, footprint (which could have an impact on your credit rating).  
•   Data and your evidence documents may also be shared with any of our loan funding providers.
•   If the Loan is drawn, and whilst any balance of the Loan is outstanding, MFS may exchange information and documents  about you (and any Loan guarantors) with CRAs, including recording any outstanding debt if you do not repay in full and  on time. CRAs may share your information with other organisations. We may also make periodic searches at CRAs to help manage your account  with us. The identities of the CRAs, their role also as fraud prevention agencies, the data they hold, the ways in which they use and share personal information, their data retention periods and your data protection rights with the CRAs are explained in the Credit Reference Agency Information Notice (CRAIN), </t>
    </r>
    <r>
      <rPr>
        <u/>
        <sz val="10"/>
        <color rgb="FF000000"/>
        <rFont val="Calibri"/>
        <family val="2"/>
        <scheme val="minor"/>
      </rPr>
      <t>www.transunion.co.uk/CRAIN</t>
    </r>
    <r>
      <rPr>
        <sz val="10"/>
        <color rgb="FF000000"/>
        <rFont val="Calibri"/>
        <family val="2"/>
        <scheme val="minor"/>
      </rPr>
      <t xml:space="preserve">. You can also get further information via our privacy policy at </t>
    </r>
    <r>
      <rPr>
        <u/>
        <sz val="10"/>
        <color rgb="FF000000"/>
        <rFont val="Calibri"/>
        <family val="2"/>
        <scheme val="minor"/>
      </rPr>
      <t>www.mfsuk.com/privacy-gdpr/.</t>
    </r>
  </si>
  <si>
    <r>
      <t xml:space="preserve">If you carried out your own credit search at </t>
    </r>
    <r>
      <rPr>
        <u/>
        <sz val="10"/>
        <color rgb="FF000000"/>
        <rFont val="Calibri"/>
        <family val="2"/>
        <scheme val="minor"/>
      </rPr>
      <t>www.checkmyfile.com</t>
    </r>
    <r>
      <rPr>
        <sz val="10"/>
        <color rgb="FF000000"/>
        <rFont val="Calibri"/>
        <family val="2"/>
        <scheme val="minor"/>
      </rPr>
      <t xml:space="preserve"> via the MFS link, please understand Checkmyfile may charge you as per their Terms &amp; Conditions from a set date once the free trial expires. MFS will not be held responsible for any charges that may apply as it is not our responsibility. The link was provided as a quick access for borrowers who do not have access to their own specific credit agencies. You may see full details of our privacy notice at: </t>
    </r>
    <r>
      <rPr>
        <u/>
        <sz val="10"/>
        <color rgb="FF000000"/>
        <rFont val="Calibri"/>
        <family val="2"/>
        <scheme val="minor"/>
      </rPr>
      <t>www.mfsuk.com/privacy-gdpr/</t>
    </r>
    <r>
      <rPr>
        <sz val="10"/>
        <color rgb="FF000000"/>
        <rFont val="Calibri"/>
        <family val="2"/>
        <scheme val="minor"/>
      </rPr>
      <t xml:space="preserve">.  </t>
    </r>
  </si>
  <si>
    <t>[A first fixed and floating Debenture (including legal charge over Security Property).] 
[A first charge over the shares in the Borrower.] 
[A first legal charge of the Security Property.] 
[ANY OTHER SECURITY provided by [   ]</t>
  </si>
  <si>
    <t>Need to update formula</t>
  </si>
  <si>
    <t>&lt;-- Commercial or Main Residence?</t>
  </si>
  <si>
    <t>Hide if Commercial or Main residence</t>
  </si>
  <si>
    <t>Manually Adjust Row height for Multi Property</t>
  </si>
  <si>
    <t>&lt;- Free text update as needed</t>
  </si>
  <si>
    <t xml:space="preserve">You authorise us (and/or to instruct our solicitors), to deduct any Arrangement Fees (which includes the Broker’s Commission as specified in The Summary), Legal Fees and expenses, Title Insurance (if applicable), any Interest (rolled up and deferred) and any other fees, costs or expenses payable by you (which have not already been paid), from the Gross Loan Amount upon completion of the Loan.  </t>
  </si>
  <si>
    <t>Current Anticipated 180-Day Market Value:</t>
  </si>
  <si>
    <r>
      <t xml:space="preserve">*Monthly rate is rounded to 2 decimal points; however, Interest Rate is calculated on annualised rate. 
Please note, the amount stated to service the interest monthly is as of today’s date &amp; BBR. Any increase in the BBR will require the increased interest cost to be serviced from the 1st day of the next calendar month, regardless of if you are currently in a Rolled Up initial period. Any reduction in BBR will be credited back to you upon redemption.  
</t>
    </r>
    <r>
      <rPr>
        <b/>
        <sz val="8"/>
        <color theme="1"/>
        <rFont val="Calibri"/>
        <family val="2"/>
        <scheme val="minor"/>
      </rPr>
      <t>IMPORTANT:</t>
    </r>
    <r>
      <rPr>
        <sz val="8"/>
        <color theme="1"/>
        <rFont val="Calibri"/>
        <family val="2"/>
        <scheme val="minor"/>
      </rPr>
      <t xml:space="preserve"> monthly payments shown in this illustration can be considerably different if a variable rate changes. For example: for every £100,000 borrowed a 0.25% increase in BBR would raise the annual cost by £250. </t>
    </r>
    <r>
      <rPr>
        <b/>
        <sz val="8"/>
        <color theme="1"/>
        <rFont val="Calibri"/>
        <family val="2"/>
        <scheme val="minor"/>
      </rPr>
      <t xml:space="preserve">Rates may increase by more than this, or be significantly different on the anticipated Interest Rate so make sure you can afford the monthly payment </t>
    </r>
  </si>
  <si>
    <t>ERC  3% for Fusion / Exit Fee (£)</t>
  </si>
  <si>
    <t>ERC (£) Yr1</t>
  </si>
  <si>
    <t>ERC (£) Yr2</t>
  </si>
  <si>
    <t>Serviced Monthly Payments:</t>
  </si>
  <si>
    <t xml:space="preserve">
Please note, the amount stated to service the interest monthly is as of today’s date &amp; BBR. Any increase in the BBR will require the increased interest cost to be serviced from the 1st day of the next calendar month, regardless of if you are currently in a Rolled Up initial period. Any reduction in BBR will be credited back to you upon redemption. 
IMPORTANT: monthly payments shown in this illustration can be considerably different if a variable rate changes. For example: for every £100,000 borrowed a 0.25% increase in BBR would raise the annual cost by £250. Rates may increase by more than this, or be significantly different on the anticipated Interest Rate so make sure you can afford the monthly payment</t>
  </si>
  <si>
    <t>xxxxx</t>
  </si>
  <si>
    <t>ERC Threshold:</t>
  </si>
  <si>
    <t xml:space="preserve">Do not sign this Decision in Principle or any declaration unless your declarations and confirmations are true. </t>
  </si>
  <si>
    <t>Do not sign this Decision in Principle or any declaration unless the above paragraphs are true.</t>
  </si>
  <si>
    <t>The standard rate of interest payable on the Gross Loan Amount will be the Interest Rate in The Summary, which is calculated as a flat percentage rate applied monthly. In accordance with the monthly Interest Rate outlined in The Summary the applicable APRC of the loan is within the letter sent to your Introducer/Broker. Please refer to them for the same. Interest that is not deducted at source on completion is to be paid to us on a monthly basis if the Loan is serviceable after the interest retention period (if any), until the Loan Term has expired, at which date the contractual balance outstanding together with any outstanding fees, costs and expenses (including our Legal Fees for discharge) is repayable in full. Interest payments after the interest retention period (if any) must be made on or before the due date and is payable monthly in advance.   In the event of a default under the terms of the Loan, interest on the Loan outstanding will accrue at the Default Rate, which is 3% per month. Further details are included in the Loan Agreement issued later in the process if the Loan is proceeding. 
If the Borrower cannot redeem the loan upon or before the expiry of the Loan Term, there is a provision to extend the loan facility for another 3 months which is strictly contingent upon the Borrower notifying the Lender of their request for the extension in writing at least one month before the expiry of the Loan Term and servicing the monthly interest due in the interim. If the Borrower fails to notify the Lender in writing at least one month before the expiry of the Loan Term or fails to service the monthly interest due whilst the Gross Loan Amount is outstanding, interest on the Loan outstanding will accrue at the Default Rate, which is 3% per month.</t>
  </si>
  <si>
    <t>The standard rate of interest payable on the Gross Loan Amount will be the Interest Rate in The Summary, which is calculated as a flat percentage rate applied monthly. In accordance with the monthly Interest Rate outlined in The Summary the applicable APRC of the loan is within the letter sent to your Introducer/Broker. Please refer to them for the same. Interest that is not deducted at source on completion is to be paid to us on a monthly basis if the Loan is serviceable after the interest retention period (if any), until the Loan Term has expired, at which date the contractual balance outstanding together with any outstanding fees, costs, and expenses (including our Legal Fees for discharge) is repayable in full. Interest payments after the interest retention period (if any) must be made on or before the due date and is payable monthly in advance.   In the event of a default under the terms of the Loan, interest on the Loan outstanding will accrue at the Default Rate, which is 3% per month. Further details are included in the Loan Agreement issued later in the process if the Loan is proceeding.
If the Borrower cannot redeem the loan upon or before the expiry of the Loan Term, there is a provision to extend the loan facility for another 3 months which is strictly contingent upon the Borrower notifying the Lender of their request for the extension in writing at least one month before the expiry of the Loan Term and servicing the monthly interest due in the interim. If the Borrower fails to notify the Lender in writing at least one month before the expiry of the Loan Term or fails to service, the monthly interest due whilst the Gross Loan Amount is outstanding, interest on the Loan outstanding will accrue at the Default Rate, which is 3% per month.</t>
  </si>
  <si>
    <t>Interest Cover (received passing rental as a percentage of finance costs) to be at least 110% at all times.</t>
  </si>
  <si>
    <t xml:space="preserve">At the Borrower’s costs, amount to be confirmed. </t>
  </si>
  <si>
    <t>1-  Retain if Borrower is a corporate vehicle.
2-  Retain if Borrower is a corporate vehicle.
3-  Retain if the Borrower is an individual.</t>
  </si>
  <si>
    <t>Hide if no broker client fee</t>
  </si>
  <si>
    <t>2nd Charge LTV</t>
  </si>
  <si>
    <t>LTV Rate Range Variable</t>
  </si>
  <si>
    <t>LTV Rate Range Fixed</t>
  </si>
  <si>
    <t>Initial Rate</t>
  </si>
  <si>
    <t>Pay Rate</t>
  </si>
  <si>
    <t>Fusion S</t>
  </si>
  <si>
    <t>Fusion L</t>
  </si>
  <si>
    <t>Fusion M</t>
  </si>
  <si>
    <t>ERC 1.5% for Fusion</t>
  </si>
  <si>
    <t xml:space="preserve">EBITDA Calculator for Owner Occupier </t>
  </si>
  <si>
    <t xml:space="preserve">What is EBITDA? </t>
  </si>
  <si>
    <t xml:space="preserve">Previous 
tax year end </t>
  </si>
  <si>
    <t xml:space="preserve">Latest 
tax year end </t>
  </si>
  <si>
    <t xml:space="preserve">Projections
if justifiable </t>
  </si>
  <si>
    <t xml:space="preserve">Figure used </t>
  </si>
  <si>
    <t>Notes</t>
  </si>
  <si>
    <t>EBIT = Earnings Before Interest and Taxes  = revenues - operating expenses - depreciation</t>
  </si>
  <si>
    <t>Financial Year</t>
  </si>
  <si>
    <t xml:space="preserve">UW discretion to use accountant projections if viable. </t>
  </si>
  <si>
    <t xml:space="preserve">EBITDA= EBIT (above) + depreciation + amortization </t>
  </si>
  <si>
    <t xml:space="preserve">Uses 2 yr average figures, or the latest year figures if accounts show declining profit.  </t>
  </si>
  <si>
    <t xml:space="preserve">EBITDA isn't clear profit per say, but a good indiactor of.  New interest from MFS mortgage would be an outgoing but also be tax deductible - as will product fees </t>
  </si>
  <si>
    <t>Net Profit</t>
  </si>
  <si>
    <r>
      <rPr>
        <b/>
        <sz val="10"/>
        <rFont val="Calibri"/>
        <family val="2"/>
        <scheme val="minor"/>
      </rPr>
      <t>EBITDA-to-interest coverage ratio</t>
    </r>
    <r>
      <rPr>
        <sz val="10"/>
        <rFont val="Calibri"/>
        <family val="2"/>
        <scheme val="minor"/>
      </rPr>
      <t xml:space="preserve"> assesses a company's financial durability by examining whether it is at least profitable enough to pay off its interest expenses using its pre-tax income</t>
    </r>
  </si>
  <si>
    <t xml:space="preserve">Interest/Mortgage </t>
  </si>
  <si>
    <r>
      <rPr>
        <sz val="9"/>
        <color rgb="FFC00000"/>
        <rFont val="Calibri"/>
        <family val="2"/>
        <scheme val="minor"/>
      </rPr>
      <t>Add</t>
    </r>
    <r>
      <rPr>
        <b/>
        <sz val="9"/>
        <color rgb="FFC00000"/>
        <rFont val="Calibri"/>
        <family val="2"/>
        <scheme val="minor"/>
      </rPr>
      <t xml:space="preserve"> ONLY if</t>
    </r>
    <r>
      <rPr>
        <sz val="9"/>
        <color rgb="FFC00000"/>
        <rFont val="Calibri"/>
        <family val="2"/>
        <scheme val="minor"/>
      </rPr>
      <t xml:space="preserve"> the debt is being repaid in full and no intrest is due in the future.</t>
    </r>
  </si>
  <si>
    <t>Tax</t>
  </si>
  <si>
    <t xml:space="preserve">Depreciation </t>
  </si>
  <si>
    <t xml:space="preserve">Amortization </t>
  </si>
  <si>
    <t xml:space="preserve">ADDBACKS </t>
  </si>
  <si>
    <t xml:space="preserve">Addbacks - we use latest year, or projections. </t>
  </si>
  <si>
    <t>Director remuneration</t>
  </si>
  <si>
    <t xml:space="preserve">E.g., equity partners drawdown dividends, but no fixed salary directors. </t>
  </si>
  <si>
    <t>Rent</t>
  </si>
  <si>
    <t>E.g., previous mortgage being paid off, or rent if buying premises.</t>
  </si>
  <si>
    <t xml:space="preserve">One off costs </t>
  </si>
  <si>
    <t>Eg, justified one off, settled bounce back loan, capital debt repayment.</t>
  </si>
  <si>
    <t xml:space="preserve">Other </t>
  </si>
  <si>
    <t xml:space="preserve">E.g. one-off spends such as plant, big refurb costs etc. </t>
  </si>
  <si>
    <t>RESULT</t>
  </si>
  <si>
    <t>EBITDA</t>
  </si>
  <si>
    <t>Annual EBITDA figure used is the sum of all the above.</t>
  </si>
  <si>
    <t xml:space="preserve">Instructions </t>
  </si>
  <si>
    <t xml:space="preserve">Key figures from last 2 years company accounts in yellow fields. </t>
  </si>
  <si>
    <t>If profit is lower in latest year, calc will ignore previous year and use all figures given in latest year.</t>
  </si>
  <si>
    <t xml:space="preserve">If using accountant's projections (with UW exception only), key the figures in pink cells. This will override all other values. </t>
  </si>
  <si>
    <t xml:space="preserve">Do not amend blue cells (calculated fields). </t>
  </si>
  <si>
    <t xml:space="preserve">The green cell (K25) is resulting average annual EBITDA, monthly equivalent is automatically pulled to the Owner Occupier section in the main calculator tab. </t>
  </si>
  <si>
    <t>EMV</t>
  </si>
  <si>
    <t>Passing Rent</t>
  </si>
  <si>
    <t>Rental Yield per Year</t>
  </si>
  <si>
    <t>Rental per Sq Ft (Yearly)</t>
  </si>
  <si>
    <t>Product Fee</t>
  </si>
  <si>
    <t>Interest Rate proposed</t>
  </si>
  <si>
    <t>Deferred</t>
  </si>
  <si>
    <t>Rolled Up</t>
  </si>
  <si>
    <t>Total Net Loan</t>
  </si>
  <si>
    <t>Total NPB</t>
  </si>
  <si>
    <t>Total NPB LTV</t>
  </si>
  <si>
    <t>Pay rate</t>
  </si>
  <si>
    <t xml:space="preserve">Borrower to Complete </t>
  </si>
  <si>
    <t>MFS Internal Calcs</t>
  </si>
  <si>
    <t>No. Of Security</t>
  </si>
  <si>
    <t>Full Property Address</t>
  </si>
  <si>
    <t>Type of Property</t>
  </si>
  <si>
    <t>No. of Bedrooms</t>
  </si>
  <si>
    <t>Freehold or Leasehold</t>
  </si>
  <si>
    <t>Unexpired Lease Term</t>
  </si>
  <si>
    <t>Tenant Name</t>
  </si>
  <si>
    <t>Tenancy Start Date</t>
  </si>
  <si>
    <t>Tenancy End Date</t>
  </si>
  <si>
    <t>Size Sqft</t>
  </si>
  <si>
    <t>Market Value</t>
  </si>
  <si>
    <t xml:space="preserve">Occupancy Status </t>
  </si>
  <si>
    <t>Market Rent 
(if vacant)</t>
  </si>
  <si>
    <t>Tenant Profile</t>
  </si>
  <si>
    <t>Rental Amount Charged</t>
  </si>
  <si>
    <t>Ground Rent</t>
  </si>
  <si>
    <t>Service Charge</t>
  </si>
  <si>
    <t>Insurance Cost</t>
  </si>
  <si>
    <t>Additional Management Cost</t>
  </si>
  <si>
    <t>Rental Amount Paid</t>
  </si>
  <si>
    <t>Deposit Amount</t>
  </si>
  <si>
    <t>Any Rent Arrears</t>
  </si>
  <si>
    <t>Auto-renewal Status</t>
  </si>
  <si>
    <t>Rental Payments Status</t>
  </si>
  <si>
    <t>Price per SqFt</t>
  </si>
  <si>
    <t>Operating cost</t>
  </si>
  <si>
    <t>Term in months</t>
  </si>
  <si>
    <t>Interest Rate</t>
  </si>
  <si>
    <t>NPB amount</t>
  </si>
  <si>
    <t>Rolled Interst</t>
  </si>
  <si>
    <t>NPB LTV</t>
  </si>
  <si>
    <t>Net ICR</t>
  </si>
  <si>
    <t>Decision in Principle – Premier Fusion Loan</t>
  </si>
  <si>
    <t>Loan Details</t>
  </si>
  <si>
    <t>Application ID</t>
  </si>
  <si>
    <t>As listed in Schedule 1 – List of Properties</t>
  </si>
  <si>
    <t>Borrower</t>
  </si>
  <si>
    <t>Lender</t>
  </si>
  <si>
    <t>Funding Line</t>
  </si>
  <si>
    <t>Loan Manager</t>
  </si>
  <si>
    <t>Market Financial Solutions Limited</t>
  </si>
  <si>
    <t>Purpose</t>
  </si>
  <si>
    <t>[To refinance [Properties OR [details of Properties]/Acquisition of [Properties OR [details of Properties]]</t>
  </si>
  <si>
    <t>24 months from the date of funding, unless extended for another 12 months (at Lender’s discretion)</t>
  </si>
  <si>
    <t>Advance</t>
  </si>
  <si>
    <t>Interest Rate (variable)</t>
  </si>
  <si>
    <t>Interest Charging Basis</t>
  </si>
  <si>
    <t>Default Interest Rate</t>
  </si>
  <si>
    <t>Minimum Interest Period</t>
  </si>
  <si>
    <t>6 months from the date of drawdown of the Advance</t>
  </si>
  <si>
    <t>Fees</t>
  </si>
  <si>
    <t>Broker’s Commission</t>
  </si>
  <si>
    <t>Valuation Fee</t>
  </si>
  <si>
    <t>Legal Fees</t>
  </si>
  <si>
    <t>Lender’s legal fees payable by the Borrower with amount to be confirmed at a future date</t>
  </si>
  <si>
    <t>Title Insurance Fee</t>
  </si>
  <si>
    <t>Early Repayment Charge 
(“ERC”)</t>
  </si>
  <si>
    <t>ERC Threshold</t>
  </si>
  <si>
    <t>as available on our website at [LINK]. The Loan Manager reserves its right to change the Tariff of Charges from time to time at its own discretion.</t>
  </si>
  <si>
    <t>Security &amp; Covenants</t>
  </si>
  <si>
    <t>First Legal Charge</t>
  </si>
  <si>
    <t>A first ranking legal charge over the Properties. If(corporate,[which is covered by the Debenture])</t>
  </si>
  <si>
    <t>Guarantee</t>
  </si>
  <si>
    <t>Gaurantor Name</t>
  </si>
  <si>
    <t>Loan to Value (“LTV”)</t>
  </si>
  <si>
    <t>Interest Cover</t>
  </si>
  <si>
    <r>
      <t xml:space="preserve">As at any date, passing rental as a percentage of finance cost at that date;
</t>
    </r>
    <r>
      <rPr>
        <b/>
        <sz val="11"/>
        <rFont val="Calibri"/>
        <family val="2"/>
      </rPr>
      <t xml:space="preserve">calculation period - </t>
    </r>
    <r>
      <rPr>
        <sz val="11"/>
        <rFont val="Calibri"/>
        <family val="2"/>
      </rPr>
      <t xml:space="preserve">a period of three months or, if less, the period from the date of drawdown of Advance to the date as at which the relevant calculation is made;
</t>
    </r>
    <r>
      <rPr>
        <b/>
        <sz val="11"/>
        <rFont val="Calibri"/>
        <family val="2"/>
      </rPr>
      <t>finance costs -</t>
    </r>
    <r>
      <rPr>
        <sz val="11"/>
        <rFont val="Calibri"/>
        <family val="2"/>
      </rPr>
      <t xml:space="preserve"> the aggregate amount of interest paid or payable to the Lender during any calculation period in respect of which passing rental has been calculated; and
</t>
    </r>
    <r>
      <rPr>
        <b/>
        <sz val="11"/>
        <rFont val="Calibri"/>
        <family val="2"/>
      </rPr>
      <t>passing rental</t>
    </r>
    <r>
      <rPr>
        <sz val="11"/>
        <rFont val="Calibri"/>
        <family val="2"/>
      </rPr>
      <t xml:space="preserve"> means, as at any date, the passing rental income that was received on a regular periodical basis by the Borrower during the calculation period ending that date;</t>
    </r>
  </si>
  <si>
    <t>Interest Cover Ratio (“ICR”)</t>
  </si>
  <si>
    <t>Summary Terms &amp; Conditions</t>
  </si>
  <si>
    <t>Due Diligence</t>
  </si>
  <si>
    <t>Standard Conditions Precedent</t>
  </si>
  <si>
    <t>Representations &amp; Warranties</t>
  </si>
  <si>
    <t>Valuation</t>
  </si>
  <si>
    <t>Standard Events of Default</t>
  </si>
  <si>
    <t>Cure rights</t>
  </si>
  <si>
    <t>Information Covenants</t>
  </si>
  <si>
    <t>Terms of Business</t>
  </si>
  <si>
    <t>The Loan will be subject to the terms and conditions of a loan agreement and security documents</t>
  </si>
  <si>
    <t>Variation or withdrawal</t>
  </si>
  <si>
    <t>Payments to the broker/intermediary</t>
  </si>
  <si>
    <t>Business Purposes</t>
  </si>
  <si>
    <t>Signature:</t>
  </si>
  <si>
    <t xml:space="preserve"> ___________________________________         </t>
  </si>
  <si>
    <t>(Print Name)</t>
  </si>
  <si>
    <t xml:space="preserve">Date: </t>
  </si>
  <si>
    <t xml:space="preserve">Schedule 1 – List of Properties </t>
  </si>
  <si>
    <t>1 -</t>
  </si>
  <si>
    <t>2 -</t>
  </si>
  <si>
    <t>3 -</t>
  </si>
  <si>
    <t>4 -</t>
  </si>
  <si>
    <t>5 -</t>
  </si>
  <si>
    <t>6 -</t>
  </si>
  <si>
    <t>7 -</t>
  </si>
  <si>
    <t>8 -</t>
  </si>
  <si>
    <t>9 -</t>
  </si>
  <si>
    <t>10 -</t>
  </si>
  <si>
    <t>11 -</t>
  </si>
  <si>
    <t>12 -</t>
  </si>
  <si>
    <t>13 -</t>
  </si>
  <si>
    <t>14 -</t>
  </si>
  <si>
    <t>15 -</t>
  </si>
  <si>
    <t>16 -</t>
  </si>
  <si>
    <t>17 -</t>
  </si>
  <si>
    <t>18 -</t>
  </si>
  <si>
    <t>19 -</t>
  </si>
  <si>
    <t>20 -</t>
  </si>
  <si>
    <t>21 -</t>
  </si>
  <si>
    <t>22 -</t>
  </si>
  <si>
    <t>23 -</t>
  </si>
  <si>
    <t>24 -</t>
  </si>
  <si>
    <t>25 -</t>
  </si>
  <si>
    <t>26 -</t>
  </si>
  <si>
    <t>27 -</t>
  </si>
  <si>
    <t>28 -</t>
  </si>
  <si>
    <t>29 -</t>
  </si>
  <si>
    <t>30 -</t>
  </si>
  <si>
    <t>31 -</t>
  </si>
  <si>
    <t>32 -</t>
  </si>
  <si>
    <t>33 -</t>
  </si>
  <si>
    <t>34 -</t>
  </si>
  <si>
    <t>35 -</t>
  </si>
  <si>
    <t>36 -</t>
  </si>
  <si>
    <t>37 -</t>
  </si>
  <si>
    <t>38 -</t>
  </si>
  <si>
    <t>39 -</t>
  </si>
  <si>
    <t>40 -</t>
  </si>
  <si>
    <t>41 -</t>
  </si>
  <si>
    <t>42 -</t>
  </si>
  <si>
    <t>43 -</t>
  </si>
  <si>
    <t>44 -</t>
  </si>
  <si>
    <t>45 -</t>
  </si>
  <si>
    <t>46 -</t>
  </si>
  <si>
    <t>47 -</t>
  </si>
  <si>
    <t>48 -</t>
  </si>
  <si>
    <t>49 -</t>
  </si>
  <si>
    <t>50 -</t>
  </si>
  <si>
    <t>51 -</t>
  </si>
  <si>
    <t>52 -</t>
  </si>
  <si>
    <t>53 -</t>
  </si>
  <si>
    <t>54 -</t>
  </si>
  <si>
    <t>55 -</t>
  </si>
  <si>
    <t>56 -</t>
  </si>
  <si>
    <t>57 -</t>
  </si>
  <si>
    <t>58 -</t>
  </si>
  <si>
    <t>59 -</t>
  </si>
  <si>
    <t>60 -</t>
  </si>
  <si>
    <t>61 -</t>
  </si>
  <si>
    <t>62 -</t>
  </si>
  <si>
    <t>63 -</t>
  </si>
  <si>
    <t>64 -</t>
  </si>
  <si>
    <t>65 -</t>
  </si>
  <si>
    <t>66 -</t>
  </si>
  <si>
    <t>67 -</t>
  </si>
  <si>
    <t>68 -</t>
  </si>
  <si>
    <t>69 -</t>
  </si>
  <si>
    <t>70 -</t>
  </si>
  <si>
    <t>71 -</t>
  </si>
  <si>
    <t>72 -</t>
  </si>
  <si>
    <t>73 -</t>
  </si>
  <si>
    <t>74 -</t>
  </si>
  <si>
    <t>75 -</t>
  </si>
  <si>
    <t>76 -</t>
  </si>
  <si>
    <t>77 -</t>
  </si>
  <si>
    <t>78 -</t>
  </si>
  <si>
    <t>79 -</t>
  </si>
  <si>
    <t>80 -</t>
  </si>
  <si>
    <t>81 -</t>
  </si>
  <si>
    <t>82 -</t>
  </si>
  <si>
    <t>83 -</t>
  </si>
  <si>
    <t>84 -</t>
  </si>
  <si>
    <t>85 -</t>
  </si>
  <si>
    <t>86 -</t>
  </si>
  <si>
    <t>87 -</t>
  </si>
  <si>
    <t>88 -</t>
  </si>
  <si>
    <t>89 -</t>
  </si>
  <si>
    <t>90 -</t>
  </si>
  <si>
    <t>91 -</t>
  </si>
  <si>
    <t>92 -</t>
  </si>
  <si>
    <t>93 -</t>
  </si>
  <si>
    <t>94 -</t>
  </si>
  <si>
    <t>95 -</t>
  </si>
  <si>
    <t>96 -</t>
  </si>
  <si>
    <t>97 -</t>
  </si>
  <si>
    <t>98 -</t>
  </si>
  <si>
    <t>99 -</t>
  </si>
  <si>
    <t>100 -</t>
  </si>
  <si>
    <t>101 -</t>
  </si>
  <si>
    <t>102 -</t>
  </si>
  <si>
    <t>103 -</t>
  </si>
  <si>
    <t>104 -</t>
  </si>
  <si>
    <t>105 -</t>
  </si>
  <si>
    <t>106 -</t>
  </si>
  <si>
    <t>107 -</t>
  </si>
  <si>
    <t>108 -</t>
  </si>
  <si>
    <t>109 -</t>
  </si>
  <si>
    <t>110 -</t>
  </si>
  <si>
    <t>111 -</t>
  </si>
  <si>
    <t>112 -</t>
  </si>
  <si>
    <t>113 -</t>
  </si>
  <si>
    <t>114 -</t>
  </si>
  <si>
    <t>115 -</t>
  </si>
  <si>
    <t>116 -</t>
  </si>
  <si>
    <t>117 -</t>
  </si>
  <si>
    <t>118 -</t>
  </si>
  <si>
    <t>119 -</t>
  </si>
  <si>
    <t>120 -</t>
  </si>
  <si>
    <t>121 -</t>
  </si>
  <si>
    <t>122 -</t>
  </si>
  <si>
    <t>123 -</t>
  </si>
  <si>
    <t>124 -</t>
  </si>
  <si>
    <t>125 -</t>
  </si>
  <si>
    <t>126 -</t>
  </si>
  <si>
    <t>127 -</t>
  </si>
  <si>
    <t>128 -</t>
  </si>
  <si>
    <t>129 -</t>
  </si>
  <si>
    <t>130 -</t>
  </si>
  <si>
    <t>131 -</t>
  </si>
  <si>
    <t>132 -</t>
  </si>
  <si>
    <t>133 -</t>
  </si>
  <si>
    <t>134 -</t>
  </si>
  <si>
    <t>135 -</t>
  </si>
  <si>
    <t>136 -</t>
  </si>
  <si>
    <t>137 -</t>
  </si>
  <si>
    <t>138 -</t>
  </si>
  <si>
    <t>139 -</t>
  </si>
  <si>
    <t>140 -</t>
  </si>
  <si>
    <t>141 -</t>
  </si>
  <si>
    <t>142 -</t>
  </si>
  <si>
    <t>143 -</t>
  </si>
  <si>
    <t>144 -</t>
  </si>
  <si>
    <t>145 -</t>
  </si>
  <si>
    <t>146 -</t>
  </si>
  <si>
    <t>147 -</t>
  </si>
  <si>
    <t>148 -</t>
  </si>
  <si>
    <t>149 -</t>
  </si>
  <si>
    <t>150 -</t>
  </si>
  <si>
    <t>151 -</t>
  </si>
  <si>
    <t>152 -</t>
  </si>
  <si>
    <t>153 -</t>
  </si>
  <si>
    <t>154 -</t>
  </si>
  <si>
    <t>155 -</t>
  </si>
  <si>
    <t>156 -</t>
  </si>
  <si>
    <t>157 -</t>
  </si>
  <si>
    <t>158 -</t>
  </si>
  <si>
    <t>159 -</t>
  </si>
  <si>
    <t>160 -</t>
  </si>
  <si>
    <t>161 -</t>
  </si>
  <si>
    <t>162 -</t>
  </si>
  <si>
    <t>163 -</t>
  </si>
  <si>
    <t>164 -</t>
  </si>
  <si>
    <t>165 -</t>
  </si>
  <si>
    <t>166 -</t>
  </si>
  <si>
    <t>167 -</t>
  </si>
  <si>
    <t>168 -</t>
  </si>
  <si>
    <t>169 -</t>
  </si>
  <si>
    <t>170 -</t>
  </si>
  <si>
    <t>171 -</t>
  </si>
  <si>
    <t>172 -</t>
  </si>
  <si>
    <t>173 -</t>
  </si>
  <si>
    <t>174 -</t>
  </si>
  <si>
    <t>175 -</t>
  </si>
  <si>
    <t>176 -</t>
  </si>
  <si>
    <t>177 -</t>
  </si>
  <si>
    <t>178 -</t>
  </si>
  <si>
    <t>179 -</t>
  </si>
  <si>
    <t>Fusion Premier</t>
  </si>
  <si>
    <t>Premier</t>
  </si>
  <si>
    <t>Fusion Rolled Months</t>
  </si>
  <si>
    <t>60% LTV</t>
  </si>
  <si>
    <t>70% LTV</t>
  </si>
  <si>
    <t>75% LTV</t>
  </si>
  <si>
    <t>Properties</t>
  </si>
  <si>
    <t>Guarantor</t>
  </si>
  <si>
    <t>Obligors</t>
  </si>
  <si>
    <t>Commencing date</t>
  </si>
  <si>
    <t>Interest Rate plus an additional 2.00% per month</t>
  </si>
  <si>
    <t>Interest Payments</t>
  </si>
  <si>
    <t>&lt;-- Check</t>
  </si>
  <si>
    <t>Broker Client Fee</t>
  </si>
  <si>
    <t>Debenture</t>
  </si>
  <si>
    <t>Share Charge</t>
  </si>
  <si>
    <t>180 -</t>
  </si>
  <si>
    <t>181 -</t>
  </si>
  <si>
    <t>182 -</t>
  </si>
  <si>
    <t>183 -</t>
  </si>
  <si>
    <t>184 -</t>
  </si>
  <si>
    <t>185 -</t>
  </si>
  <si>
    <t>186 -</t>
  </si>
  <si>
    <t>187 -</t>
  </si>
  <si>
    <t>188 -</t>
  </si>
  <si>
    <t>189 -</t>
  </si>
  <si>
    <t>190 -</t>
  </si>
  <si>
    <t>191 -</t>
  </si>
  <si>
    <t>192 -</t>
  </si>
  <si>
    <t>193 -</t>
  </si>
  <si>
    <t>194 -</t>
  </si>
  <si>
    <t>195 -</t>
  </si>
  <si>
    <t>196 -</t>
  </si>
  <si>
    <t>197 -</t>
  </si>
  <si>
    <t>198 -</t>
  </si>
  <si>
    <t>199 -</t>
  </si>
  <si>
    <t>200 -</t>
  </si>
  <si>
    <t>201 -</t>
  </si>
  <si>
    <t>202 -</t>
  </si>
  <si>
    <t>203 -</t>
  </si>
  <si>
    <t>204 -</t>
  </si>
  <si>
    <t>205 -</t>
  </si>
  <si>
    <t>206 -</t>
  </si>
  <si>
    <t>207 -</t>
  </si>
  <si>
    <t>208 -</t>
  </si>
  <si>
    <t>209 -</t>
  </si>
  <si>
    <t>210 -</t>
  </si>
  <si>
    <t>211 -</t>
  </si>
  <si>
    <t>212 -</t>
  </si>
  <si>
    <t>213 -</t>
  </si>
  <si>
    <t>•      Validity of incorporation of the Borrower
•      Power, capacity and authority of the Borrower to comply with its obligations under the finance documents
•      Legal authority, non-conflict and regulatory compliance 
•      No existing or pending bankruptcy or insolvency 
•      No existing or pending legal proceedings</t>
  </si>
  <si>
    <t>Mandatory Prepayment</t>
  </si>
  <si>
    <t>•      Illegality
•      Change of control
•      Proceeds of disposals, subject to agreed carve-outs
•      Proceeds of insurance, subject to agreed carve-outs
•      Proceeds of claims against the Property's seller or report providers, subject to agreed carve-outs
•      Proceeds of compulsory purchase</t>
  </si>
  <si>
    <t xml:space="preserve">•      AVM on all Properties on a half-yearly basis, at Borrower’s costs
•      Should AVM show a decrease of 5% or more on a Property, full red book valuation is required on that Property at Borrower’s cost
•      Any time when an Event of Default is continuing or is likely to occur as a result of obtaining that valuation and such Valuation evidences the breach of the LTV breach.  
</t>
  </si>
  <si>
    <t xml:space="preserve">•       A full red book valuation prepared by a valuer acceptable to the Lender
•       Full property and legal diligence undertaken by the Lender’s appointed legal advisor
•       Supporting documentation and other public information sources we deem necessary such as Credit Reference Agencies (“CRAs”) to conduct our anti-fraud checks and Know Your Customer (“KYC”) and Customer Due Diligence (“CDD”) checks in accordance with the requirements of The Money Laundering Regulations;
•       Electronic ID verification and liveness checks on the Obligors, if requested by the Lender 
</t>
  </si>
  <si>
    <t xml:space="preserve">Including but not limited to:
•      For corporate Borrowers certified copies of all relevant constitutional documents including a resolution of the board of directors approving the transaction 
•      For individual Guarantors or third party security providers evidence of independent legal advice
•      Executed facility agreement and security documents
•      Evidence of the Borrower's equity contribution towards purchasing and/or refinancing the Properties
•      All relevant KYC documents and certified identification
•      Receipt of clear bankruptcy or insolvency (as applicable) searches 
•      All title documents relating to the Borrower's interests in the Properties
•      A clear Land Charges Registry search against the Borrower 
•      A complete and signed SDLT certificate
•      Full property searches dated within 3 months prior to the date of completion
•      Evidence that each required insurance is in place with the lender’s interest noted
•      Where applicable copies of all planning permissions (including relevant plans and approvals required by planning conditions), building approvals, building regulation completion certificates, licences and consents and planning agreements relating to the prorerty and or granted in respect of the development and any previous development at the property
•      Evidence that on funding of the loan any existing security interest over any of the Properties and assets to be mortgaged or charged by the security documents will be immediately released
•      Opening of designated bank accounts such as rent account, cash trap account and cure account
</t>
  </si>
  <si>
    <t xml:space="preserve">Including but not limited to:
•  	Change of control of the Borrower
•  	Insolvency of the Borrower or bankruptcy of any of its directors or shareholders
•  	Appointment of a receiver or similar officer over any of the Borrower’s assets
•  	Submission of an application for a winding up, dissolution or liquidation of the Borrower 
•  	Submission of a petition for the bankruptcy of any directors or shareholders of the Borrower 
•  	Non-payment of any sums falling due under the facility agreement
•  	Breach of any covenant, representation or warranty contained within the facility agreement
•  	Cross default of any other facility provided by the Lender to the Borrower
•    	Breach of any other financial obligations of the Borrower
</t>
  </si>
  <si>
    <t>Application of Prepayments</t>
  </si>
  <si>
    <t xml:space="preserve">Prepayments will be applied against amounts outstanding in line with the payment waterfall as documented in the Facility Agreement
</t>
  </si>
  <si>
    <t xml:space="preserve">•      If there is a breach in the LTV or ICR covenants, the Borrower will be given a cure period of 10 business days to either:
            •      prepay in full or in part the loan to cure the financial covenants without triggering Event of Default; or
            •      deposit in the cure account an amount not less than such amount as is required such that immediately following such deposit, if such deposit had been applied in prepayment of the loan on the relevant calculation date, the Borrower would be in compliance with its financial covenants.  
•      No ERC up until ERC Threshold
•      The Borrower shall not exercise its cure rights by way of voluntary prepayment in two consecutive financial quarters or more than 4 times in aggregate during the Term 
</t>
  </si>
  <si>
    <t xml:space="preserve">The Borrower to provide the Lender and Loan Manager: 
•      with a detailed rental roll within 5 days of such request and within 30 days of each quarter end, this should include: tenant names, lease terms, rental, arrears, and expiry dates;
•      quarterly operating statement detailing income and expenditures relating to each property within 30 days of each quarter 
•      any material changes in tenancy, such as lease terminations, changes to the lease and new leases within 10 business days; and
•      predicted annual budget within 30 days prior to the start of their financial year 
</t>
  </si>
  <si>
    <t xml:space="preserve">We reserve the right to vary the terms or withdraw the Loan at our discretion, should enquiries, valuation or our client due diligence result in material change to the application as now presented or contradict any information disclosed by the Borrower to date.  If we decide to vary terms, we will notify the Borrower of variations and provide our reasons for doing so.
</t>
  </si>
  <si>
    <t xml:space="preserve">The Loan is being provided solely for business purposes.  The Loan is therefore exempt from the provisions of and the Borrower will therefore not receive the protections afforded by the Financial Services &amp; Markets Act 2000 and the Financial Services and Markets The Mortgage Credit Directive Order 2015 and Consumer Credit Act 1974.    
The Borrower confirms to us that the Properties have never been and will not be occupied by the Borrower or any spouse, unmarried partner, civil partner, parents, grandparents, siblings, children and grandchildren or any other related person whilst any amount of the Loan remains outstanding.  
We will rely upon the Borrower’s declarations when completing the Loan, and such declarations will be a condition of the lending.  
</t>
  </si>
  <si>
    <t xml:space="preserve">This offer is valid for 30 days and is subject to satisfactory valuation, due diligence, documentation, and Credit Committee approval. The below terms do not constitute a commitment to provide funding by the Lender nor representation that such funding will be made available.
</t>
  </si>
  <si>
    <t>[Signed by the Guarantor/Obligors]</t>
  </si>
  <si>
    <t>Retained Interest</t>
  </si>
  <si>
    <t>214 -</t>
  </si>
  <si>
    <t>215 -</t>
  </si>
  <si>
    <t>216 -</t>
  </si>
  <si>
    <t>217 -</t>
  </si>
  <si>
    <t>218 -</t>
  </si>
  <si>
    <t>219 -</t>
  </si>
  <si>
    <t>220 -</t>
  </si>
  <si>
    <t>221 -</t>
  </si>
  <si>
    <t>222 -</t>
  </si>
  <si>
    <t>223 -</t>
  </si>
  <si>
    <t>224 -</t>
  </si>
  <si>
    <t>225 -</t>
  </si>
  <si>
    <t>226 -</t>
  </si>
  <si>
    <t>227 -</t>
  </si>
  <si>
    <t>228 -</t>
  </si>
  <si>
    <t>229 -</t>
  </si>
  <si>
    <t>230 -</t>
  </si>
  <si>
    <t>231 -</t>
  </si>
  <si>
    <t>232 -</t>
  </si>
  <si>
    <t>233 -</t>
  </si>
  <si>
    <t>234 -</t>
  </si>
  <si>
    <t>235 -</t>
  </si>
  <si>
    <t>236 -</t>
  </si>
  <si>
    <t>237 -</t>
  </si>
  <si>
    <t>238 -</t>
  </si>
  <si>
    <t>239 -</t>
  </si>
  <si>
    <t>240 -</t>
  </si>
  <si>
    <t>241 -</t>
  </si>
  <si>
    <t>242 -</t>
  </si>
  <si>
    <t>243 -</t>
  </si>
  <si>
    <t>244 -</t>
  </si>
  <si>
    <t>245 -</t>
  </si>
  <si>
    <t>246 -</t>
  </si>
  <si>
    <t>247 -</t>
  </si>
  <si>
    <t>248 -</t>
  </si>
  <si>
    <t>249 -</t>
  </si>
  <si>
    <t>250 -</t>
  </si>
  <si>
    <t>251 -</t>
  </si>
  <si>
    <t>252 -</t>
  </si>
  <si>
    <t>253 -</t>
  </si>
  <si>
    <t>254 -</t>
  </si>
  <si>
    <t>255 -</t>
  </si>
  <si>
    <t>256 -</t>
  </si>
  <si>
    <t>257 -</t>
  </si>
  <si>
    <t>258 -</t>
  </si>
  <si>
    <t>259 -</t>
  </si>
  <si>
    <t>260 -</t>
  </si>
  <si>
    <t>261 -</t>
  </si>
  <si>
    <t>262 -</t>
  </si>
  <si>
    <t>263 -</t>
  </si>
  <si>
    <t>264 -</t>
  </si>
  <si>
    <t>265 -</t>
  </si>
  <si>
    <t>266 -</t>
  </si>
  <si>
    <t>267 -</t>
  </si>
  <si>
    <t>268 -</t>
  </si>
  <si>
    <t>269 -</t>
  </si>
  <si>
    <t>270 -</t>
  </si>
  <si>
    <t>271 -</t>
  </si>
  <si>
    <t>272 -</t>
  </si>
  <si>
    <t>273 -</t>
  </si>
  <si>
    <t>274 -</t>
  </si>
  <si>
    <t>275 -</t>
  </si>
  <si>
    <t>276 -</t>
  </si>
  <si>
    <t>277 -</t>
  </si>
  <si>
    <t>278 -</t>
  </si>
  <si>
    <t>279 -</t>
  </si>
  <si>
    <t>280 -</t>
  </si>
  <si>
    <t>281 -</t>
  </si>
  <si>
    <t>282 -</t>
  </si>
  <si>
    <t>283 -</t>
  </si>
  <si>
    <t>284 -</t>
  </si>
  <si>
    <t>285 -</t>
  </si>
  <si>
    <t>286 -</t>
  </si>
  <si>
    <t>287 -</t>
  </si>
  <si>
    <t>288 -</t>
  </si>
  <si>
    <t>289 -</t>
  </si>
  <si>
    <t>290 -</t>
  </si>
  <si>
    <t>291 -</t>
  </si>
  <si>
    <t>292 -</t>
  </si>
  <si>
    <t>293 -</t>
  </si>
  <si>
    <t>294 -</t>
  </si>
  <si>
    <t>295 -</t>
  </si>
  <si>
    <t>296 -</t>
  </si>
  <si>
    <t>297 -</t>
  </si>
  <si>
    <t>298 -</t>
  </si>
  <si>
    <t>299 -</t>
  </si>
  <si>
    <t>300 -</t>
  </si>
  <si>
    <t>301 -</t>
  </si>
  <si>
    <t>302 -</t>
  </si>
  <si>
    <t>303 -</t>
  </si>
  <si>
    <t>304 -</t>
  </si>
  <si>
    <t>305 -</t>
  </si>
  <si>
    <t>306 -</t>
  </si>
  <si>
    <t>307 -</t>
  </si>
  <si>
    <t>308 -</t>
  </si>
  <si>
    <t>309 -</t>
  </si>
  <si>
    <t>310 -</t>
  </si>
  <si>
    <t>311 -</t>
  </si>
  <si>
    <t>312 -</t>
  </si>
  <si>
    <t>313 -</t>
  </si>
  <si>
    <t>314 -</t>
  </si>
  <si>
    <t>315 -</t>
  </si>
  <si>
    <t>316 -</t>
  </si>
  <si>
    <t>317 -</t>
  </si>
  <si>
    <t>318 -</t>
  </si>
  <si>
    <t>319 -</t>
  </si>
  <si>
    <t>320 -</t>
  </si>
  <si>
    <t>321 -</t>
  </si>
  <si>
    <t>322 -</t>
  </si>
  <si>
    <t>323 -</t>
  </si>
  <si>
    <t>324 -</t>
  </si>
  <si>
    <t>325 -</t>
  </si>
  <si>
    <t>326 -</t>
  </si>
  <si>
    <t>327 -</t>
  </si>
  <si>
    <t>328 -</t>
  </si>
  <si>
    <t>329 -</t>
  </si>
  <si>
    <t>330 -</t>
  </si>
  <si>
    <t>331 -</t>
  </si>
  <si>
    <t>332 -</t>
  </si>
  <si>
    <t>333 -</t>
  </si>
  <si>
    <t>334 -</t>
  </si>
  <si>
    <t>335 -</t>
  </si>
  <si>
    <t>336 -</t>
  </si>
  <si>
    <t>337 -</t>
  </si>
  <si>
    <t>338 -</t>
  </si>
  <si>
    <t>339 -</t>
  </si>
  <si>
    <t>340 -</t>
  </si>
  <si>
    <t>341 -</t>
  </si>
  <si>
    <t>342 -</t>
  </si>
  <si>
    <t>343 -</t>
  </si>
  <si>
    <t>344 -</t>
  </si>
  <si>
    <t>345 -</t>
  </si>
  <si>
    <t>346 -</t>
  </si>
  <si>
    <t>347 -</t>
  </si>
  <si>
    <t>348 -</t>
  </si>
  <si>
    <t>349 -</t>
  </si>
  <si>
    <t>350 -</t>
  </si>
  <si>
    <t>351 -</t>
  </si>
  <si>
    <t>352 -</t>
  </si>
  <si>
    <t>353 -</t>
  </si>
  <si>
    <t>354 -</t>
  </si>
  <si>
    <t>355 -</t>
  </si>
  <si>
    <t>356 -</t>
  </si>
  <si>
    <t>357 -</t>
  </si>
  <si>
    <t>358 -</t>
  </si>
  <si>
    <t>359 -</t>
  </si>
  <si>
    <t>360 -</t>
  </si>
  <si>
    <t>361 -</t>
  </si>
  <si>
    <t>362 -</t>
  </si>
  <si>
    <t>363 -</t>
  </si>
  <si>
    <t>364 -</t>
  </si>
  <si>
    <t>365 -</t>
  </si>
  <si>
    <t>366 -</t>
  </si>
  <si>
    <t>367 -</t>
  </si>
  <si>
    <t>368 -</t>
  </si>
  <si>
    <t>369 -</t>
  </si>
  <si>
    <t>370 -</t>
  </si>
  <si>
    <t>371 -</t>
  </si>
  <si>
    <t>372 -</t>
  </si>
  <si>
    <t>373 -</t>
  </si>
  <si>
    <t>374 -</t>
  </si>
  <si>
    <t>375 -</t>
  </si>
  <si>
    <t>376 -</t>
  </si>
  <si>
    <t>377 -</t>
  </si>
  <si>
    <t>378 -</t>
  </si>
  <si>
    <t>379 -</t>
  </si>
  <si>
    <t>380 -</t>
  </si>
  <si>
    <t>381 -</t>
  </si>
  <si>
    <t>382 -</t>
  </si>
  <si>
    <t>383 -</t>
  </si>
  <si>
    <t>384 -</t>
  </si>
  <si>
    <t>385 -</t>
  </si>
  <si>
    <t>386 -</t>
  </si>
  <si>
    <t>387 -</t>
  </si>
  <si>
    <t>388 -</t>
  </si>
  <si>
    <t>389 -</t>
  </si>
  <si>
    <t>390 -</t>
  </si>
  <si>
    <t>391 -</t>
  </si>
  <si>
    <t>392 -</t>
  </si>
  <si>
    <t>393 -</t>
  </si>
  <si>
    <t>394 -</t>
  </si>
  <si>
    <t>395 -</t>
  </si>
  <si>
    <t>396 -</t>
  </si>
  <si>
    <t>397 -</t>
  </si>
  <si>
    <t>398 -</t>
  </si>
  <si>
    <t>399 -</t>
  </si>
  <si>
    <t>400 -</t>
  </si>
  <si>
    <t>401 -</t>
  </si>
  <si>
    <t>402 -</t>
  </si>
  <si>
    <t>403 -</t>
  </si>
  <si>
    <t>404 -</t>
  </si>
  <si>
    <t>405 -</t>
  </si>
  <si>
    <t>406 -</t>
  </si>
  <si>
    <t>407 -</t>
  </si>
  <si>
    <t>408 -</t>
  </si>
  <si>
    <t>409 -</t>
  </si>
  <si>
    <t>410 -</t>
  </si>
  <si>
    <t>411 -</t>
  </si>
  <si>
    <t>412 -</t>
  </si>
  <si>
    <t>413 -</t>
  </si>
  <si>
    <t>414 -</t>
  </si>
  <si>
    <t>415 -</t>
  </si>
  <si>
    <t>416 -</t>
  </si>
  <si>
    <t>417 -</t>
  </si>
  <si>
    <t>418 -</t>
  </si>
  <si>
    <t>419 -</t>
  </si>
  <si>
    <t>420 -</t>
  </si>
  <si>
    <t>421 -</t>
  </si>
  <si>
    <t>422 -</t>
  </si>
  <si>
    <t>423 -</t>
  </si>
  <si>
    <t>424 -</t>
  </si>
  <si>
    <t>425 -</t>
  </si>
  <si>
    <t>426 -</t>
  </si>
  <si>
    <t>427 -</t>
  </si>
  <si>
    <t>428 -</t>
  </si>
  <si>
    <t>429 -</t>
  </si>
  <si>
    <t>430 -</t>
  </si>
  <si>
    <t>431 -</t>
  </si>
  <si>
    <t>432 -</t>
  </si>
  <si>
    <t>433 -</t>
  </si>
  <si>
    <t>434 -</t>
  </si>
  <si>
    <t>435 -</t>
  </si>
  <si>
    <t>436 -</t>
  </si>
  <si>
    <t>437 -</t>
  </si>
  <si>
    <t>438 -</t>
  </si>
  <si>
    <t>439 -</t>
  </si>
  <si>
    <t>440 -</t>
  </si>
  <si>
    <t>441 -</t>
  </si>
  <si>
    <t>442 -</t>
  </si>
  <si>
    <t>443 -</t>
  </si>
  <si>
    <t>444 -</t>
  </si>
  <si>
    <t>445 -</t>
  </si>
  <si>
    <t>446 -</t>
  </si>
  <si>
    <t>447 -</t>
  </si>
  <si>
    <t>448 -</t>
  </si>
  <si>
    <t>449 -</t>
  </si>
  <si>
    <t>450 -</t>
  </si>
  <si>
    <t>451 -</t>
  </si>
  <si>
    <t>452 -</t>
  </si>
  <si>
    <t>453 -</t>
  </si>
  <si>
    <t>454 -</t>
  </si>
  <si>
    <t>455 -</t>
  </si>
  <si>
    <t>456 -</t>
  </si>
  <si>
    <t>457 -</t>
  </si>
  <si>
    <t>458 -</t>
  </si>
  <si>
    <t>459 -</t>
  </si>
  <si>
    <t>460 -</t>
  </si>
  <si>
    <t>461 -</t>
  </si>
  <si>
    <t>462 -</t>
  </si>
  <si>
    <t>463 -</t>
  </si>
  <si>
    <t>464 -</t>
  </si>
  <si>
    <t>465 -</t>
  </si>
  <si>
    <t>466 -</t>
  </si>
  <si>
    <t>467 -</t>
  </si>
  <si>
    <t>468 -</t>
  </si>
  <si>
    <t>469 -</t>
  </si>
  <si>
    <t>470 -</t>
  </si>
  <si>
    <t>471 -</t>
  </si>
  <si>
    <t>472 -</t>
  </si>
  <si>
    <t>473 -</t>
  </si>
  <si>
    <t>474 -</t>
  </si>
  <si>
    <t>475 -</t>
  </si>
  <si>
    <t>476 -</t>
  </si>
  <si>
    <t>477 -</t>
  </si>
  <si>
    <t>478 -</t>
  </si>
  <si>
    <t>479 -</t>
  </si>
  <si>
    <t>480 -</t>
  </si>
  <si>
    <t>481 -</t>
  </si>
  <si>
    <t>482 -</t>
  </si>
  <si>
    <t>483 -</t>
  </si>
  <si>
    <t>484 -</t>
  </si>
  <si>
    <t>485 -</t>
  </si>
  <si>
    <t>486 -</t>
  </si>
  <si>
    <t>487 -</t>
  </si>
  <si>
    <t>488 -</t>
  </si>
  <si>
    <t>489 -</t>
  </si>
  <si>
    <t>490 -</t>
  </si>
  <si>
    <t>491 -</t>
  </si>
  <si>
    <t>492 -</t>
  </si>
  <si>
    <t>493 -</t>
  </si>
  <si>
    <t>494 -</t>
  </si>
  <si>
    <t>495 -</t>
  </si>
  <si>
    <t>496 -</t>
  </si>
  <si>
    <t>497 -</t>
  </si>
  <si>
    <t>498 -</t>
  </si>
  <si>
    <t>499 -</t>
  </si>
  <si>
    <t>500 -</t>
  </si>
  <si>
    <t>501 -</t>
  </si>
  <si>
    <t>502 -</t>
  </si>
  <si>
    <t>503 -</t>
  </si>
  <si>
    <t>504 -</t>
  </si>
  <si>
    <t>505 -</t>
  </si>
  <si>
    <t>506 -</t>
  </si>
  <si>
    <t>507 -</t>
  </si>
  <si>
    <t>508 -</t>
  </si>
  <si>
    <t>509 -</t>
  </si>
  <si>
    <t>510 -</t>
  </si>
  <si>
    <t>511 -</t>
  </si>
  <si>
    <t>512 -</t>
  </si>
  <si>
    <t>513 -</t>
  </si>
  <si>
    <t>514 -</t>
  </si>
  <si>
    <t>515 -</t>
  </si>
  <si>
    <t>516 -</t>
  </si>
  <si>
    <t>517 -</t>
  </si>
  <si>
    <t>518 -</t>
  </si>
  <si>
    <t>519 -</t>
  </si>
  <si>
    <t>520 -</t>
  </si>
  <si>
    <t>521 -</t>
  </si>
  <si>
    <t>522 -</t>
  </si>
  <si>
    <t>523 -</t>
  </si>
  <si>
    <t>524 -</t>
  </si>
  <si>
    <t>525 -</t>
  </si>
  <si>
    <t>526 -</t>
  </si>
  <si>
    <t>527 -</t>
  </si>
  <si>
    <t>528 -</t>
  </si>
  <si>
    <t>529 -</t>
  </si>
  <si>
    <t>530 -</t>
  </si>
  <si>
    <t>531 -</t>
  </si>
  <si>
    <t>532 -</t>
  </si>
  <si>
    <t>533 -</t>
  </si>
  <si>
    <t>534 -</t>
  </si>
  <si>
    <t>535 -</t>
  </si>
  <si>
    <t>536 -</t>
  </si>
  <si>
    <t>537 -</t>
  </si>
  <si>
    <t>538 -</t>
  </si>
  <si>
    <t>539 -</t>
  </si>
  <si>
    <t>540 -</t>
  </si>
  <si>
    <t>541 -</t>
  </si>
  <si>
    <t>542 -</t>
  </si>
  <si>
    <t>543 -</t>
  </si>
  <si>
    <t>544 -</t>
  </si>
  <si>
    <t>545 -</t>
  </si>
  <si>
    <t>546 -</t>
  </si>
  <si>
    <t>547 -</t>
  </si>
  <si>
    <t>548 -</t>
  </si>
  <si>
    <t>549 -</t>
  </si>
  <si>
    <t>550 -</t>
  </si>
  <si>
    <t>551 -</t>
  </si>
  <si>
    <t>552 -</t>
  </si>
  <si>
    <t>553 -</t>
  </si>
  <si>
    <t>554 -</t>
  </si>
  <si>
    <t>555 -</t>
  </si>
  <si>
    <t>556 -</t>
  </si>
  <si>
    <t>557 -</t>
  </si>
  <si>
    <t>558 -</t>
  </si>
  <si>
    <t>559 -</t>
  </si>
  <si>
    <t>560 -</t>
  </si>
  <si>
    <t>561 -</t>
  </si>
  <si>
    <t>562 -</t>
  </si>
  <si>
    <t>563 -</t>
  </si>
  <si>
    <t>564 -</t>
  </si>
  <si>
    <t>565 -</t>
  </si>
  <si>
    <t>566 -</t>
  </si>
  <si>
    <t>567 -</t>
  </si>
  <si>
    <t>568 -</t>
  </si>
  <si>
    <t>569 -</t>
  </si>
  <si>
    <t>570 -</t>
  </si>
  <si>
    <t>571 -</t>
  </si>
  <si>
    <t>572 -</t>
  </si>
  <si>
    <t>573 -</t>
  </si>
  <si>
    <t>574 -</t>
  </si>
  <si>
    <t>575 -</t>
  </si>
  <si>
    <t>576 -</t>
  </si>
  <si>
    <t>577 -</t>
  </si>
  <si>
    <t>578 -</t>
  </si>
  <si>
    <t>579 -</t>
  </si>
  <si>
    <t>580 -</t>
  </si>
  <si>
    <t>581 -</t>
  </si>
  <si>
    <t>582 -</t>
  </si>
  <si>
    <t>583 -</t>
  </si>
  <si>
    <t>584 -</t>
  </si>
  <si>
    <t>585 -</t>
  </si>
  <si>
    <t>586 -</t>
  </si>
  <si>
    <t>587 -</t>
  </si>
  <si>
    <t>588 -</t>
  </si>
  <si>
    <t>589 -</t>
  </si>
  <si>
    <t>590 -</t>
  </si>
  <si>
    <t>591 -</t>
  </si>
  <si>
    <t>592 -</t>
  </si>
  <si>
    <t>593 -</t>
  </si>
  <si>
    <t>594 -</t>
  </si>
  <si>
    <t>595 -</t>
  </si>
  <si>
    <t>596 -</t>
  </si>
  <si>
    <t>597 -</t>
  </si>
  <si>
    <t>598 -</t>
  </si>
  <si>
    <t>599 -</t>
  </si>
  <si>
    <t>600 -</t>
  </si>
  <si>
    <t>601 -</t>
  </si>
  <si>
    <t>602 -</t>
  </si>
  <si>
    <t>603 -</t>
  </si>
  <si>
    <t>604 -</t>
  </si>
  <si>
    <t>605 -</t>
  </si>
  <si>
    <t>606 -</t>
  </si>
  <si>
    <t>607 -</t>
  </si>
  <si>
    <t>608 -</t>
  </si>
  <si>
    <t>609 -</t>
  </si>
  <si>
    <t>610 -</t>
  </si>
  <si>
    <t>611 -</t>
  </si>
  <si>
    <t>612 -</t>
  </si>
  <si>
    <t>613 -</t>
  </si>
  <si>
    <t>614 -</t>
  </si>
  <si>
    <t>615 -</t>
  </si>
  <si>
    <t>616 -</t>
  </si>
  <si>
    <t>617 -</t>
  </si>
  <si>
    <t>618 -</t>
  </si>
  <si>
    <t>619 -</t>
  </si>
  <si>
    <t>620 -</t>
  </si>
  <si>
    <t>621 -</t>
  </si>
  <si>
    <t>622 -</t>
  </si>
  <si>
    <t>623 -</t>
  </si>
  <si>
    <t>624 -</t>
  </si>
  <si>
    <t>625 -</t>
  </si>
  <si>
    <t>626 -</t>
  </si>
  <si>
    <t>627 -</t>
  </si>
  <si>
    <t>628 -</t>
  </si>
  <si>
    <t>629 -</t>
  </si>
  <si>
    <t>630 -</t>
  </si>
  <si>
    <t>631 -</t>
  </si>
  <si>
    <t>632 -</t>
  </si>
  <si>
    <t>633 -</t>
  </si>
  <si>
    <t>634 -</t>
  </si>
  <si>
    <t>635 -</t>
  </si>
  <si>
    <t>636 -</t>
  </si>
  <si>
    <t>637 -</t>
  </si>
  <si>
    <t>638 -</t>
  </si>
  <si>
    <t>639 -</t>
  </si>
  <si>
    <t>640 -</t>
  </si>
  <si>
    <t>641 -</t>
  </si>
  <si>
    <t>642 -</t>
  </si>
  <si>
    <t>643 -</t>
  </si>
  <si>
    <t>644 -</t>
  </si>
  <si>
    <t>645 -</t>
  </si>
  <si>
    <t>646 -</t>
  </si>
  <si>
    <t>647 -</t>
  </si>
  <si>
    <t>648 -</t>
  </si>
  <si>
    <t>649 -</t>
  </si>
  <si>
    <t>650 -</t>
  </si>
  <si>
    <t>651 -</t>
  </si>
  <si>
    <t>652 -</t>
  </si>
  <si>
    <t>653 -</t>
  </si>
  <si>
    <t>654 -</t>
  </si>
  <si>
    <t>655 -</t>
  </si>
  <si>
    <t>656 -</t>
  </si>
  <si>
    <t>657 -</t>
  </si>
  <si>
    <t>658 -</t>
  </si>
  <si>
    <t>659 -</t>
  </si>
  <si>
    <t>660 -</t>
  </si>
  <si>
    <t>Hide if blank</t>
  </si>
  <si>
    <t>Data Protection and Privacy</t>
  </si>
  <si>
    <r>
      <t>I / We acknowledge that the MFS Privacy Notice  - https://www.mfsuk.com/privacy-gdpr/  - has been made available to me through the link provided in this document</t>
    </r>
    <r>
      <rPr>
        <sz val="10.5"/>
        <color theme="1"/>
        <rFont val="Arial"/>
        <family val="2"/>
      </rPr>
      <t>.</t>
    </r>
    <r>
      <rPr>
        <sz val="11"/>
        <rFont val="Calibri"/>
        <family val="2"/>
      </rPr>
      <t xml:space="preserve">
</t>
    </r>
  </si>
  <si>
    <t>Arrangement / Product Fee</t>
  </si>
  <si>
    <t>Earlier Date</t>
  </si>
  <si>
    <t>Company Name</t>
  </si>
  <si>
    <t>Gross ICR</t>
  </si>
  <si>
    <t>Can be removed as per Ildiko</t>
  </si>
  <si>
    <t xml:space="preserve">The Borrower authorises us (and/or to instruct our solicitors), to deduct any Arrangement Fees (which includes the Broker’s Commission), Legal Fees and expenses, Title Insurance (if applicable), any interest (rolled up and deferred) and any other fees, costs or expenses payable by the Borrower (which have not already been paid), from the Gross Loan Amount upon completion of the Loan. </t>
  </si>
  <si>
    <t>The Borrower authorises us to deduct the Broker Client Fee from the Net Loan Amount which is in line with the Borrower’s agreement with its intermediary/broker and payable to the intermediary/broker. No part of the Broker Client Fee is payable to us.</t>
  </si>
  <si>
    <t xml:space="preserve">Market Financial Solutions or its investors pay a part of the Arrangement Fee to the Borrower’s intermediary/broker as Broker’s Commission in the amount as specified above. This means that the intermediary/broker may be unable to provide impartial advice about the Loan to the Borrower.  </t>
  </si>
  <si>
    <t>Interest Payment</t>
  </si>
  <si>
    <t>monthly</t>
  </si>
  <si>
    <t>No link available</t>
  </si>
  <si>
    <t>Commitment Fee</t>
  </si>
  <si>
    <t xml:space="preserve"> is a reasonable estimate of costs for undertaking the process necessary to prepare the Loan for completion, payable on acceptance of this Decision in Principle and is refundable upon completion
Note we reserve the right to retain the commitment fee should the loan fail to complete due to matters outside of our control</t>
  </si>
  <si>
    <t>ABC, EFG</t>
  </si>
  <si>
    <t>Name from Input page</t>
  </si>
  <si>
    <t>&lt;--  Manual Check</t>
  </si>
  <si>
    <t>Transaction Specific Conditions Precedent</t>
  </si>
  <si>
    <t>•      [List here]</t>
  </si>
  <si>
    <t>&lt;-- Check and adjust</t>
  </si>
  <si>
    <t>Signed by the Borrower or
Authorised signatory of the Borrower if the Borrower is a corporate entity</t>
  </si>
  <si>
    <t>&lt;-- Hide if Fusion Premier</t>
  </si>
  <si>
    <t>Existing Amount Outstanding 
(Refinance only)</t>
  </si>
  <si>
    <t>LTV on Each Property
(Refinance only)</t>
  </si>
  <si>
    <t>The Loan shall be for the Loan Term, which will commence from the date of drawdown of the Loan.  Please note that this is an interest only Bridge Loan facility, and you must be in a position to repay the capital in full at the end of the Term. You should not assume that the Loan Term will be extended.</t>
  </si>
  <si>
    <t>Martin Schofield</t>
  </si>
  <si>
    <r>
      <t xml:space="preserve">•   The personal information we have collected from you will be shared with fraud prevention agencies who will use it to prevent fraud and money-laundering and to verify your identity. If fraud is detected, you could be refused certain services, finance, or employment. Further details of how your information will be used by us and these fraud prevention agencies, and your data protection rights, can be found via our privacy policy at www.mfsuk.com/privacy-gdpr/ or by going to www.cifas.org.uk/fpn.
•   You have the right to view certain records we hold concerning you and you may request that any inaccuracies are corrected by corresponding with the relevant parties. You may contact our Data Protection Officer at </t>
    </r>
    <r>
      <rPr>
        <u/>
        <sz val="10"/>
        <color rgb="FF000000"/>
        <rFont val="Calibri"/>
        <family val="2"/>
        <scheme val="minor"/>
      </rPr>
      <t>privacy@mfsuk.com</t>
    </r>
    <r>
      <rPr>
        <sz val="10"/>
        <color rgb="FF000000"/>
        <rFont val="Calibri"/>
        <family val="2"/>
        <scheme val="minor"/>
      </rPr>
      <t xml:space="preserve"> or by writing to the Data Protection Officer, Market Financial Solutions, 46 Hertford Street, Mayfair, London, W1J 7DP.</t>
    </r>
  </si>
  <si>
    <t xml:space="preserve">If any part of the Loan is prepaid during the Minimum Interest Period, the Borrower will pay the Lender an aggregate amount equal to: 
        1- the Annual Interest Rate that would have been payable on the amount prepaid from the date of prepayment and up to and including the date falling 6 months after completion; and 
        2- 3.0% on the amount repaid. </t>
  </si>
  <si>
    <t>Following the Minimum Interest Period until month 21, the Borrower can prepay an aggregate amount of up to 25% of the Gross Loan Amount without any charge.</t>
  </si>
  <si>
    <t>1.  Any time during the Minimum Interest Period: 3.0% of the amount repaid plus any interest that would have been payable on the amount repaid from the date of repayment up to and including the final day of the Minimum Interest Period.
2.  	Following the Minimum Interest Period and subject to the ERC Threshold:
     a.       3.0% of the amount repaid during the first 12 months of the Loan Term; 
     b.       1.5% of the amount repaid months 13 to 21 of the Loan Term; and
     c.       no ERC thereafter.</t>
  </si>
  <si>
    <t>1.  	Any time during the Minimum Interest Period: 3.0% of the amount repaid PLUS any interest that would have been payable on the amount repaid from the date of repayment up to and including the final day of the Minimum Interest Period.
2.  	Following the Minimum Interest Period and subject to the ERC Threshold:
      a.  	3.0% of the amount repaid during the first 12 months of the Term; 
      b.  	1.5% of the amount repaid during months 13 to 21 of the Term; and
      c.  	no ERC thereafter.</t>
  </si>
  <si>
    <t>Following the Minimum Interest Period until the month 21 of the Term, the Borrower can prepay an aggregate amount of up to 25% of the Gross Loan Amount without any charge.</t>
  </si>
  <si>
    <t>Manual input</t>
  </si>
  <si>
    <t>Payable when DIP is signed</t>
  </si>
  <si>
    <t>v.1 05 November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</si>
</sst>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quot;£&quot;* #,##0.00_-;_-&quot;£&quot;* &quot;-&quot;??_-;_-@_-"/>
    <numFmt numFmtId="43" formatCode="_-* #,##0.00_-;\-* #,##0.00_-;_-* &quot;-&quot;??_-;_-@_-"/>
    <numFmt numFmtId="164" formatCode="&quot;£&quot;#,##0_);[Red]\(&quot;£&quot;#,##0\)"/>
    <numFmt numFmtId="165" formatCode="&quot;£&quot;#,##0.00_);[Red]\(&quot;£&quot;#,##0.00\)"/>
    <numFmt numFmtId="166" formatCode="_(&quot;£&quot;* #,##0.00_);_(&quot;£&quot;* \(#,##0.00\);_(&quot;£&quot;* &quot;-&quot;??_);_(@_)"/>
    <numFmt numFmtId="167" formatCode="_(* #,##0.00_);_(* \(#,##0.00\);_(* &quot;-&quot;??_);_(@_)"/>
    <numFmt numFmtId="168" formatCode="&quot;£&quot;#,##0"/>
    <numFmt numFmtId="169" formatCode="_-[$£-809]* #,##0.00_-;\-[$£-809]* #,##0.00_-;_-[$£-809]* &quot;-&quot;??_-;_-@_-"/>
    <numFmt numFmtId="170" formatCode="_-[$£-809]* #,##0_-;\-[$£-809]* #,##0_-;_-[$£-809]* &quot;-&quot;??_-;_-@_-"/>
    <numFmt numFmtId="171" formatCode="_-[$£-809]* #,##0.0_-;\-[$£-809]* #,##0.0_-;_-[$£-809]* &quot;-&quot;?_-;_-@_-"/>
    <numFmt numFmtId="172" formatCode="_-* #,##0_-;\-* #,##0_-;_-* &quot;-&quot;??_-;_-@_-"/>
    <numFmt numFmtId="173" formatCode="&quot;£&quot;0;\-0;;@"/>
    <numFmt numFmtId="174" formatCode="&quot;£&quot;#,##0.0"/>
    <numFmt numFmtId="175" formatCode="&quot;£&quot;#,##0.00"/>
    <numFmt numFmtId="176" formatCode="0.000000000%"/>
    <numFmt numFmtId="177" formatCode="_-&quot;£&quot;* #,##0_-;\-&quot;£&quot;* #,##0_-;_-&quot;£&quot;* &quot;-&quot;??_-;_-@_-"/>
    <numFmt numFmtId="178" formatCode="[$-F800]dddd\,\ mmmm\ dd\,\ yyyy"/>
    <numFmt numFmtId="179" formatCode="_-[$£-809]\ #,##0_-;\-[$£-809]\ #,##0_-;_-[$£-809]\ &quot;0&quot;_-;_-@_-"/>
    <numFmt numFmtId="180" formatCode="#,##0_ ;\-#,##0\ "/>
  </numFmts>
  <fonts count="134"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color theme="0"/>
      <name val="Calibri"/>
      <family val="2"/>
      <scheme val="minor"/>
    </font>
    <font>
      <sz val="12"/>
      <color rgb="FF0070C0"/>
      <name val="Calibri"/>
      <family val="2"/>
      <scheme val="minor"/>
    </font>
    <font>
      <b/>
      <sz val="16"/>
      <color theme="1"/>
      <name val="Calibri"/>
      <family val="2"/>
      <scheme val="minor"/>
    </font>
    <font>
      <sz val="8"/>
      <name val="Calibri"/>
      <family val="2"/>
      <scheme val="minor"/>
    </font>
    <font>
      <sz val="11"/>
      <color theme="1"/>
      <name val="Lato"/>
      <family val="2"/>
    </font>
    <font>
      <b/>
      <sz val="12"/>
      <name val="Calibri"/>
      <family val="2"/>
      <scheme val="minor"/>
    </font>
    <font>
      <b/>
      <sz val="12"/>
      <color rgb="FFC00000"/>
      <name val="Calibri"/>
      <family val="2"/>
      <scheme val="minor"/>
    </font>
    <font>
      <b/>
      <sz val="12"/>
      <color theme="0"/>
      <name val="Calibri"/>
      <family val="2"/>
      <scheme val="minor"/>
    </font>
    <font>
      <b/>
      <sz val="14"/>
      <color theme="1"/>
      <name val="Calibri"/>
      <family val="2"/>
      <scheme val="minor"/>
    </font>
    <font>
      <b/>
      <sz val="14"/>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9"/>
      <color theme="1"/>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
      <b/>
      <sz val="10"/>
      <color theme="0"/>
      <name val="Tahoma"/>
      <family val="2"/>
    </font>
    <font>
      <b/>
      <sz val="11"/>
      <color rgb="FFC00000"/>
      <name val="Calibri"/>
      <family val="2"/>
      <scheme val="minor"/>
    </font>
    <font>
      <sz val="10"/>
      <color theme="0"/>
      <name val="Tahoma"/>
      <family val="2"/>
    </font>
    <font>
      <b/>
      <sz val="9"/>
      <color theme="0"/>
      <name val="Tahoma"/>
      <family val="2"/>
    </font>
    <font>
      <sz val="9"/>
      <color theme="1"/>
      <name val="Cambria"/>
      <family val="2"/>
      <scheme val="major"/>
    </font>
    <font>
      <sz val="8"/>
      <color theme="1"/>
      <name val="Tahoma"/>
      <family val="2"/>
    </font>
    <font>
      <sz val="8"/>
      <color theme="0"/>
      <name val="Calibri"/>
      <family val="2"/>
      <scheme val="minor"/>
    </font>
    <font>
      <sz val="11"/>
      <color rgb="FFFF0000"/>
      <name val="Calibri"/>
      <family val="2"/>
      <scheme val="minor"/>
    </font>
    <font>
      <b/>
      <sz val="11"/>
      <color theme="0"/>
      <name val="Calibri"/>
      <family val="2"/>
      <scheme val="minor"/>
    </font>
    <font>
      <b/>
      <sz val="10"/>
      <color theme="0"/>
      <name val="Calibri"/>
      <family val="2"/>
      <scheme val="minor"/>
    </font>
    <font>
      <sz val="11"/>
      <name val="Calibri"/>
      <family val="2"/>
      <scheme val="minor"/>
    </font>
    <font>
      <b/>
      <sz val="10"/>
      <name val="Tahoma"/>
      <family val="2"/>
    </font>
    <font>
      <b/>
      <sz val="11"/>
      <name val="Calibri"/>
      <family val="2"/>
      <scheme val="minor"/>
    </font>
    <font>
      <b/>
      <sz val="10"/>
      <name val="Calibri"/>
      <family val="2"/>
      <scheme val="minor"/>
    </font>
    <font>
      <sz val="10"/>
      <name val="Calibri"/>
      <family val="2"/>
      <scheme val="minor"/>
    </font>
    <font>
      <b/>
      <sz val="9"/>
      <name val="Calibri"/>
      <family val="2"/>
      <scheme val="minor"/>
    </font>
    <font>
      <sz val="9"/>
      <name val="Calibri"/>
      <family val="2"/>
      <scheme val="minor"/>
    </font>
    <font>
      <b/>
      <sz val="12"/>
      <color theme="8"/>
      <name val="Calibri"/>
      <family val="2"/>
      <scheme val="minor"/>
    </font>
    <font>
      <b/>
      <sz val="8"/>
      <name val="Calibri"/>
      <family val="2"/>
      <scheme val="minor"/>
    </font>
    <font>
      <sz val="11"/>
      <name val="Lato"/>
      <family val="2"/>
    </font>
    <font>
      <b/>
      <i/>
      <sz val="12"/>
      <name val="Calibri"/>
      <family val="2"/>
      <scheme val="minor"/>
    </font>
    <font>
      <b/>
      <i/>
      <sz val="11"/>
      <name val="Calibri"/>
      <family val="2"/>
      <scheme val="minor"/>
    </font>
    <font>
      <b/>
      <sz val="12"/>
      <name val="Tahoma"/>
      <family val="2"/>
    </font>
    <font>
      <b/>
      <sz val="22"/>
      <color theme="1"/>
      <name val="Calibri"/>
      <family val="2"/>
      <scheme val="minor"/>
    </font>
    <font>
      <sz val="13"/>
      <color theme="0"/>
      <name val="Calibri"/>
      <family val="2"/>
      <scheme val="minor"/>
    </font>
    <font>
      <b/>
      <sz val="12"/>
      <color theme="5"/>
      <name val="Calibri"/>
      <family val="2"/>
      <scheme val="minor"/>
    </font>
    <font>
      <b/>
      <sz val="22"/>
      <color theme="9" tint="-0.249977111117893"/>
      <name val="Calibri"/>
      <family val="2"/>
      <scheme val="minor"/>
    </font>
    <font>
      <b/>
      <sz val="22"/>
      <color theme="3"/>
      <name val="Calibri"/>
      <family val="2"/>
      <scheme val="minor"/>
    </font>
    <font>
      <b/>
      <sz val="22"/>
      <color theme="8" tint="-0.249977111117893"/>
      <name val="Calibri"/>
      <family val="2"/>
      <scheme val="minor"/>
    </font>
    <font>
      <sz val="10.5"/>
      <color theme="1"/>
      <name val="Calibri"/>
      <family val="2"/>
      <scheme val="minor"/>
    </font>
    <font>
      <b/>
      <u/>
      <sz val="10.5"/>
      <color theme="1"/>
      <name val="Calibri"/>
      <family val="2"/>
      <scheme val="minor"/>
    </font>
    <font>
      <b/>
      <sz val="10.5"/>
      <color theme="1"/>
      <name val="Calibri"/>
      <family val="2"/>
      <scheme val="minor"/>
    </font>
    <font>
      <sz val="10"/>
      <name val="Tahoma"/>
      <family val="2"/>
    </font>
    <font>
      <b/>
      <sz val="9"/>
      <name val="Tahoma"/>
      <family val="2"/>
    </font>
    <font>
      <sz val="9"/>
      <name val="Tahoma"/>
      <family val="2"/>
    </font>
    <font>
      <sz val="11"/>
      <color rgb="FFC00000"/>
      <name val="Calibri"/>
      <family val="2"/>
      <scheme val="minor"/>
    </font>
    <font>
      <b/>
      <sz val="18"/>
      <color theme="1"/>
      <name val="Calibri"/>
      <family val="2"/>
      <scheme val="minor"/>
    </font>
    <font>
      <b/>
      <sz val="18"/>
      <color theme="0"/>
      <name val="Calibri"/>
      <family val="2"/>
      <scheme val="minor"/>
    </font>
    <font>
      <b/>
      <u/>
      <sz val="20"/>
      <color theme="0"/>
      <name val="Calibri"/>
      <family val="2"/>
      <scheme val="minor"/>
    </font>
    <font>
      <b/>
      <u/>
      <sz val="22"/>
      <color theme="0"/>
      <name val="Calibri"/>
      <family val="2"/>
      <scheme val="minor"/>
    </font>
    <font>
      <b/>
      <sz val="9"/>
      <color theme="0"/>
      <name val="Calibri"/>
      <family val="2"/>
      <scheme val="minor"/>
    </font>
    <font>
      <b/>
      <sz val="14"/>
      <color theme="0"/>
      <name val="Calibri"/>
      <family val="2"/>
      <scheme val="minor"/>
    </font>
    <font>
      <b/>
      <sz val="11"/>
      <color theme="0"/>
      <name val="Tahoma"/>
      <family val="2"/>
    </font>
    <font>
      <b/>
      <u/>
      <sz val="20"/>
      <color rgb="FFFF0000"/>
      <name val="Calibri"/>
      <family val="2"/>
      <scheme val="minor"/>
    </font>
    <font>
      <sz val="8"/>
      <color rgb="FF000000"/>
      <name val="Segoe UI"/>
      <family val="2"/>
    </font>
    <font>
      <sz val="9"/>
      <color theme="0"/>
      <name val="Calibri"/>
      <family val="2"/>
      <scheme val="minor"/>
    </font>
    <font>
      <b/>
      <sz val="18"/>
      <color rgb="FFFF0000"/>
      <name val="Tahoma"/>
      <family val="2"/>
    </font>
    <font>
      <sz val="10"/>
      <color rgb="FFFF0000"/>
      <name val="Tahoma"/>
      <family val="2"/>
    </font>
    <font>
      <b/>
      <sz val="26"/>
      <color theme="0"/>
      <name val="Calibri"/>
      <family val="2"/>
      <scheme val="minor"/>
    </font>
    <font>
      <sz val="11"/>
      <color rgb="FF3F3F76"/>
      <name val="Calibri"/>
      <family val="2"/>
      <scheme val="minor"/>
    </font>
    <font>
      <b/>
      <sz val="20"/>
      <color theme="1"/>
      <name val="Calibri"/>
      <family val="2"/>
      <scheme val="minor"/>
    </font>
    <font>
      <b/>
      <sz val="9"/>
      <color rgb="FFFF0000"/>
      <name val="Calibri"/>
      <family val="2"/>
      <scheme val="minor"/>
    </font>
    <font>
      <b/>
      <sz val="8"/>
      <color rgb="FFFF0000"/>
      <name val="Calibri"/>
      <family val="2"/>
      <scheme val="minor"/>
    </font>
    <font>
      <b/>
      <sz val="8"/>
      <color theme="0"/>
      <name val="Calibri"/>
      <family val="2"/>
      <scheme val="minor"/>
    </font>
    <font>
      <b/>
      <u/>
      <sz val="10"/>
      <color rgb="FF000000"/>
      <name val="Calibri"/>
      <family val="2"/>
      <scheme val="minor"/>
    </font>
    <font>
      <b/>
      <sz val="10"/>
      <color rgb="FF000000"/>
      <name val="Calibri"/>
      <family val="2"/>
      <scheme val="minor"/>
    </font>
    <font>
      <b/>
      <sz val="14"/>
      <color theme="5"/>
      <name val="Calibri"/>
      <family val="2"/>
      <scheme val="minor"/>
    </font>
    <font>
      <i/>
      <sz val="10"/>
      <color theme="1" tint="0.499984740745262"/>
      <name val="Calibri"/>
      <family val="2"/>
      <scheme val="minor"/>
    </font>
    <font>
      <b/>
      <sz val="8"/>
      <color rgb="FF000000"/>
      <name val="Calibri"/>
      <family val="2"/>
      <scheme val="minor"/>
    </font>
    <font>
      <sz val="10"/>
      <color rgb="FF000000"/>
      <name val="Calibri"/>
      <family val="2"/>
      <scheme val="minor"/>
    </font>
    <font>
      <sz val="8"/>
      <color rgb="FF000000"/>
      <name val="Calibri"/>
      <family val="2"/>
      <scheme val="minor"/>
    </font>
    <font>
      <sz val="8.5"/>
      <color rgb="FFFF0000"/>
      <name val="Tahoma"/>
      <family val="2"/>
    </font>
    <font>
      <sz val="8"/>
      <color rgb="FF000000"/>
      <name val="Lato"/>
      <family val="2"/>
    </font>
    <font>
      <b/>
      <sz val="16"/>
      <color theme="8"/>
      <name val="Calibri"/>
      <family val="2"/>
      <scheme val="minor"/>
    </font>
    <font>
      <b/>
      <sz val="16"/>
      <color rgb="FFFF0000"/>
      <name val="Calibri"/>
      <family val="2"/>
      <scheme val="minor"/>
    </font>
    <font>
      <b/>
      <sz val="11"/>
      <color rgb="FFFF0000"/>
      <name val="Calibri"/>
      <family val="2"/>
      <scheme val="minor"/>
    </font>
    <font>
      <sz val="8.5"/>
      <color rgb="FF000000"/>
      <name val="Calibri"/>
      <family val="2"/>
      <scheme val="minor"/>
    </font>
    <font>
      <sz val="10"/>
      <color theme="1"/>
      <name val="Cambria"/>
      <family val="2"/>
      <scheme val="major"/>
    </font>
    <font>
      <b/>
      <sz val="11"/>
      <color theme="5"/>
      <name val="Calibri"/>
      <family val="2"/>
      <scheme val="minor"/>
    </font>
    <font>
      <sz val="10"/>
      <color theme="1"/>
      <name val="Aptos"/>
      <family val="2"/>
    </font>
    <font>
      <sz val="8.5"/>
      <color rgb="FF000000"/>
      <name val="Tahoma"/>
      <family val="2"/>
    </font>
    <font>
      <b/>
      <sz val="8.5"/>
      <color rgb="FF000000"/>
      <name val="Tahoma"/>
      <family val="2"/>
    </font>
    <font>
      <b/>
      <sz val="12"/>
      <color theme="7"/>
      <name val="Calibri"/>
      <family val="2"/>
      <scheme val="minor"/>
    </font>
    <font>
      <vertAlign val="superscript"/>
      <sz val="10"/>
      <color rgb="FF000000"/>
      <name val="Calibri"/>
      <family val="2"/>
      <scheme val="minor"/>
    </font>
    <font>
      <i/>
      <sz val="10"/>
      <color rgb="FF000000"/>
      <name val="Calibri"/>
      <family val="2"/>
      <scheme val="minor"/>
    </font>
    <font>
      <sz val="10"/>
      <color rgb="FF0070C0"/>
      <name val="Calibri"/>
      <family val="2"/>
      <scheme val="minor"/>
    </font>
    <font>
      <u/>
      <sz val="10"/>
      <color rgb="FF0070C0"/>
      <name val="Calibri"/>
      <family val="2"/>
      <scheme val="minor"/>
    </font>
    <font>
      <b/>
      <sz val="16"/>
      <color rgb="FF3F3F76"/>
      <name val="Calibri"/>
      <family val="2"/>
      <scheme val="minor"/>
    </font>
    <font>
      <sz val="8"/>
      <color theme="1"/>
      <name val="Lato"/>
      <family val="2"/>
    </font>
    <font>
      <b/>
      <u/>
      <sz val="20"/>
      <name val="Calibri"/>
      <family val="2"/>
      <scheme val="minor"/>
    </font>
    <font>
      <b/>
      <sz val="8"/>
      <color theme="1"/>
      <name val="Calibri"/>
      <family val="2"/>
      <scheme val="minor"/>
    </font>
    <font>
      <sz val="9"/>
      <color rgb="FF000000"/>
      <name val="Tahoma"/>
      <family val="2"/>
    </font>
    <font>
      <b/>
      <sz val="11"/>
      <color rgb="FF3F3F76"/>
      <name val="Calibri"/>
      <family val="2"/>
      <scheme val="minor"/>
    </font>
    <font>
      <sz val="11"/>
      <color rgb="FF000000"/>
      <name val="Calibri"/>
      <family val="2"/>
      <scheme val="minor"/>
    </font>
    <font>
      <u/>
      <sz val="10"/>
      <color rgb="FF000000"/>
      <name val="Calibri"/>
      <family val="2"/>
      <scheme val="minor"/>
    </font>
    <font>
      <sz val="11"/>
      <color rgb="FF000000"/>
      <name val="Calibri"/>
      <family val="2"/>
    </font>
    <font>
      <sz val="11"/>
      <color rgb="FFFF0000"/>
      <name val="Lato"/>
      <family val="2"/>
    </font>
    <font>
      <b/>
      <u/>
      <sz val="11"/>
      <color rgb="FF002060"/>
      <name val="Calibri"/>
      <family val="2"/>
      <scheme val="minor"/>
    </font>
    <font>
      <b/>
      <u/>
      <sz val="11"/>
      <color theme="1"/>
      <name val="Calibri"/>
      <family val="2"/>
      <scheme val="minor"/>
    </font>
    <font>
      <b/>
      <sz val="11"/>
      <color rgb="FF002060"/>
      <name val="Calibri"/>
      <family val="2"/>
      <scheme val="minor"/>
    </font>
    <font>
      <sz val="10"/>
      <color rgb="FF002060"/>
      <name val="Calibri"/>
      <family val="2"/>
      <scheme val="minor"/>
    </font>
    <font>
      <sz val="9"/>
      <color rgb="FFC00000"/>
      <name val="Calibri"/>
      <family val="2"/>
      <scheme val="minor"/>
    </font>
    <font>
      <b/>
      <sz val="9"/>
      <color rgb="FFC00000"/>
      <name val="Calibri"/>
      <family val="2"/>
      <scheme val="minor"/>
    </font>
    <font>
      <sz val="9"/>
      <color rgb="FFFF0000"/>
      <name val="Calibri"/>
      <family val="2"/>
      <scheme val="minor"/>
    </font>
    <font>
      <i/>
      <sz val="8"/>
      <color theme="1"/>
      <name val="Calibri"/>
      <family val="2"/>
      <scheme val="minor"/>
    </font>
    <font>
      <sz val="8"/>
      <color rgb="FFFF0000"/>
      <name val="Calibri"/>
      <family val="2"/>
      <scheme val="minor"/>
    </font>
    <font>
      <sz val="10"/>
      <color rgb="FFFF0000"/>
      <name val="Calibri"/>
      <family val="2"/>
      <scheme val="minor"/>
    </font>
    <font>
      <sz val="10"/>
      <color theme="2" tint="-0.499984740745262"/>
      <name val="Calibri"/>
      <family val="2"/>
      <scheme val="minor"/>
    </font>
    <font>
      <b/>
      <i/>
      <sz val="10"/>
      <color theme="1"/>
      <name val="Calibri"/>
      <family val="2"/>
      <scheme val="minor"/>
    </font>
    <font>
      <i/>
      <sz val="10"/>
      <color theme="1"/>
      <name val="Calibri"/>
      <family val="2"/>
      <scheme val="minor"/>
    </font>
    <font>
      <i/>
      <sz val="9"/>
      <color theme="1"/>
      <name val="Calibri"/>
      <family val="2"/>
      <scheme val="minor"/>
    </font>
    <font>
      <sz val="16"/>
      <color theme="0"/>
      <name val="Calibri"/>
      <family val="2"/>
      <scheme val="minor"/>
    </font>
    <font>
      <b/>
      <sz val="12"/>
      <color rgb="FFFFFFFF"/>
      <name val="Tahoma"/>
      <family val="2"/>
    </font>
    <font>
      <b/>
      <sz val="10"/>
      <color theme="1"/>
      <name val="Arial"/>
      <family val="2"/>
    </font>
    <font>
      <b/>
      <i/>
      <sz val="10"/>
      <color theme="1"/>
      <name val="Arial"/>
      <family val="2"/>
    </font>
    <font>
      <sz val="10"/>
      <color theme="1"/>
      <name val="Arial"/>
      <family val="2"/>
    </font>
    <font>
      <sz val="11"/>
      <name val="Calibri"/>
      <family val="2"/>
    </font>
    <font>
      <i/>
      <sz val="10"/>
      <color rgb="FFC00000"/>
      <name val="Arial"/>
      <family val="2"/>
    </font>
    <font>
      <b/>
      <sz val="11"/>
      <name val="Calibri"/>
      <family val="2"/>
    </font>
    <font>
      <b/>
      <sz val="14"/>
      <color rgb="FFFFFFFF"/>
      <name val="Tahoma"/>
      <family val="2"/>
    </font>
    <font>
      <b/>
      <sz val="16"/>
      <color rgb="FFFFFFFF"/>
      <name val="Tahoma"/>
      <family val="2"/>
    </font>
    <font>
      <sz val="10.5"/>
      <color theme="1"/>
      <name val="Arial"/>
      <family val="2"/>
    </font>
    <font>
      <b/>
      <i/>
      <sz val="11"/>
      <color theme="1"/>
      <name val="Calibri"/>
      <family val="2"/>
      <scheme val="minor"/>
    </font>
  </fonts>
  <fills count="46">
    <fill>
      <patternFill patternType="none"/>
    </fill>
    <fill>
      <patternFill patternType="gray125"/>
    </fill>
    <fill>
      <patternFill patternType="solid">
        <fgColor rgb="FFFF0000"/>
        <bgColor indexed="64"/>
      </patternFill>
    </fill>
    <fill>
      <patternFill patternType="solid">
        <fgColor theme="8" tint="0.79998168889431442"/>
        <bgColor indexed="64"/>
      </patternFill>
    </fill>
    <fill>
      <patternFill patternType="solid">
        <fgColor rgb="FFFFFF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CEDD0"/>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rgb="FF92D050"/>
        <bgColor indexed="64"/>
      </patternFill>
    </fill>
    <fill>
      <patternFill patternType="solid">
        <fgColor rgb="FFE99251"/>
        <bgColor indexed="64"/>
      </patternFill>
    </fill>
    <fill>
      <patternFill patternType="solid">
        <fgColor theme="9"/>
        <bgColor indexed="64"/>
      </patternFill>
    </fill>
    <fill>
      <patternFill patternType="solid">
        <fgColor theme="3"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1" tint="4.9989318521683403E-2"/>
        <bgColor indexed="64"/>
      </patternFill>
    </fill>
    <fill>
      <patternFill patternType="solid">
        <fgColor theme="8"/>
        <bgColor indexed="64"/>
      </patternFill>
    </fill>
    <fill>
      <patternFill patternType="solid">
        <fgColor theme="3"/>
        <bgColor indexed="64"/>
      </patternFill>
    </fill>
    <fill>
      <patternFill patternType="solid">
        <fgColor theme="6" tint="-0.249977111117893"/>
        <bgColor indexed="64"/>
      </patternFill>
    </fill>
    <fill>
      <patternFill patternType="solid">
        <fgColor theme="9" tint="0.79998168889431442"/>
        <bgColor theme="4" tint="0.79998168889431442"/>
      </patternFill>
    </fill>
    <fill>
      <patternFill patternType="solid">
        <fgColor theme="6" tint="0.59999389629810485"/>
        <bgColor indexed="64"/>
      </patternFill>
    </fill>
    <fill>
      <patternFill patternType="solid">
        <fgColor rgb="FFFFCC99"/>
      </patternFill>
    </fill>
    <fill>
      <patternFill patternType="solid">
        <fgColor rgb="FFC00000"/>
        <bgColor indexed="64"/>
      </patternFill>
    </fill>
    <fill>
      <patternFill patternType="solid">
        <fgColor theme="1" tint="0.34998626667073579"/>
        <bgColor indexed="64"/>
      </patternFill>
    </fill>
    <fill>
      <patternFill patternType="solid">
        <fgColor theme="4"/>
        <bgColor indexed="64"/>
      </patternFill>
    </fill>
    <fill>
      <patternFill patternType="solid">
        <fgColor theme="9" tint="0.59999389629810485"/>
        <bgColor indexed="64"/>
      </patternFill>
    </fill>
    <fill>
      <patternFill patternType="solid">
        <fgColor rgb="FFD9D9D9"/>
        <bgColor indexed="64"/>
      </patternFill>
    </fill>
    <fill>
      <patternFill patternType="solid">
        <fgColor rgb="FFFFFF99"/>
        <bgColor indexed="64"/>
      </patternFill>
    </fill>
    <fill>
      <patternFill patternType="solid">
        <fgColor rgb="FFFFFFCC"/>
        <bgColor indexed="64"/>
      </patternFill>
    </fill>
    <fill>
      <patternFill patternType="solid">
        <fgColor rgb="FFFFDDFF"/>
        <bgColor indexed="64"/>
      </patternFill>
    </fill>
    <fill>
      <patternFill patternType="solid">
        <fgColor rgb="FFFFFFFF"/>
        <bgColor indexed="64"/>
      </patternFill>
    </fill>
    <fill>
      <patternFill patternType="solid">
        <fgColor rgb="FFFFC000"/>
        <bgColor indexed="64"/>
      </patternFill>
    </fill>
    <fill>
      <patternFill patternType="solid">
        <fgColor rgb="FF00B0F0"/>
        <bgColor indexed="64"/>
      </patternFill>
    </fill>
    <fill>
      <patternFill patternType="solid">
        <fgColor theme="9" tint="-0.249977111117893"/>
        <bgColor indexed="64"/>
      </patternFill>
    </fill>
  </fills>
  <borders count="146">
    <border>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hair">
        <color auto="1"/>
      </top>
      <bottom/>
      <diagonal/>
    </border>
    <border>
      <left style="medium">
        <color indexed="64"/>
      </left>
      <right/>
      <top/>
      <bottom/>
      <diagonal/>
    </border>
    <border>
      <left style="hair">
        <color auto="1"/>
      </left>
      <right style="hair">
        <color auto="1"/>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thin">
        <color auto="1"/>
      </right>
      <top style="thin">
        <color auto="1"/>
      </top>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style="thin">
        <color auto="1"/>
      </left>
      <right style="thin">
        <color auto="1"/>
      </right>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medium">
        <color indexed="64"/>
      </top>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style="double">
        <color auto="1"/>
      </top>
      <bottom/>
      <diagonal/>
    </border>
    <border>
      <left/>
      <right/>
      <top style="thin">
        <color auto="1"/>
      </top>
      <bottom/>
      <diagonal/>
    </border>
    <border>
      <left style="medium">
        <color theme="0"/>
      </left>
      <right/>
      <top style="medium">
        <color theme="0"/>
      </top>
      <bottom/>
      <diagonal/>
    </border>
    <border>
      <left style="medium">
        <color theme="0"/>
      </left>
      <right/>
      <top/>
      <bottom/>
      <diagonal/>
    </border>
    <border>
      <left style="medium">
        <color theme="0"/>
      </left>
      <right/>
      <top/>
      <bottom style="medium">
        <color theme="0"/>
      </bottom>
      <diagonal/>
    </border>
    <border>
      <left/>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bottom style="thin">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style="medium">
        <color theme="0"/>
      </top>
      <bottom/>
      <diagonal/>
    </border>
    <border>
      <left/>
      <right style="medium">
        <color theme="0"/>
      </right>
      <top style="medium">
        <color theme="0"/>
      </top>
      <bottom/>
      <diagonal/>
    </border>
    <border>
      <left/>
      <right style="medium">
        <color theme="0"/>
      </right>
      <top/>
      <bottom/>
      <diagonal/>
    </border>
    <border>
      <left/>
      <right style="medium">
        <color theme="0"/>
      </right>
      <top/>
      <bottom style="medium">
        <color theme="0"/>
      </bottom>
      <diagonal/>
    </border>
    <border>
      <left style="thin">
        <color theme="0"/>
      </left>
      <right style="thin">
        <color theme="0"/>
      </right>
      <top style="thin">
        <color theme="0"/>
      </top>
      <bottom style="thin">
        <color theme="0"/>
      </bottom>
      <diagonal/>
    </border>
    <border>
      <left/>
      <right/>
      <top/>
      <bottom style="medium">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theme="0"/>
      </right>
      <top style="thin">
        <color theme="0"/>
      </top>
      <bottom style="thin">
        <color theme="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bottom>
      <diagonal/>
    </border>
    <border>
      <left/>
      <right/>
      <top style="hair">
        <color auto="1"/>
      </top>
      <bottom/>
      <diagonal/>
    </border>
    <border>
      <left/>
      <right/>
      <top/>
      <bottom style="hair">
        <color auto="1"/>
      </bottom>
      <diagonal/>
    </border>
    <border>
      <left style="medium">
        <color indexed="64"/>
      </left>
      <right style="medium">
        <color indexed="64"/>
      </right>
      <top style="medium">
        <color indexed="64"/>
      </top>
      <bottom style="medium">
        <color indexed="64"/>
      </bottom>
      <diagonal/>
    </border>
    <border>
      <left/>
      <right style="medium">
        <color indexed="64"/>
      </right>
      <top style="double">
        <color auto="1"/>
      </top>
      <bottom/>
      <diagonal/>
    </border>
    <border>
      <left/>
      <right style="medium">
        <color indexed="64"/>
      </right>
      <top style="double">
        <color auto="1"/>
      </top>
      <bottom style="medium">
        <color indexed="64"/>
      </bottom>
      <diagonal/>
    </border>
    <border>
      <left/>
      <right/>
      <top style="double">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hair">
        <color auto="1"/>
      </left>
      <right/>
      <top style="thin">
        <color auto="1"/>
      </top>
      <bottom style="thin">
        <color auto="1"/>
      </bottom>
      <diagonal/>
    </border>
    <border>
      <left style="hair">
        <color auto="1"/>
      </left>
      <right/>
      <top style="thin">
        <color auto="1"/>
      </top>
      <bottom/>
      <diagonal/>
    </border>
    <border>
      <left style="hair">
        <color auto="1"/>
      </left>
      <right/>
      <top/>
      <bottom/>
      <diagonal/>
    </border>
    <border>
      <left style="hair">
        <color auto="1"/>
      </left>
      <right/>
      <top/>
      <bottom style="hair">
        <color auto="1"/>
      </bottom>
      <diagonal/>
    </border>
    <border>
      <left style="hair">
        <color auto="1"/>
      </left>
      <right/>
      <top style="hair">
        <color auto="1"/>
      </top>
      <bottom/>
      <diagonal/>
    </border>
    <border>
      <left/>
      <right style="thin">
        <color auto="1"/>
      </right>
      <top/>
      <bottom style="hair">
        <color auto="1"/>
      </bottom>
      <diagonal/>
    </border>
    <border>
      <left style="medium">
        <color indexed="64"/>
      </left>
      <right style="hair">
        <color indexed="64"/>
      </right>
      <top style="thin">
        <color auto="1"/>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hair">
        <color auto="1"/>
      </top>
      <bottom style="hair">
        <color auto="1"/>
      </bottom>
      <diagonal/>
    </border>
    <border>
      <left style="hair">
        <color auto="1"/>
      </left>
      <right/>
      <top style="hair">
        <color auto="1"/>
      </top>
      <bottom style="hair">
        <color auto="1"/>
      </bottom>
      <diagonal/>
    </border>
    <border>
      <left style="medium">
        <color indexed="64"/>
      </left>
      <right style="medium">
        <color indexed="64"/>
      </right>
      <top/>
      <bottom/>
      <diagonal/>
    </border>
    <border>
      <left style="thin">
        <color auto="1"/>
      </left>
      <right/>
      <top style="medium">
        <color indexed="64"/>
      </top>
      <bottom style="thin">
        <color auto="1"/>
      </bottom>
      <diagonal/>
    </border>
    <border>
      <left style="thin">
        <color auto="1"/>
      </left>
      <right style="thin">
        <color auto="1"/>
      </right>
      <top style="medium">
        <color indexed="64"/>
      </top>
      <bottom/>
      <diagonal/>
    </border>
    <border>
      <left style="hair">
        <color auto="1"/>
      </left>
      <right style="medium">
        <color indexed="64"/>
      </right>
      <top/>
      <bottom style="medium">
        <color indexed="64"/>
      </bottom>
      <diagonal/>
    </border>
    <border>
      <left style="thin">
        <color auto="1"/>
      </left>
      <right style="thin">
        <color auto="1"/>
      </right>
      <top/>
      <bottom style="thin">
        <color auto="1"/>
      </bottom>
      <diagonal/>
    </border>
    <border>
      <left style="hair">
        <color indexed="64"/>
      </left>
      <right style="medium">
        <color indexed="64"/>
      </right>
      <top/>
      <bottom style="hair">
        <color indexed="64"/>
      </bottom>
      <diagonal/>
    </border>
    <border>
      <left style="medium">
        <color indexed="64"/>
      </left>
      <right style="thin">
        <color auto="1"/>
      </right>
      <top/>
      <bottom style="medium">
        <color indexed="64"/>
      </bottom>
      <diagonal/>
    </border>
    <border>
      <left style="thin">
        <color auto="1"/>
      </left>
      <right style="hair">
        <color auto="1"/>
      </right>
      <top/>
      <bottom style="medium">
        <color indexed="64"/>
      </bottom>
      <diagonal/>
    </border>
    <border>
      <left style="medium">
        <color indexed="64"/>
      </left>
      <right style="hair">
        <color auto="1"/>
      </right>
      <top style="medium">
        <color indexed="64"/>
      </top>
      <bottom style="thin">
        <color auto="1"/>
      </bottom>
      <diagonal/>
    </border>
    <border>
      <left style="thin">
        <color auto="1"/>
      </left>
      <right style="hair">
        <color auto="1"/>
      </right>
      <top style="medium">
        <color indexed="64"/>
      </top>
      <bottom style="thin">
        <color auto="1"/>
      </bottom>
      <diagonal/>
    </border>
    <border>
      <left style="hair">
        <color auto="1"/>
      </left>
      <right style="medium">
        <color indexed="64"/>
      </right>
      <top style="medium">
        <color indexed="64"/>
      </top>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hair">
        <color indexed="64"/>
      </left>
      <right style="medium">
        <color indexed="64"/>
      </right>
      <top style="hair">
        <color indexed="64"/>
      </top>
      <bottom/>
      <diagonal/>
    </border>
    <border>
      <left style="thin">
        <color auto="1"/>
      </left>
      <right style="thin">
        <color auto="1"/>
      </right>
      <top style="hair">
        <color auto="1"/>
      </top>
      <bottom style="thin">
        <color auto="1"/>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thin">
        <color rgb="FF7F7F7F"/>
      </top>
      <bottom style="thin">
        <color rgb="FF7F7F7F"/>
      </bottom>
      <diagonal/>
    </border>
    <border>
      <left style="medium">
        <color indexed="64"/>
      </left>
      <right style="medium">
        <color indexed="64"/>
      </right>
      <top style="thin">
        <color rgb="FF7F7F7F"/>
      </top>
      <bottom style="medium">
        <color indexed="64"/>
      </bottom>
      <diagonal/>
    </border>
    <border>
      <left style="medium">
        <color indexed="64"/>
      </left>
      <right style="medium">
        <color indexed="64"/>
      </right>
      <top style="medium">
        <color indexed="64"/>
      </top>
      <bottom style="thin">
        <color rgb="FF7F7F7F"/>
      </bottom>
      <diagonal/>
    </border>
    <border>
      <left style="medium">
        <color indexed="64"/>
      </left>
      <right/>
      <top style="thin">
        <color auto="1"/>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style="thin">
        <color auto="1"/>
      </right>
      <top style="medium">
        <color indexed="64"/>
      </top>
      <bottom/>
      <diagonal/>
    </border>
    <border>
      <left/>
      <right style="thin">
        <color auto="1"/>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auto="1"/>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bottom style="thin">
        <color auto="1"/>
      </bottom>
      <diagonal/>
    </border>
    <border>
      <left style="medium">
        <color rgb="FFFFFFFF"/>
      </left>
      <right/>
      <top/>
      <bottom/>
      <diagonal/>
    </border>
    <border>
      <left style="medium">
        <color theme="4" tint="0.39994506668294322"/>
      </left>
      <right/>
      <top style="medium">
        <color theme="4" tint="0.39994506668294322"/>
      </top>
      <bottom style="medium">
        <color theme="4" tint="0.39994506668294322"/>
      </bottom>
      <diagonal/>
    </border>
    <border>
      <left style="medium">
        <color theme="4" tint="0.39994506668294322"/>
      </left>
      <right style="medium">
        <color theme="4" tint="0.39994506668294322"/>
      </right>
      <top style="medium">
        <color theme="4" tint="0.39994506668294322"/>
      </top>
      <bottom style="medium">
        <color theme="4" tint="0.39994506668294322"/>
      </bottom>
      <diagonal/>
    </border>
    <border>
      <left/>
      <right/>
      <top/>
      <bottom style="medium">
        <color theme="0"/>
      </bottom>
      <diagonal/>
    </border>
    <border>
      <left style="medium">
        <color theme="4" tint="0.59999389629810485"/>
      </left>
      <right/>
      <top style="medium">
        <color theme="4" tint="0.59999389629810485"/>
      </top>
      <bottom/>
      <diagonal/>
    </border>
    <border>
      <left/>
      <right/>
      <top/>
      <bottom style="medium">
        <color theme="4" tint="0.59999389629810485"/>
      </bottom>
      <diagonal/>
    </border>
  </borders>
  <cellStyleXfs count="9">
    <xf numFmtId="0" fontId="0" fillId="0" borderId="0"/>
    <xf numFmtId="9" fontId="1" fillId="0" borderId="0" applyFont="0" applyFill="0" applyBorder="0" applyAlignment="0" applyProtection="0"/>
    <xf numFmtId="167" fontId="1" fillId="0" borderId="0" applyFont="0" applyFill="0" applyBorder="0" applyAlignment="0" applyProtection="0"/>
    <xf numFmtId="166" fontId="1" fillId="0" borderId="0" applyFont="0" applyFill="0" applyBorder="0" applyAlignment="0" applyProtection="0"/>
    <xf numFmtId="0" fontId="70" fillId="33" borderId="117" applyNumberFormat="0" applyAlignment="0" applyProtection="0"/>
    <xf numFmtId="166" fontId="1" fillId="0" borderId="0" applyFont="0" applyFill="0" applyBorder="0" applyAlignment="0" applyProtection="0"/>
    <xf numFmtId="167"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212">
    <xf numFmtId="0" fontId="0" fillId="0" borderId="0" xfId="0"/>
    <xf numFmtId="10" fontId="0" fillId="0" borderId="0" xfId="1" applyNumberFormat="1" applyFont="1"/>
    <xf numFmtId="0" fontId="2" fillId="0" borderId="0" xfId="0" applyFont="1" applyAlignment="1">
      <alignment horizontal="center" vertical="center" wrapText="1"/>
    </xf>
    <xf numFmtId="0" fontId="2" fillId="0" borderId="0" xfId="0" applyFont="1" applyAlignment="1">
      <alignment horizontal="center" vertical="center"/>
    </xf>
    <xf numFmtId="9" fontId="3" fillId="0" borderId="0" xfId="1" applyFont="1" applyAlignment="1">
      <alignment horizontal="center" vertical="center"/>
    </xf>
    <xf numFmtId="10" fontId="3" fillId="0" borderId="0" xfId="1"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10" fontId="3" fillId="0" borderId="0" xfId="1" applyNumberFormat="1" applyFont="1"/>
    <xf numFmtId="171" fontId="3" fillId="0" borderId="0" xfId="0" applyNumberFormat="1" applyFont="1"/>
    <xf numFmtId="0" fontId="3" fillId="0" borderId="0" xfId="0" applyFont="1"/>
    <xf numFmtId="169" fontId="3" fillId="0" borderId="0" xfId="0" applyNumberFormat="1" applyFont="1"/>
    <xf numFmtId="0" fontId="4" fillId="0" borderId="0" xfId="0" applyFont="1" applyAlignment="1">
      <alignment wrapText="1"/>
    </xf>
    <xf numFmtId="168" fontId="4" fillId="0" borderId="0" xfId="0" applyNumberFormat="1" applyFont="1" applyAlignment="1">
      <alignment horizontal="left" vertical="top"/>
    </xf>
    <xf numFmtId="0" fontId="4" fillId="0" borderId="0" xfId="0" applyFont="1"/>
    <xf numFmtId="9" fontId="4" fillId="0" borderId="0" xfId="1" applyFont="1"/>
    <xf numFmtId="170" fontId="4" fillId="0" borderId="0" xfId="1" applyNumberFormat="1" applyFont="1"/>
    <xf numFmtId="9" fontId="4" fillId="2" borderId="0" xfId="1" applyFont="1" applyFill="1" applyAlignment="1">
      <alignment horizontal="center"/>
    </xf>
    <xf numFmtId="10" fontId="4" fillId="0" borderId="0" xfId="1" applyNumberFormat="1" applyFont="1"/>
    <xf numFmtId="0" fontId="4" fillId="0" borderId="0" xfId="0" applyFont="1" applyAlignment="1">
      <alignment horizontal="center"/>
    </xf>
    <xf numFmtId="0" fontId="5" fillId="0" borderId="0" xfId="0" applyFont="1" applyAlignment="1">
      <alignment vertical="center"/>
    </xf>
    <xf numFmtId="0" fontId="3" fillId="0" borderId="0" xfId="0" applyFont="1" applyAlignment="1">
      <alignment wrapText="1"/>
    </xf>
    <xf numFmtId="0" fontId="3" fillId="0" borderId="0" xfId="0" applyFont="1" applyAlignment="1">
      <alignment horizontal="center"/>
    </xf>
    <xf numFmtId="9" fontId="3" fillId="0" borderId="0" xfId="1" applyFont="1"/>
    <xf numFmtId="0" fontId="3" fillId="0" borderId="0" xfId="0" applyFont="1" applyAlignment="1">
      <alignment vertical="center"/>
    </xf>
    <xf numFmtId="0" fontId="3" fillId="0" borderId="0" xfId="0" applyFont="1" applyAlignment="1">
      <alignment vertical="center" wrapText="1"/>
    </xf>
    <xf numFmtId="168" fontId="3" fillId="0" borderId="0" xfId="0" applyNumberFormat="1" applyFont="1" applyAlignment="1">
      <alignment horizontal="left" vertical="center"/>
    </xf>
    <xf numFmtId="170" fontId="3" fillId="0" borderId="0" xfId="1" applyNumberFormat="1" applyFont="1" applyAlignment="1">
      <alignment vertical="center"/>
    </xf>
    <xf numFmtId="9" fontId="3" fillId="0" borderId="0" xfId="0" applyNumberFormat="1" applyFont="1" applyAlignment="1">
      <alignment vertical="center"/>
    </xf>
    <xf numFmtId="168" fontId="3" fillId="0" borderId="0" xfId="0" applyNumberFormat="1" applyFont="1" applyAlignment="1">
      <alignment horizontal="left" vertical="top"/>
    </xf>
    <xf numFmtId="170" fontId="3" fillId="0" borderId="11" xfId="0" applyNumberFormat="1"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170" fontId="3" fillId="0" borderId="12" xfId="0" applyNumberFormat="1"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0" fontId="3" fillId="0" borderId="25" xfId="0" applyFont="1" applyBorder="1" applyAlignment="1" applyProtection="1">
      <alignment horizontal="center" vertical="center"/>
      <protection locked="0"/>
    </xf>
    <xf numFmtId="0" fontId="2" fillId="0" borderId="0" xfId="0" applyFont="1"/>
    <xf numFmtId="0" fontId="3" fillId="0" borderId="0" xfId="0" applyFont="1" applyAlignment="1">
      <alignment horizontal="center" wrapText="1"/>
    </xf>
    <xf numFmtId="170" fontId="3" fillId="0" borderId="16" xfId="0" applyNumberFormat="1" applyFont="1" applyBorder="1" applyAlignment="1" applyProtection="1">
      <alignment horizontal="center" vertical="center"/>
      <protection locked="0"/>
    </xf>
    <xf numFmtId="170" fontId="3" fillId="0" borderId="26" xfId="0" applyNumberFormat="1" applyFont="1" applyBorder="1" applyAlignment="1" applyProtection="1">
      <alignment horizontal="center" vertical="center"/>
      <protection locked="0"/>
    </xf>
    <xf numFmtId="9" fontId="3" fillId="0" borderId="11" xfId="1" applyFont="1" applyBorder="1" applyAlignment="1">
      <alignment horizontal="center" vertical="center"/>
    </xf>
    <xf numFmtId="9" fontId="3" fillId="0" borderId="26" xfId="1" applyFont="1" applyBorder="1" applyAlignment="1">
      <alignment horizontal="center" vertical="center"/>
    </xf>
    <xf numFmtId="9" fontId="3" fillId="0" borderId="12" xfId="1" applyFont="1" applyBorder="1" applyAlignment="1">
      <alignment horizontal="center" vertical="center"/>
    </xf>
    <xf numFmtId="9" fontId="3" fillId="0" borderId="16" xfId="1" applyFont="1" applyBorder="1" applyAlignment="1">
      <alignment horizontal="center" vertical="center"/>
    </xf>
    <xf numFmtId="0" fontId="0" fillId="7" borderId="0" xfId="0" applyFill="1"/>
    <xf numFmtId="0" fontId="6" fillId="0" borderId="0" xfId="0" applyFont="1" applyAlignment="1">
      <alignment horizontal="right" wrapText="1"/>
    </xf>
    <xf numFmtId="0" fontId="6" fillId="0" borderId="0" xfId="0" applyFont="1" applyAlignment="1">
      <alignment wrapText="1"/>
    </xf>
    <xf numFmtId="168" fontId="6" fillId="0" borderId="0" xfId="0" applyNumberFormat="1" applyFont="1" applyAlignment="1">
      <alignment horizontal="left" vertical="top"/>
    </xf>
    <xf numFmtId="0" fontId="6" fillId="0" borderId="0" xfId="0" applyFont="1"/>
    <xf numFmtId="9" fontId="6" fillId="0" borderId="0" xfId="1" applyFont="1"/>
    <xf numFmtId="0" fontId="6" fillId="0" borderId="0" xfId="0" applyFont="1" applyAlignment="1">
      <alignment horizontal="center"/>
    </xf>
    <xf numFmtId="10" fontId="6" fillId="0" borderId="0" xfId="1" applyNumberFormat="1" applyFont="1"/>
    <xf numFmtId="10" fontId="2" fillId="0" borderId="0" xfId="0" applyNumberFormat="1" applyFont="1"/>
    <xf numFmtId="0" fontId="0" fillId="9" borderId="0" xfId="0" applyFill="1"/>
    <xf numFmtId="0" fontId="0" fillId="10" borderId="0" xfId="0" applyFill="1"/>
    <xf numFmtId="0" fontId="0" fillId="11" borderId="0" xfId="0" applyFill="1"/>
    <xf numFmtId="0" fontId="0" fillId="12" borderId="0" xfId="0" applyFill="1"/>
    <xf numFmtId="0" fontId="0" fillId="4" borderId="0" xfId="0" applyFill="1"/>
    <xf numFmtId="0" fontId="3" fillId="0" borderId="22" xfId="0" applyFont="1" applyBorder="1" applyAlignment="1" applyProtection="1">
      <alignment horizontal="center" vertical="center" wrapText="1"/>
      <protection locked="0"/>
    </xf>
    <xf numFmtId="0" fontId="3" fillId="0" borderId="33" xfId="0" applyFont="1" applyBorder="1" applyAlignment="1" applyProtection="1">
      <alignment horizontal="center" vertical="center" wrapText="1"/>
      <protection locked="0"/>
    </xf>
    <xf numFmtId="0" fontId="3" fillId="0" borderId="25" xfId="0" applyFont="1" applyBorder="1" applyAlignment="1" applyProtection="1">
      <alignment horizontal="center" vertical="center" wrapText="1"/>
      <protection locked="0"/>
    </xf>
    <xf numFmtId="0" fontId="3" fillId="0" borderId="30" xfId="0" applyFont="1" applyBorder="1" applyAlignment="1" applyProtection="1">
      <alignment horizontal="center" vertical="center" wrapText="1"/>
      <protection locked="0"/>
    </xf>
    <xf numFmtId="0" fontId="6" fillId="0" borderId="0" xfId="0" applyFont="1" applyAlignment="1" applyProtection="1">
      <alignment horizontal="right" wrapText="1"/>
      <protection locked="0"/>
    </xf>
    <xf numFmtId="0" fontId="6" fillId="0" borderId="0" xfId="0" applyFont="1" applyAlignment="1" applyProtection="1">
      <alignment horizontal="left" wrapText="1"/>
      <protection locked="0"/>
    </xf>
    <xf numFmtId="0" fontId="3" fillId="0" borderId="28" xfId="0" applyFont="1" applyBorder="1" applyAlignment="1" applyProtection="1">
      <alignment horizontal="center" vertical="center" wrapText="1"/>
      <protection locked="0"/>
    </xf>
    <xf numFmtId="0" fontId="3" fillId="0" borderId="29" xfId="0" applyFont="1" applyBorder="1" applyAlignment="1" applyProtection="1">
      <alignment horizontal="center" vertical="center" wrapText="1"/>
      <protection locked="0"/>
    </xf>
    <xf numFmtId="0" fontId="3" fillId="0" borderId="31" xfId="0" applyFont="1" applyBorder="1" applyAlignment="1" applyProtection="1">
      <alignment horizontal="center" vertical="center" wrapText="1"/>
      <protection locked="0"/>
    </xf>
    <xf numFmtId="0" fontId="3" fillId="0" borderId="32" xfId="0" applyFont="1" applyBorder="1" applyAlignment="1" applyProtection="1">
      <alignment horizontal="center" vertical="center" wrapText="1"/>
      <protection locked="0"/>
    </xf>
    <xf numFmtId="0" fontId="3" fillId="0" borderId="23" xfId="0" applyFont="1" applyBorder="1" applyAlignment="1" applyProtection="1">
      <alignment horizontal="center" vertical="center" wrapText="1"/>
      <protection locked="0"/>
    </xf>
    <xf numFmtId="0" fontId="3" fillId="0" borderId="24" xfId="0" applyFont="1" applyBorder="1" applyAlignment="1" applyProtection="1">
      <alignment horizontal="center" vertical="center" wrapText="1"/>
      <protection locked="0"/>
    </xf>
    <xf numFmtId="0" fontId="3" fillId="0" borderId="20" xfId="0" applyFont="1" applyBorder="1" applyAlignment="1" applyProtection="1">
      <alignment horizontal="center" vertical="center" wrapText="1"/>
      <protection locked="0"/>
    </xf>
    <xf numFmtId="0" fontId="3" fillId="0" borderId="21" xfId="0" applyFont="1" applyBorder="1" applyAlignment="1" applyProtection="1">
      <alignment horizontal="center" vertical="center" wrapText="1"/>
      <protection locked="0"/>
    </xf>
    <xf numFmtId="0" fontId="8" fillId="0" borderId="0" xfId="0" applyFont="1"/>
    <xf numFmtId="9" fontId="3" fillId="13" borderId="4" xfId="1" applyFont="1" applyFill="1" applyBorder="1" applyAlignment="1">
      <alignment horizontal="center" vertical="center"/>
    </xf>
    <xf numFmtId="9" fontId="0" fillId="0" borderId="0" xfId="0" applyNumberFormat="1"/>
    <xf numFmtId="10" fontId="16" fillId="0" borderId="0" xfId="0" applyNumberFormat="1" applyFont="1" applyAlignment="1">
      <alignment vertical="center" wrapText="1"/>
    </xf>
    <xf numFmtId="9" fontId="0" fillId="0" borderId="0" xfId="1" applyFont="1"/>
    <xf numFmtId="168" fontId="0" fillId="16" borderId="0" xfId="0" applyNumberFormat="1" applyFill="1" applyAlignment="1">
      <alignment horizontal="center" vertical="center"/>
    </xf>
    <xf numFmtId="0" fontId="26" fillId="13" borderId="0" xfId="0" applyFont="1" applyFill="1" applyAlignment="1">
      <alignment vertical="top" wrapText="1"/>
    </xf>
    <xf numFmtId="10" fontId="0" fillId="0" borderId="0" xfId="0" applyNumberFormat="1"/>
    <xf numFmtId="168" fontId="0" fillId="0" borderId="0" xfId="0" applyNumberFormat="1"/>
    <xf numFmtId="175" fontId="0" fillId="0" borderId="0" xfId="0" applyNumberFormat="1"/>
    <xf numFmtId="0" fontId="28" fillId="0" borderId="0" xfId="0" applyFont="1"/>
    <xf numFmtId="0" fontId="31" fillId="0" borderId="0" xfId="0" applyFont="1"/>
    <xf numFmtId="0" fontId="33" fillId="13" borderId="37" xfId="0" applyFont="1" applyFill="1" applyBorder="1" applyAlignment="1" applyProtection="1">
      <alignment vertical="center"/>
      <protection locked="0"/>
    </xf>
    <xf numFmtId="9" fontId="35" fillId="13" borderId="37" xfId="0" applyNumberFormat="1" applyFont="1" applyFill="1" applyBorder="1" applyAlignment="1" applyProtection="1">
      <alignment vertical="center"/>
      <protection locked="0"/>
    </xf>
    <xf numFmtId="9" fontId="35" fillId="13" borderId="1" xfId="0" applyNumberFormat="1" applyFont="1" applyFill="1" applyBorder="1" applyAlignment="1" applyProtection="1">
      <alignment vertical="center"/>
      <protection locked="0"/>
    </xf>
    <xf numFmtId="0" fontId="35" fillId="13" borderId="13" xfId="0" applyFont="1" applyFill="1" applyBorder="1" applyAlignment="1">
      <alignment horizontal="left"/>
    </xf>
    <xf numFmtId="0" fontId="35" fillId="13" borderId="42" xfId="0" applyFont="1" applyFill="1" applyBorder="1" applyAlignment="1">
      <alignment horizontal="left"/>
    </xf>
    <xf numFmtId="0" fontId="35" fillId="13" borderId="42" xfId="0" applyFont="1" applyFill="1" applyBorder="1" applyAlignment="1">
      <alignment horizontal="left" indent="1"/>
    </xf>
    <xf numFmtId="9" fontId="39" fillId="13" borderId="0" xfId="1" applyFont="1" applyFill="1" applyBorder="1" applyAlignment="1" applyProtection="1">
      <alignment horizontal="right" vertical="top"/>
      <protection locked="0"/>
    </xf>
    <xf numFmtId="0" fontId="0" fillId="13" borderId="0" xfId="0" applyFill="1"/>
    <xf numFmtId="0" fontId="0" fillId="13" borderId="0" xfId="0" applyFill="1" applyAlignment="1">
      <alignment wrapText="1"/>
    </xf>
    <xf numFmtId="1" fontId="0" fillId="16" borderId="0" xfId="0" applyNumberFormat="1" applyFill="1" applyAlignment="1">
      <alignment horizontal="center" vertical="center"/>
    </xf>
    <xf numFmtId="168" fontId="14" fillId="16" borderId="0" xfId="0" applyNumberFormat="1" applyFont="1" applyFill="1" applyAlignment="1">
      <alignment horizontal="center" vertical="center"/>
    </xf>
    <xf numFmtId="164" fontId="35" fillId="0" borderId="51" xfId="0" applyNumberFormat="1" applyFont="1" applyBorder="1" applyAlignment="1">
      <alignment horizontal="left" indent="1"/>
    </xf>
    <xf numFmtId="0" fontId="35" fillId="13" borderId="51" xfId="0" applyFont="1" applyFill="1" applyBorder="1" applyAlignment="1">
      <alignment horizontal="left"/>
    </xf>
    <xf numFmtId="0" fontId="35" fillId="13" borderId="0" xfId="0" applyFont="1" applyFill="1" applyAlignment="1">
      <alignment vertical="center"/>
    </xf>
    <xf numFmtId="10" fontId="0" fillId="16" borderId="0" xfId="0" applyNumberFormat="1" applyFill="1" applyAlignment="1">
      <alignment horizontal="center" vertical="center"/>
    </xf>
    <xf numFmtId="10" fontId="0" fillId="16" borderId="0" xfId="1" applyNumberFormat="1" applyFont="1" applyFill="1" applyAlignment="1">
      <alignment horizontal="center" vertical="center"/>
    </xf>
    <xf numFmtId="176" fontId="0" fillId="0" borderId="0" xfId="1" applyNumberFormat="1" applyFont="1"/>
    <xf numFmtId="0" fontId="31" fillId="13" borderId="0" xfId="0" applyFont="1" applyFill="1" applyAlignment="1" applyProtection="1">
      <alignment horizontal="left" vertical="center"/>
      <protection locked="0"/>
    </xf>
    <xf numFmtId="0" fontId="8" fillId="0" borderId="0" xfId="0" applyFont="1" applyAlignment="1">
      <alignment horizontal="center" vertical="center"/>
    </xf>
    <xf numFmtId="0" fontId="13" fillId="13" borderId="0" xfId="0" applyFont="1" applyFill="1"/>
    <xf numFmtId="0" fontId="31" fillId="13" borderId="0" xfId="0" applyFont="1" applyFill="1" applyProtection="1">
      <protection locked="0"/>
    </xf>
    <xf numFmtId="0" fontId="8" fillId="13" borderId="0" xfId="0" applyFont="1" applyFill="1" applyAlignment="1">
      <alignment horizontal="center" vertical="center"/>
    </xf>
    <xf numFmtId="0" fontId="35" fillId="13" borderId="0" xfId="0" applyFont="1" applyFill="1" applyAlignment="1">
      <alignment horizontal="right" vertical="center"/>
    </xf>
    <xf numFmtId="0" fontId="35" fillId="13" borderId="0" xfId="0" applyFont="1" applyFill="1" applyAlignment="1">
      <alignment horizontal="right" vertical="center" wrapText="1"/>
    </xf>
    <xf numFmtId="0" fontId="38" fillId="13" borderId="43" xfId="0" applyFont="1" applyFill="1" applyBorder="1" applyAlignment="1">
      <alignment vertical="center"/>
    </xf>
    <xf numFmtId="9" fontId="39" fillId="13" borderId="54" xfId="1" applyFont="1" applyFill="1" applyBorder="1" applyAlignment="1" applyProtection="1">
      <alignment horizontal="right" vertical="top"/>
      <protection locked="0"/>
    </xf>
    <xf numFmtId="0" fontId="0" fillId="13" borderId="55" xfId="0" applyFill="1" applyBorder="1"/>
    <xf numFmtId="0" fontId="38" fillId="13" borderId="44" xfId="0" applyFont="1" applyFill="1" applyBorder="1" applyAlignment="1">
      <alignment vertical="center"/>
    </xf>
    <xf numFmtId="0" fontId="0" fillId="13" borderId="56" xfId="0" applyFill="1" applyBorder="1"/>
    <xf numFmtId="0" fontId="35" fillId="13" borderId="44" xfId="0" applyFont="1" applyFill="1" applyBorder="1" applyAlignment="1">
      <alignment vertical="center"/>
    </xf>
    <xf numFmtId="0" fontId="8" fillId="0" borderId="44" xfId="0" applyFont="1" applyBorder="1" applyAlignment="1">
      <alignment horizontal="center" vertical="center"/>
    </xf>
    <xf numFmtId="0" fontId="31" fillId="13" borderId="44" xfId="0" applyFont="1" applyFill="1" applyBorder="1"/>
    <xf numFmtId="0" fontId="40" fillId="0" borderId="44" xfId="0" applyFont="1" applyBorder="1" applyAlignment="1">
      <alignment horizontal="left" vertical="center"/>
    </xf>
    <xf numFmtId="0" fontId="40" fillId="0" borderId="45" xfId="0" applyFont="1" applyBorder="1" applyAlignment="1">
      <alignment horizontal="left" vertical="center"/>
    </xf>
    <xf numFmtId="0" fontId="0" fillId="13" borderId="57" xfId="0" applyFill="1" applyBorder="1"/>
    <xf numFmtId="0" fontId="13" fillId="13" borderId="0" xfId="0" applyFont="1" applyFill="1" applyAlignment="1">
      <alignment horizontal="left"/>
    </xf>
    <xf numFmtId="0" fontId="42" fillId="13" borderId="51" xfId="0" applyFont="1" applyFill="1" applyBorder="1" applyAlignment="1">
      <alignment horizontal="right" vertical="center"/>
    </xf>
    <xf numFmtId="0" fontId="43" fillId="21" borderId="40" xfId="0" applyFont="1" applyFill="1" applyBorder="1" applyAlignment="1">
      <alignment horizontal="left" vertical="center" wrapText="1"/>
    </xf>
    <xf numFmtId="0" fontId="21" fillId="13" borderId="0" xfId="0" applyFont="1" applyFill="1" applyAlignment="1">
      <alignment vertical="center"/>
    </xf>
    <xf numFmtId="168" fontId="0" fillId="13" borderId="0" xfId="0" applyNumberFormat="1" applyFill="1" applyAlignment="1">
      <alignment horizontal="center"/>
    </xf>
    <xf numFmtId="1" fontId="0" fillId="13" borderId="0" xfId="0" applyNumberFormat="1" applyFill="1" applyAlignment="1">
      <alignment horizontal="center" vertical="center"/>
    </xf>
    <xf numFmtId="0" fontId="21" fillId="19" borderId="38" xfId="0" applyFont="1" applyFill="1" applyBorder="1" applyAlignment="1">
      <alignment vertical="center"/>
    </xf>
    <xf numFmtId="0" fontId="21" fillId="19" borderId="38" xfId="0" applyFont="1" applyFill="1" applyBorder="1" applyAlignment="1">
      <alignment vertical="center" wrapText="1"/>
    </xf>
    <xf numFmtId="168" fontId="0" fillId="4" borderId="58" xfId="1" applyNumberFormat="1" applyFont="1" applyFill="1" applyBorder="1" applyAlignment="1">
      <alignment horizontal="center"/>
    </xf>
    <xf numFmtId="168" fontId="0" fillId="4" borderId="0" xfId="0" applyNumberFormat="1" applyFill="1" applyAlignment="1">
      <alignment horizontal="center"/>
    </xf>
    <xf numFmtId="0" fontId="21" fillId="19" borderId="0" xfId="0" applyFont="1" applyFill="1" applyAlignment="1">
      <alignment vertical="center"/>
    </xf>
    <xf numFmtId="0" fontId="19" fillId="13" borderId="0" xfId="0" applyFont="1" applyFill="1"/>
    <xf numFmtId="0" fontId="19" fillId="4" borderId="0" xfId="0" applyFont="1" applyFill="1" applyAlignment="1">
      <alignment horizontal="center"/>
    </xf>
    <xf numFmtId="0" fontId="21" fillId="13" borderId="38" xfId="0" applyFont="1" applyFill="1" applyBorder="1" applyAlignment="1">
      <alignment vertical="center"/>
    </xf>
    <xf numFmtId="10" fontId="0" fillId="13" borderId="0" xfId="0" applyNumberFormat="1" applyFill="1" applyAlignment="1">
      <alignment horizontal="center" vertical="center"/>
    </xf>
    <xf numFmtId="1" fontId="0" fillId="4" borderId="0" xfId="0" applyNumberFormat="1" applyFill="1" applyAlignment="1">
      <alignment horizontal="center"/>
    </xf>
    <xf numFmtId="1" fontId="0" fillId="4" borderId="0" xfId="0" applyNumberFormat="1" applyFill="1" applyAlignment="1">
      <alignment horizontal="center" vertical="center"/>
    </xf>
    <xf numFmtId="0" fontId="12" fillId="13" borderId="0" xfId="0" applyFont="1" applyFill="1"/>
    <xf numFmtId="0" fontId="35" fillId="13" borderId="44" xfId="0" applyFont="1" applyFill="1" applyBorder="1" applyAlignment="1">
      <alignment horizontal="right" vertical="center"/>
    </xf>
    <xf numFmtId="168" fontId="14" fillId="13" borderId="0" xfId="0" applyNumberFormat="1" applyFont="1" applyFill="1" applyAlignment="1">
      <alignment horizontal="center" vertical="center"/>
    </xf>
    <xf numFmtId="168" fontId="0" fillId="13" borderId="0" xfId="0" applyNumberFormat="1" applyFill="1" applyAlignment="1">
      <alignment horizontal="center" vertical="center"/>
    </xf>
    <xf numFmtId="9" fontId="0" fillId="13" borderId="0" xfId="0" applyNumberFormat="1" applyFill="1" applyAlignment="1">
      <alignment horizontal="center" vertical="center"/>
    </xf>
    <xf numFmtId="10" fontId="0" fillId="13" borderId="0" xfId="1" applyNumberFormat="1" applyFont="1" applyFill="1" applyAlignment="1">
      <alignment horizontal="center" vertical="center"/>
    </xf>
    <xf numFmtId="0" fontId="44" fillId="13" borderId="0" xfId="0" applyFont="1" applyFill="1" applyAlignment="1">
      <alignment horizontal="center"/>
    </xf>
    <xf numFmtId="0" fontId="14" fillId="13" borderId="0" xfId="0" applyFont="1" applyFill="1" applyAlignment="1">
      <alignment vertical="top"/>
    </xf>
    <xf numFmtId="0" fontId="15" fillId="13" borderId="0" xfId="0" applyFont="1" applyFill="1"/>
    <xf numFmtId="168" fontId="0" fillId="4" borderId="0" xfId="0" applyNumberFormat="1" applyFill="1" applyAlignment="1">
      <alignment horizontal="center" vertical="center"/>
    </xf>
    <xf numFmtId="0" fontId="14" fillId="13" borderId="0" xfId="0" applyFont="1" applyFill="1"/>
    <xf numFmtId="0" fontId="42" fillId="13" borderId="51" xfId="0" applyFont="1" applyFill="1" applyBorder="1" applyAlignment="1">
      <alignment horizontal="left" vertical="center"/>
    </xf>
    <xf numFmtId="10" fontId="0" fillId="4" borderId="58" xfId="1" applyNumberFormat="1" applyFont="1" applyFill="1" applyBorder="1" applyAlignment="1">
      <alignment horizontal="center"/>
    </xf>
    <xf numFmtId="10" fontId="0" fillId="4" borderId="58" xfId="1" applyNumberFormat="1" applyFont="1" applyFill="1" applyBorder="1" applyAlignment="1">
      <alignment horizontal="center" vertical="center"/>
    </xf>
    <xf numFmtId="0" fontId="29" fillId="13" borderId="0" xfId="0" applyFont="1" applyFill="1"/>
    <xf numFmtId="10" fontId="0" fillId="13" borderId="0" xfId="1" applyNumberFormat="1" applyFont="1" applyFill="1"/>
    <xf numFmtId="10" fontId="29" fillId="13" borderId="0" xfId="0" applyNumberFormat="1" applyFont="1" applyFill="1" applyAlignment="1">
      <alignment horizontal="center" vertical="center"/>
    </xf>
    <xf numFmtId="1" fontId="0" fillId="13" borderId="0" xfId="0" applyNumberFormat="1" applyFill="1"/>
    <xf numFmtId="168" fontId="0" fillId="13" borderId="0" xfId="0" applyNumberFormat="1" applyFill="1"/>
    <xf numFmtId="15" fontId="0" fillId="0" borderId="0" xfId="0" applyNumberFormat="1"/>
    <xf numFmtId="15" fontId="16" fillId="0" borderId="0" xfId="0" applyNumberFormat="1" applyFont="1" applyAlignment="1">
      <alignment vertical="center" wrapText="1"/>
    </xf>
    <xf numFmtId="15" fontId="28" fillId="0" borderId="0" xfId="0" applyNumberFormat="1" applyFont="1"/>
    <xf numFmtId="10" fontId="0" fillId="16" borderId="0" xfId="1" applyNumberFormat="1" applyFont="1" applyFill="1" applyAlignment="1">
      <alignment horizontal="center"/>
    </xf>
    <xf numFmtId="168" fontId="15" fillId="13" borderId="0" xfId="0" applyNumberFormat="1" applyFont="1" applyFill="1" applyAlignment="1">
      <alignment horizontal="center"/>
    </xf>
    <xf numFmtId="10" fontId="0" fillId="13" borderId="0" xfId="0" applyNumberFormat="1" applyFill="1"/>
    <xf numFmtId="14" fontId="0" fillId="4" borderId="0" xfId="0" applyNumberFormat="1" applyFill="1" applyAlignment="1">
      <alignment horizontal="center" vertical="center"/>
    </xf>
    <xf numFmtId="14" fontId="0" fillId="4" borderId="39" xfId="0" applyNumberFormat="1" applyFill="1" applyBorder="1" applyAlignment="1">
      <alignment horizontal="center" vertical="center"/>
    </xf>
    <xf numFmtId="168" fontId="0" fillId="13" borderId="0" xfId="0" applyNumberFormat="1" applyFill="1" applyAlignment="1">
      <alignment wrapText="1"/>
    </xf>
    <xf numFmtId="0" fontId="0" fillId="0" borderId="0" xfId="0" applyAlignment="1">
      <alignment wrapText="1"/>
    </xf>
    <xf numFmtId="10" fontId="31" fillId="16" borderId="0" xfId="1" applyNumberFormat="1" applyFont="1" applyFill="1" applyAlignment="1">
      <alignment horizontal="center" vertical="center"/>
    </xf>
    <xf numFmtId="10" fontId="15" fillId="13" borderId="0" xfId="1" applyNumberFormat="1" applyFont="1" applyFill="1" applyAlignment="1">
      <alignment horizontal="center" vertical="center" wrapText="1"/>
    </xf>
    <xf numFmtId="10" fontId="15" fillId="13" borderId="0" xfId="1" applyNumberFormat="1" applyFont="1" applyFill="1"/>
    <xf numFmtId="0" fontId="0" fillId="6" borderId="0" xfId="0" applyFill="1"/>
    <xf numFmtId="9" fontId="0" fillId="6" borderId="0" xfId="0" applyNumberFormat="1" applyFill="1"/>
    <xf numFmtId="10" fontId="31" fillId="13" borderId="0" xfId="1" applyNumberFormat="1" applyFont="1" applyFill="1" applyAlignment="1">
      <alignment horizontal="right" vertical="center"/>
    </xf>
    <xf numFmtId="174" fontId="0" fillId="13" borderId="0" xfId="0" applyNumberFormat="1" applyFill="1"/>
    <xf numFmtId="170" fontId="0" fillId="0" borderId="0" xfId="0" applyNumberFormat="1" applyAlignment="1">
      <alignment vertical="center"/>
    </xf>
    <xf numFmtId="175" fontId="0" fillId="13" borderId="0" xfId="0" applyNumberFormat="1" applyFill="1"/>
    <xf numFmtId="10" fontId="0" fillId="16" borderId="0" xfId="1" applyNumberFormat="1" applyFont="1" applyFill="1" applyBorder="1" applyAlignment="1">
      <alignment horizontal="center" vertical="center"/>
    </xf>
    <xf numFmtId="10" fontId="33" fillId="16" borderId="0" xfId="1" applyNumberFormat="1" applyFont="1" applyFill="1" applyAlignment="1">
      <alignment horizontal="center" vertical="center" wrapText="1"/>
    </xf>
    <xf numFmtId="177" fontId="0" fillId="13" borderId="0" xfId="3" applyNumberFormat="1" applyFont="1" applyFill="1"/>
    <xf numFmtId="177" fontId="0" fillId="0" borderId="0" xfId="3" applyNumberFormat="1" applyFont="1"/>
    <xf numFmtId="177" fontId="0" fillId="0" borderId="0" xfId="3" applyNumberFormat="1" applyFont="1" applyAlignment="1">
      <alignment vertical="center"/>
    </xf>
    <xf numFmtId="168" fontId="0" fillId="5" borderId="0" xfId="0" applyNumberFormat="1" applyFill="1"/>
    <xf numFmtId="10" fontId="0" fillId="5" borderId="0" xfId="1" applyNumberFormat="1" applyFont="1" applyFill="1"/>
    <xf numFmtId="0" fontId="29" fillId="24" borderId="67" xfId="0" applyFont="1" applyFill="1" applyBorder="1" applyAlignment="1">
      <alignment horizontal="center" vertical="center" wrapText="1"/>
    </xf>
    <xf numFmtId="0" fontId="29" fillId="24" borderId="68" xfId="0" applyFont="1" applyFill="1" applyBorder="1" applyAlignment="1">
      <alignment horizontal="center" vertical="center" wrapText="1"/>
    </xf>
    <xf numFmtId="0" fontId="29" fillId="24" borderId="69" xfId="0" applyFont="1" applyFill="1" applyBorder="1" applyAlignment="1">
      <alignment horizontal="center" vertical="center" wrapText="1"/>
    </xf>
    <xf numFmtId="9" fontId="0" fillId="25" borderId="67" xfId="0" applyNumberFormat="1" applyFill="1" applyBorder="1"/>
    <xf numFmtId="0" fontId="14" fillId="25" borderId="67" xfId="0" applyFont="1" applyFill="1" applyBorder="1"/>
    <xf numFmtId="168" fontId="14" fillId="25" borderId="68" xfId="0" applyNumberFormat="1" applyFont="1" applyFill="1" applyBorder="1"/>
    <xf numFmtId="0" fontId="14" fillId="0" borderId="67" xfId="0" applyFont="1" applyBorder="1"/>
    <xf numFmtId="168" fontId="14" fillId="0" borderId="68" xfId="0" applyNumberFormat="1" applyFont="1" applyBorder="1"/>
    <xf numFmtId="0" fontId="57" fillId="0" borderId="0" xfId="0" applyFont="1"/>
    <xf numFmtId="177" fontId="0" fillId="25" borderId="68" xfId="3" applyNumberFormat="1" applyFont="1" applyFill="1" applyBorder="1"/>
    <xf numFmtId="177" fontId="0" fillId="0" borderId="68" xfId="3" applyNumberFormat="1" applyFont="1" applyBorder="1"/>
    <xf numFmtId="0" fontId="29" fillId="24" borderId="4" xfId="0" applyFont="1" applyFill="1" applyBorder="1" applyAlignment="1">
      <alignment horizontal="center" vertical="center" wrapText="1"/>
    </xf>
    <xf numFmtId="177" fontId="0" fillId="0" borderId="4" xfId="3" applyNumberFormat="1" applyFont="1" applyBorder="1" applyAlignment="1">
      <alignment vertical="center"/>
    </xf>
    <xf numFmtId="0" fontId="29" fillId="23" borderId="0" xfId="0" applyFont="1" applyFill="1"/>
    <xf numFmtId="9" fontId="0" fillId="16" borderId="0" xfId="1" applyFont="1" applyFill="1" applyAlignment="1">
      <alignment horizontal="center" vertical="center"/>
    </xf>
    <xf numFmtId="168" fontId="15" fillId="13" borderId="0" xfId="0" applyNumberFormat="1" applyFont="1" applyFill="1" applyAlignment="1">
      <alignment horizontal="center" vertical="center"/>
    </xf>
    <xf numFmtId="177" fontId="0" fillId="0" borderId="0" xfId="0" applyNumberFormat="1"/>
    <xf numFmtId="0" fontId="28" fillId="13" borderId="0" xfId="0" applyFont="1" applyFill="1"/>
    <xf numFmtId="0" fontId="56" fillId="13" borderId="0" xfId="0" applyFont="1" applyFill="1"/>
    <xf numFmtId="10" fontId="14" fillId="16" borderId="0" xfId="1" applyNumberFormat="1" applyFont="1" applyFill="1" applyAlignment="1">
      <alignment horizontal="center" vertical="center"/>
    </xf>
    <xf numFmtId="0" fontId="41" fillId="13" borderId="51" xfId="0" applyFont="1" applyFill="1" applyBorder="1" applyAlignment="1">
      <alignment vertical="center" wrapText="1"/>
    </xf>
    <xf numFmtId="0" fontId="41" fillId="13" borderId="51" xfId="0" applyFont="1" applyFill="1" applyBorder="1" applyAlignment="1">
      <alignment horizontal="right" vertical="center" wrapText="1"/>
    </xf>
    <xf numFmtId="0" fontId="31" fillId="13" borderId="0" xfId="0" applyFont="1" applyFill="1"/>
    <xf numFmtId="168" fontId="31" fillId="4" borderId="0" xfId="0" applyNumberFormat="1" applyFont="1" applyFill="1" applyAlignment="1">
      <alignment horizontal="center" vertical="center"/>
    </xf>
    <xf numFmtId="0" fontId="15" fillId="13" borderId="66" xfId="0" applyFont="1" applyFill="1" applyBorder="1"/>
    <xf numFmtId="10" fontId="0" fillId="4" borderId="0" xfId="1" applyNumberFormat="1" applyFont="1" applyFill="1" applyAlignment="1">
      <alignment horizontal="center"/>
    </xf>
    <xf numFmtId="175" fontId="0" fillId="16" borderId="0" xfId="0" applyNumberFormat="1" applyFill="1" applyAlignment="1">
      <alignment horizontal="center" vertical="center"/>
    </xf>
    <xf numFmtId="10" fontId="31" fillId="13" borderId="4" xfId="1" applyNumberFormat="1" applyFont="1" applyFill="1" applyBorder="1" applyAlignment="1">
      <alignment horizontal="center" vertical="center"/>
    </xf>
    <xf numFmtId="0" fontId="63" fillId="26" borderId="0" xfId="0" applyFont="1" applyFill="1" applyAlignment="1">
      <alignment horizontal="center" vertical="center" wrapText="1"/>
    </xf>
    <xf numFmtId="0" fontId="63" fillId="26" borderId="0" xfId="0" applyFont="1" applyFill="1" applyAlignment="1">
      <alignment horizontal="center" wrapText="1"/>
    </xf>
    <xf numFmtId="0" fontId="63" fillId="26" borderId="0" xfId="0" applyFont="1" applyFill="1" applyAlignment="1">
      <alignment horizontal="center" vertical="center"/>
    </xf>
    <xf numFmtId="177" fontId="0" fillId="5" borderId="0" xfId="3" applyNumberFormat="1" applyFont="1" applyFill="1"/>
    <xf numFmtId="168" fontId="3" fillId="0" borderId="23" xfId="0" applyNumberFormat="1" applyFont="1" applyBorder="1" applyAlignment="1" applyProtection="1">
      <alignment horizontal="center" vertical="center"/>
      <protection locked="0"/>
    </xf>
    <xf numFmtId="168" fontId="3" fillId="0" borderId="20" xfId="0" applyNumberFormat="1" applyFont="1" applyBorder="1" applyAlignment="1" applyProtection="1">
      <alignment horizontal="center" vertical="center"/>
      <protection locked="0"/>
    </xf>
    <xf numFmtId="168" fontId="3" fillId="0" borderId="5" xfId="0" applyNumberFormat="1" applyFont="1" applyBorder="1" applyAlignment="1" applyProtection="1">
      <alignment horizontal="center" vertical="center"/>
      <protection locked="0"/>
    </xf>
    <xf numFmtId="168" fontId="3" fillId="0" borderId="7" xfId="0" applyNumberFormat="1" applyFont="1" applyBorder="1" applyAlignment="1" applyProtection="1">
      <alignment horizontal="center" vertical="center"/>
      <protection locked="0"/>
    </xf>
    <xf numFmtId="168" fontId="2" fillId="13" borderId="0" xfId="0" applyNumberFormat="1" applyFont="1" applyFill="1" applyAlignment="1">
      <alignment horizontal="center" vertical="center"/>
    </xf>
    <xf numFmtId="0" fontId="45" fillId="13" borderId="0" xfId="0" applyFont="1" applyFill="1" applyAlignment="1">
      <alignment horizontal="center"/>
    </xf>
    <xf numFmtId="0" fontId="35" fillId="13" borderId="13" xfId="0" applyFont="1" applyFill="1" applyBorder="1" applyAlignment="1">
      <alignment horizontal="left" indent="1"/>
    </xf>
    <xf numFmtId="175" fontId="0" fillId="16" borderId="0" xfId="0" applyNumberFormat="1" applyFill="1" applyAlignment="1">
      <alignment horizontal="center" vertical="center" wrapText="1"/>
    </xf>
    <xf numFmtId="0" fontId="53" fillId="4" borderId="38" xfId="0" applyFont="1" applyFill="1" applyBorder="1" applyAlignment="1">
      <alignment horizontal="center" vertical="center"/>
    </xf>
    <xf numFmtId="9" fontId="0" fillId="0" borderId="67" xfId="0" applyNumberFormat="1" applyBorder="1"/>
    <xf numFmtId="9" fontId="0" fillId="15" borderId="67" xfId="0" applyNumberFormat="1" applyFill="1" applyBorder="1"/>
    <xf numFmtId="10" fontId="27" fillId="13" borderId="0" xfId="0" applyNumberFormat="1" applyFont="1" applyFill="1" applyAlignment="1">
      <alignment vertical="center" wrapText="1"/>
    </xf>
    <xf numFmtId="10" fontId="27" fillId="13" borderId="0" xfId="0" applyNumberFormat="1" applyFont="1" applyFill="1" applyAlignment="1">
      <alignment horizontal="center" vertical="center" wrapText="1"/>
    </xf>
    <xf numFmtId="10" fontId="16" fillId="13" borderId="0" xfId="0" applyNumberFormat="1" applyFont="1" applyFill="1" applyAlignment="1">
      <alignment vertical="center" wrapText="1"/>
    </xf>
    <xf numFmtId="0" fontId="17" fillId="13" borderId="0" xfId="0" applyFont="1" applyFill="1"/>
    <xf numFmtId="0" fontId="20" fillId="13" borderId="0" xfId="0" applyFont="1" applyFill="1"/>
    <xf numFmtId="15" fontId="16" fillId="13" borderId="0" xfId="0" applyNumberFormat="1" applyFont="1" applyFill="1" applyAlignment="1">
      <alignment vertical="center" wrapText="1"/>
    </xf>
    <xf numFmtId="9" fontId="0" fillId="13" borderId="0" xfId="1" applyFont="1" applyFill="1"/>
    <xf numFmtId="15" fontId="0" fillId="13" borderId="0" xfId="0" applyNumberFormat="1" applyFill="1"/>
    <xf numFmtId="0" fontId="9" fillId="13" borderId="0" xfId="0" applyFont="1" applyFill="1"/>
    <xf numFmtId="15" fontId="11" fillId="13" borderId="4" xfId="0" applyNumberFormat="1" applyFont="1" applyFill="1" applyBorder="1" applyAlignment="1">
      <alignment horizontal="center"/>
    </xf>
    <xf numFmtId="0" fontId="10" fillId="13" borderId="0" xfId="0" applyFont="1" applyFill="1"/>
    <xf numFmtId="1" fontId="0" fillId="13" borderId="0" xfId="0" applyNumberFormat="1" applyFill="1" applyAlignment="1">
      <alignment horizontal="center"/>
    </xf>
    <xf numFmtId="0" fontId="32" fillId="13" borderId="39" xfId="0" applyFont="1" applyFill="1" applyBorder="1" applyAlignment="1">
      <alignment vertical="center"/>
    </xf>
    <xf numFmtId="14" fontId="31" fillId="13" borderId="0" xfId="0" applyNumberFormat="1" applyFont="1" applyFill="1"/>
    <xf numFmtId="0" fontId="32" fillId="13" borderId="0" xfId="0" applyFont="1" applyFill="1" applyAlignment="1">
      <alignment vertical="center"/>
    </xf>
    <xf numFmtId="168" fontId="31" fillId="13" borderId="0" xfId="0" applyNumberFormat="1" applyFont="1" applyFill="1"/>
    <xf numFmtId="0" fontId="23" fillId="13" borderId="0" xfId="0" applyFont="1" applyFill="1" applyAlignment="1">
      <alignment vertical="center"/>
    </xf>
    <xf numFmtId="10" fontId="22" fillId="13" borderId="0" xfId="0" applyNumberFormat="1" applyFont="1" applyFill="1" applyAlignment="1">
      <alignment horizontal="center"/>
    </xf>
    <xf numFmtId="0" fontId="53" fillId="13" borderId="0" xfId="0" applyFont="1" applyFill="1" applyAlignment="1">
      <alignment vertical="center"/>
    </xf>
    <xf numFmtId="1" fontId="31" fillId="13" borderId="0" xfId="0" applyNumberFormat="1" applyFont="1" applyFill="1" applyAlignment="1">
      <alignment horizontal="center" vertical="center"/>
    </xf>
    <xf numFmtId="172" fontId="9" fillId="13" borderId="0" xfId="2" applyNumberFormat="1" applyFont="1" applyFill="1"/>
    <xf numFmtId="0" fontId="32" fillId="13" borderId="38" xfId="0" applyFont="1" applyFill="1" applyBorder="1" applyAlignment="1">
      <alignment vertical="center"/>
    </xf>
    <xf numFmtId="1" fontId="31" fillId="13" borderId="0" xfId="0" applyNumberFormat="1" applyFont="1" applyFill="1" applyAlignment="1">
      <alignment horizontal="center"/>
    </xf>
    <xf numFmtId="0" fontId="53" fillId="13" borderId="0" xfId="0" applyFont="1" applyFill="1" applyAlignment="1">
      <alignment horizontal="left" vertical="center"/>
    </xf>
    <xf numFmtId="0" fontId="53" fillId="13" borderId="40" xfId="0" applyFont="1" applyFill="1" applyBorder="1" applyAlignment="1">
      <alignment vertical="center"/>
    </xf>
    <xf numFmtId="0" fontId="32" fillId="13" borderId="40" xfId="0" applyFont="1" applyFill="1" applyBorder="1" applyAlignment="1">
      <alignment vertical="center"/>
    </xf>
    <xf numFmtId="0" fontId="53" fillId="13" borderId="40" xfId="0" applyFont="1" applyFill="1" applyBorder="1" applyAlignment="1">
      <alignment horizontal="left" vertical="center"/>
    </xf>
    <xf numFmtId="0" fontId="32" fillId="13" borderId="40" xfId="0" applyFont="1" applyFill="1" applyBorder="1" applyAlignment="1">
      <alignment horizontal="left" vertical="center"/>
    </xf>
    <xf numFmtId="0" fontId="54" fillId="13" borderId="38" xfId="0" applyFont="1" applyFill="1" applyBorder="1" applyAlignment="1">
      <alignment vertical="center"/>
    </xf>
    <xf numFmtId="0" fontId="32" fillId="13" borderId="0" xfId="0" applyFont="1" applyFill="1" applyAlignment="1">
      <alignment horizontal="left" vertical="center"/>
    </xf>
    <xf numFmtId="0" fontId="55" fillId="13" borderId="40" xfId="0" applyFont="1" applyFill="1" applyBorder="1" applyAlignment="1">
      <alignment vertical="center"/>
    </xf>
    <xf numFmtId="0" fontId="54" fillId="13" borderId="40" xfId="0" applyFont="1" applyFill="1" applyBorder="1" applyAlignment="1">
      <alignment vertical="center"/>
    </xf>
    <xf numFmtId="168" fontId="31" fillId="13" borderId="0" xfId="0" applyNumberFormat="1" applyFont="1" applyFill="1" applyAlignment="1">
      <alignment horizontal="right"/>
    </xf>
    <xf numFmtId="0" fontId="54" fillId="13" borderId="39" xfId="0" applyFont="1" applyFill="1" applyBorder="1" applyAlignment="1">
      <alignment vertical="center"/>
    </xf>
    <xf numFmtId="0" fontId="54" fillId="13" borderId="0" xfId="0" applyFont="1" applyFill="1" applyAlignment="1">
      <alignment vertical="center"/>
    </xf>
    <xf numFmtId="168" fontId="33" fillId="13" borderId="0" xfId="0" applyNumberFormat="1" applyFont="1" applyFill="1" applyAlignment="1">
      <alignment horizontal="right"/>
    </xf>
    <xf numFmtId="0" fontId="32" fillId="13" borderId="38" xfId="0" applyFont="1" applyFill="1" applyBorder="1" applyAlignment="1">
      <alignment horizontal="left" vertical="center"/>
    </xf>
    <xf numFmtId="0" fontId="53" fillId="13" borderId="38" xfId="0" applyFont="1" applyFill="1" applyBorder="1" applyAlignment="1">
      <alignment horizontal="left" vertical="center"/>
    </xf>
    <xf numFmtId="0" fontId="55" fillId="13" borderId="0" xfId="0" applyFont="1" applyFill="1" applyAlignment="1">
      <alignment vertical="center"/>
    </xf>
    <xf numFmtId="10" fontId="33" fillId="13" borderId="0" xfId="1" applyNumberFormat="1" applyFont="1" applyFill="1" applyAlignment="1">
      <alignment horizontal="right"/>
    </xf>
    <xf numFmtId="10" fontId="33" fillId="13" borderId="0" xfId="1" applyNumberFormat="1" applyFont="1" applyFill="1" applyAlignment="1">
      <alignment horizontal="center" vertical="center"/>
    </xf>
    <xf numFmtId="0" fontId="17" fillId="13" borderId="0" xfId="0" applyFont="1" applyFill="1" applyAlignment="1">
      <alignment horizontal="centerContinuous" vertical="center"/>
    </xf>
    <xf numFmtId="10" fontId="31" fillId="13" borderId="0" xfId="1" applyNumberFormat="1" applyFont="1" applyFill="1" applyBorder="1" applyAlignment="1">
      <alignment horizontal="right" vertical="center"/>
    </xf>
    <xf numFmtId="9" fontId="31" fillId="13" borderId="0" xfId="1" applyFont="1" applyFill="1" applyBorder="1" applyAlignment="1">
      <alignment horizontal="right"/>
    </xf>
    <xf numFmtId="1" fontId="62" fillId="13" borderId="0" xfId="0" applyNumberFormat="1" applyFont="1" applyFill="1" applyAlignment="1">
      <alignment horizontal="center" vertical="center" wrapText="1"/>
    </xf>
    <xf numFmtId="10" fontId="31" fillId="13" borderId="15" xfId="1" applyNumberFormat="1" applyFont="1" applyFill="1" applyBorder="1" applyAlignment="1">
      <alignment horizontal="center" vertical="center"/>
    </xf>
    <xf numFmtId="0" fontId="21" fillId="19" borderId="58" xfId="0" applyFont="1" applyFill="1" applyBorder="1" applyAlignment="1">
      <alignment vertical="center"/>
    </xf>
    <xf numFmtId="0" fontId="21" fillId="19" borderId="58" xfId="0" applyFont="1" applyFill="1" applyBorder="1" applyAlignment="1">
      <alignment vertical="center" wrapText="1"/>
    </xf>
    <xf numFmtId="168" fontId="0" fillId="16" borderId="0" xfId="1" applyNumberFormat="1" applyFont="1" applyFill="1" applyAlignment="1">
      <alignment horizontal="center" vertical="center"/>
    </xf>
    <xf numFmtId="10" fontId="0" fillId="0" borderId="15" xfId="1" applyNumberFormat="1" applyFont="1" applyBorder="1" applyAlignment="1">
      <alignment horizontal="center" vertical="center"/>
    </xf>
    <xf numFmtId="10" fontId="0" fillId="0" borderId="4" xfId="1" applyNumberFormat="1" applyFont="1" applyBorder="1" applyAlignment="1">
      <alignment horizontal="center" vertical="center"/>
    </xf>
    <xf numFmtId="10" fontId="31" fillId="0" borderId="15" xfId="1" applyNumberFormat="1" applyFont="1" applyBorder="1" applyAlignment="1">
      <alignment horizontal="center" vertical="center"/>
    </xf>
    <xf numFmtId="10" fontId="31" fillId="0" borderId="4" xfId="1" applyNumberFormat="1" applyFont="1" applyBorder="1" applyAlignment="1">
      <alignment horizontal="center" vertical="center"/>
    </xf>
    <xf numFmtId="168" fontId="0" fillId="0" borderId="15" xfId="0" applyNumberFormat="1" applyBorder="1" applyAlignment="1">
      <alignment horizontal="center" vertical="center"/>
    </xf>
    <xf numFmtId="0" fontId="0" fillId="2" borderId="0" xfId="0" applyFill="1" applyAlignment="1">
      <alignment horizontal="center" vertical="center"/>
    </xf>
    <xf numFmtId="168" fontId="0" fillId="0" borderId="4" xfId="0" applyNumberFormat="1" applyBorder="1" applyAlignment="1">
      <alignment horizontal="center" vertical="center"/>
    </xf>
    <xf numFmtId="168" fontId="0" fillId="20" borderId="15" xfId="0" applyNumberFormat="1" applyFill="1" applyBorder="1" applyAlignment="1">
      <alignment horizontal="center" vertical="center"/>
    </xf>
    <xf numFmtId="168" fontId="0" fillId="20" borderId="4" xfId="0" applyNumberFormat="1" applyFill="1" applyBorder="1" applyAlignment="1">
      <alignment horizontal="center" vertical="center"/>
    </xf>
    <xf numFmtId="0" fontId="0" fillId="2" borderId="4" xfId="0" applyFill="1" applyBorder="1" applyAlignment="1">
      <alignment horizontal="center" vertical="center"/>
    </xf>
    <xf numFmtId="10" fontId="0" fillId="0" borderId="15" xfId="0" applyNumberFormat="1" applyBorder="1" applyAlignment="1">
      <alignment horizontal="center" vertical="center"/>
    </xf>
    <xf numFmtId="10" fontId="0" fillId="0" borderId="4" xfId="0" applyNumberFormat="1" applyBorder="1" applyAlignment="1">
      <alignment horizontal="center" vertical="center"/>
    </xf>
    <xf numFmtId="9" fontId="0" fillId="2" borderId="15" xfId="1" applyFont="1" applyFill="1" applyBorder="1" applyAlignment="1">
      <alignment horizontal="center" vertical="center"/>
    </xf>
    <xf numFmtId="9" fontId="0" fillId="2" borderId="4" xfId="1" applyFont="1" applyFill="1" applyBorder="1" applyAlignment="1">
      <alignment horizontal="center" vertical="center"/>
    </xf>
    <xf numFmtId="9" fontId="0" fillId="0" borderId="4" xfId="1" applyFont="1" applyBorder="1" applyAlignment="1">
      <alignment horizontal="center" vertical="center"/>
    </xf>
    <xf numFmtId="0" fontId="0" fillId="0" borderId="15" xfId="0" applyBorder="1" applyAlignment="1">
      <alignment horizontal="center" vertical="center"/>
    </xf>
    <xf numFmtId="0" fontId="0" fillId="0" borderId="4" xfId="0" applyBorder="1" applyAlignment="1">
      <alignment horizontal="center" vertical="center"/>
    </xf>
    <xf numFmtId="0" fontId="0" fillId="2" borderId="15" xfId="0" applyFill="1" applyBorder="1" applyAlignment="1">
      <alignment horizontal="center" vertical="center"/>
    </xf>
    <xf numFmtId="1" fontId="0" fillId="0" borderId="4" xfId="0" applyNumberFormat="1" applyBorder="1" applyAlignment="1">
      <alignment horizontal="center" vertical="center"/>
    </xf>
    <xf numFmtId="168" fontId="28" fillId="2" borderId="4" xfId="0" applyNumberFormat="1" applyFont="1" applyFill="1" applyBorder="1" applyAlignment="1">
      <alignment horizontal="center" vertical="center"/>
    </xf>
    <xf numFmtId="168" fontId="0" fillId="2" borderId="4" xfId="0" applyNumberFormat="1" applyFill="1" applyBorder="1" applyAlignment="1">
      <alignment horizontal="center" vertical="center"/>
    </xf>
    <xf numFmtId="168" fontId="31" fillId="13" borderId="15" xfId="0" applyNumberFormat="1" applyFont="1" applyFill="1" applyBorder="1" applyAlignment="1">
      <alignment horizontal="center" vertical="center"/>
    </xf>
    <xf numFmtId="168" fontId="31" fillId="13" borderId="4" xfId="0" applyNumberFormat="1" applyFont="1" applyFill="1" applyBorder="1" applyAlignment="1">
      <alignment horizontal="center" vertical="center"/>
    </xf>
    <xf numFmtId="168" fontId="0" fillId="13" borderId="15" xfId="0" applyNumberFormat="1" applyFill="1" applyBorder="1" applyAlignment="1">
      <alignment horizontal="center" vertical="center"/>
    </xf>
    <xf numFmtId="168" fontId="0" fillId="13" borderId="4" xfId="0" applyNumberFormat="1" applyFill="1" applyBorder="1" applyAlignment="1">
      <alignment horizontal="center" vertical="center"/>
    </xf>
    <xf numFmtId="10" fontId="0" fillId="13" borderId="15" xfId="1" applyNumberFormat="1" applyFont="1" applyFill="1" applyBorder="1" applyAlignment="1">
      <alignment horizontal="center" vertical="center"/>
    </xf>
    <xf numFmtId="10" fontId="0" fillId="13" borderId="4" xfId="1" applyNumberFormat="1" applyFont="1" applyFill="1" applyBorder="1" applyAlignment="1">
      <alignment horizontal="center" vertical="center"/>
    </xf>
    <xf numFmtId="0" fontId="0" fillId="0" borderId="0" xfId="0" applyAlignment="1">
      <alignment horizontal="center" vertical="center"/>
    </xf>
    <xf numFmtId="0" fontId="29" fillId="24" borderId="70" xfId="0" applyFont="1" applyFill="1" applyBorder="1"/>
    <xf numFmtId="0" fontId="29" fillId="24" borderId="72" xfId="0" applyFont="1" applyFill="1" applyBorder="1"/>
    <xf numFmtId="0" fontId="0" fillId="0" borderId="73" xfId="0" applyBorder="1"/>
    <xf numFmtId="0" fontId="0" fillId="0" borderId="67" xfId="0" applyBorder="1"/>
    <xf numFmtId="0" fontId="29" fillId="24" borderId="76" xfId="0" applyFont="1" applyFill="1" applyBorder="1"/>
    <xf numFmtId="9" fontId="0" fillId="25" borderId="76" xfId="0" applyNumberFormat="1" applyFill="1" applyBorder="1"/>
    <xf numFmtId="9" fontId="0" fillId="0" borderId="76" xfId="0" applyNumberFormat="1" applyBorder="1"/>
    <xf numFmtId="0" fontId="0" fillId="25" borderId="76" xfId="0" applyFill="1" applyBorder="1"/>
    <xf numFmtId="9" fontId="0" fillId="0" borderId="75" xfId="0" applyNumberFormat="1" applyBorder="1"/>
    <xf numFmtId="0" fontId="29" fillId="24" borderId="70" xfId="0" applyFont="1" applyFill="1" applyBorder="1" applyAlignment="1">
      <alignment horizontal="center" vertical="center" wrapText="1"/>
    </xf>
    <xf numFmtId="0" fontId="29" fillId="24" borderId="71" xfId="0" applyFont="1" applyFill="1" applyBorder="1" applyAlignment="1">
      <alignment horizontal="center" vertical="center" wrapText="1"/>
    </xf>
    <xf numFmtId="0" fontId="29" fillId="24" borderId="72" xfId="0" applyFont="1" applyFill="1" applyBorder="1" applyAlignment="1">
      <alignment horizontal="center" vertical="center" wrapText="1"/>
    </xf>
    <xf numFmtId="177" fontId="0" fillId="0" borderId="73" xfId="3" applyNumberFormat="1" applyFont="1" applyBorder="1"/>
    <xf numFmtId="9" fontId="0" fillId="0" borderId="75" xfId="1" applyFont="1" applyBorder="1"/>
    <xf numFmtId="0" fontId="0" fillId="15" borderId="70" xfId="0" applyFill="1" applyBorder="1"/>
    <xf numFmtId="9" fontId="0" fillId="15" borderId="72" xfId="0" applyNumberFormat="1" applyFill="1" applyBorder="1"/>
    <xf numFmtId="0" fontId="0" fillId="27" borderId="0" xfId="0" applyFill="1"/>
    <xf numFmtId="1" fontId="0" fillId="13" borderId="15" xfId="0" applyNumberFormat="1" applyFill="1" applyBorder="1" applyAlignment="1">
      <alignment horizontal="center" vertical="center"/>
    </xf>
    <xf numFmtId="1" fontId="0" fillId="13" borderId="4" xfId="0" applyNumberFormat="1" applyFill="1" applyBorder="1" applyAlignment="1">
      <alignment horizontal="center" vertical="center"/>
    </xf>
    <xf numFmtId="10" fontId="0" fillId="13" borderId="15" xfId="0" applyNumberFormat="1" applyFill="1" applyBorder="1" applyAlignment="1">
      <alignment horizontal="center" vertical="center"/>
    </xf>
    <xf numFmtId="10" fontId="0" fillId="13" borderId="4" xfId="0" applyNumberFormat="1" applyFill="1" applyBorder="1" applyAlignment="1">
      <alignment horizontal="center" vertical="center"/>
    </xf>
    <xf numFmtId="0" fontId="59" fillId="13" borderId="0" xfId="0" applyFont="1" applyFill="1" applyAlignment="1">
      <alignment horizontal="center" vertical="center" wrapText="1"/>
    </xf>
    <xf numFmtId="0" fontId="64" fillId="13" borderId="59" xfId="0" applyFont="1" applyFill="1" applyBorder="1" applyAlignment="1">
      <alignment vertical="center" wrapText="1"/>
    </xf>
    <xf numFmtId="0" fontId="59" fillId="13" borderId="59" xfId="0" applyFont="1" applyFill="1" applyBorder="1" applyAlignment="1">
      <alignment vertical="center" wrapText="1"/>
    </xf>
    <xf numFmtId="0" fontId="46" fillId="13" borderId="0" xfId="0" applyFont="1" applyFill="1" applyAlignment="1">
      <alignment vertical="top" wrapText="1"/>
    </xf>
    <xf numFmtId="0" fontId="58" fillId="13" borderId="0" xfId="0" applyFont="1" applyFill="1" applyAlignment="1">
      <alignment horizontal="center"/>
    </xf>
    <xf numFmtId="0" fontId="40" fillId="13" borderId="0" xfId="0" applyFont="1" applyFill="1" applyAlignment="1">
      <alignment horizontal="left" vertical="center"/>
    </xf>
    <xf numFmtId="0" fontId="66" fillId="13" borderId="0" xfId="0" applyFont="1" applyFill="1" applyAlignment="1" applyProtection="1">
      <alignment horizontal="center" vertical="center" wrapText="1"/>
      <protection locked="0"/>
    </xf>
    <xf numFmtId="0" fontId="11" fillId="29" borderId="4" xfId="0" applyFont="1" applyFill="1" applyBorder="1" applyAlignment="1">
      <alignment horizontal="center"/>
    </xf>
    <xf numFmtId="0" fontId="11" fillId="28" borderId="4" xfId="0" applyFont="1" applyFill="1" applyBorder="1" applyAlignment="1">
      <alignment horizontal="center"/>
    </xf>
    <xf numFmtId="0" fontId="11" fillId="22" borderId="4" xfId="0" applyFont="1" applyFill="1" applyBorder="1" applyAlignment="1">
      <alignment horizontal="center"/>
    </xf>
    <xf numFmtId="168" fontId="37" fillId="13" borderId="0" xfId="0" applyNumberFormat="1" applyFont="1" applyFill="1" applyAlignment="1">
      <alignment horizontal="center" vertical="center" wrapText="1"/>
    </xf>
    <xf numFmtId="168" fontId="31" fillId="16" borderId="0" xfId="0" applyNumberFormat="1" applyFont="1" applyFill="1"/>
    <xf numFmtId="1" fontId="31" fillId="16" borderId="0" xfId="0" applyNumberFormat="1" applyFont="1" applyFill="1" applyAlignment="1">
      <alignment horizontal="center"/>
    </xf>
    <xf numFmtId="0" fontId="0" fillId="17" borderId="0" xfId="0" applyFill="1"/>
    <xf numFmtId="1" fontId="31" fillId="16" borderId="0" xfId="0" applyNumberFormat="1" applyFont="1" applyFill="1" applyAlignment="1">
      <alignment horizontal="center" vertical="center"/>
    </xf>
    <xf numFmtId="10" fontId="0" fillId="16" borderId="0" xfId="1" applyNumberFormat="1" applyFont="1" applyFill="1" applyBorder="1"/>
    <xf numFmtId="10" fontId="0" fillId="16" borderId="59" xfId="0" applyNumberFormat="1" applyFill="1" applyBorder="1"/>
    <xf numFmtId="10" fontId="0" fillId="16" borderId="59" xfId="1" applyNumberFormat="1" applyFont="1" applyFill="1" applyBorder="1"/>
    <xf numFmtId="168" fontId="0" fillId="0" borderId="83" xfId="1" applyNumberFormat="1" applyFont="1" applyBorder="1" applyAlignment="1">
      <alignment horizontal="right"/>
    </xf>
    <xf numFmtId="168" fontId="0" fillId="0" borderId="84" xfId="1" applyNumberFormat="1" applyFont="1" applyBorder="1" applyAlignment="1">
      <alignment horizontal="right"/>
    </xf>
    <xf numFmtId="14" fontId="0" fillId="17" borderId="17" xfId="1" applyNumberFormat="1" applyFont="1" applyFill="1" applyBorder="1" applyAlignment="1">
      <alignment horizontal="center"/>
    </xf>
    <xf numFmtId="10" fontId="0" fillId="17" borderId="2" xfId="1" applyNumberFormat="1" applyFont="1" applyFill="1" applyBorder="1" applyAlignment="1">
      <alignment horizontal="center"/>
    </xf>
    <xf numFmtId="14" fontId="0" fillId="17" borderId="47" xfId="1" applyNumberFormat="1" applyFont="1" applyFill="1" applyBorder="1" applyAlignment="1">
      <alignment horizontal="center"/>
    </xf>
    <xf numFmtId="10" fontId="0" fillId="17" borderId="3" xfId="1" applyNumberFormat="1" applyFont="1" applyFill="1" applyBorder="1" applyAlignment="1">
      <alignment horizontal="center"/>
    </xf>
    <xf numFmtId="10" fontId="31" fillId="16" borderId="0" xfId="1" applyNumberFormat="1" applyFont="1" applyFill="1"/>
    <xf numFmtId="173" fontId="0" fillId="17" borderId="17" xfId="0" applyNumberFormat="1" applyFill="1" applyBorder="1" applyAlignment="1">
      <alignment horizontal="center"/>
    </xf>
    <xf numFmtId="173" fontId="0" fillId="17" borderId="47" xfId="0" applyNumberFormat="1" applyFill="1" applyBorder="1" applyAlignment="1">
      <alignment horizontal="center"/>
    </xf>
    <xf numFmtId="17" fontId="32" fillId="13" borderId="17" xfId="0" applyNumberFormat="1" applyFont="1" applyFill="1" applyBorder="1" applyAlignment="1">
      <alignment horizontal="center" vertical="center" wrapText="1"/>
    </xf>
    <xf numFmtId="17" fontId="32" fillId="13" borderId="47" xfId="0" applyNumberFormat="1" applyFont="1" applyFill="1" applyBorder="1" applyAlignment="1">
      <alignment horizontal="center" vertical="center" wrapText="1"/>
    </xf>
    <xf numFmtId="168" fontId="0" fillId="17" borderId="59" xfId="0" applyNumberFormat="1" applyFill="1" applyBorder="1"/>
    <xf numFmtId="168" fontId="0" fillId="17" borderId="17" xfId="0" applyNumberFormat="1" applyFill="1" applyBorder="1"/>
    <xf numFmtId="168" fontId="0" fillId="17" borderId="47" xfId="0" applyNumberFormat="1" applyFill="1" applyBorder="1"/>
    <xf numFmtId="0" fontId="0" fillId="13" borderId="86" xfId="0" applyFill="1" applyBorder="1"/>
    <xf numFmtId="0" fontId="0" fillId="13" borderId="87" xfId="0" applyFill="1" applyBorder="1"/>
    <xf numFmtId="17" fontId="32" fillId="13" borderId="82" xfId="0" applyNumberFormat="1" applyFont="1" applyFill="1" applyBorder="1" applyAlignment="1">
      <alignment horizontal="center" vertical="center" wrapText="1"/>
    </xf>
    <xf numFmtId="17" fontId="32" fillId="13" borderId="48" xfId="0" applyNumberFormat="1" applyFont="1" applyFill="1" applyBorder="1" applyAlignment="1">
      <alignment horizontal="center" vertical="center" wrapText="1"/>
    </xf>
    <xf numFmtId="168" fontId="0" fillId="0" borderId="2" xfId="1" applyNumberFormat="1" applyFont="1" applyBorder="1" applyAlignment="1">
      <alignment horizontal="right"/>
    </xf>
    <xf numFmtId="173" fontId="0" fillId="17" borderId="50" xfId="0" applyNumberFormat="1" applyFill="1" applyBorder="1" applyAlignment="1">
      <alignment horizontal="center"/>
    </xf>
    <xf numFmtId="168" fontId="31" fillId="16" borderId="17" xfId="0" applyNumberFormat="1" applyFont="1" applyFill="1" applyBorder="1"/>
    <xf numFmtId="168" fontId="0" fillId="0" borderId="2" xfId="0" applyNumberFormat="1" applyBorder="1" applyAlignment="1">
      <alignment horizontal="right"/>
    </xf>
    <xf numFmtId="168" fontId="0" fillId="0" borderId="41" xfId="0" applyNumberFormat="1" applyBorder="1" applyAlignment="1">
      <alignment horizontal="right"/>
    </xf>
    <xf numFmtId="168" fontId="0" fillId="0" borderId="83" xfId="0" applyNumberFormat="1" applyBorder="1" applyAlignment="1">
      <alignment horizontal="right"/>
    </xf>
    <xf numFmtId="168" fontId="31" fillId="16" borderId="47" xfId="0" applyNumberFormat="1" applyFont="1" applyFill="1" applyBorder="1"/>
    <xf numFmtId="168" fontId="0" fillId="16" borderId="59" xfId="0" applyNumberFormat="1" applyFill="1" applyBorder="1" applyAlignment="1">
      <alignment horizontal="right"/>
    </xf>
    <xf numFmtId="168" fontId="0" fillId="0" borderId="85" xfId="0" applyNumberFormat="1" applyBorder="1" applyAlignment="1">
      <alignment horizontal="right"/>
    </xf>
    <xf numFmtId="168" fontId="0" fillId="17" borderId="59" xfId="0" applyNumberFormat="1" applyFill="1" applyBorder="1" applyAlignment="1">
      <alignment horizontal="right"/>
    </xf>
    <xf numFmtId="168" fontId="0" fillId="0" borderId="84" xfId="0" applyNumberFormat="1" applyBorder="1" applyAlignment="1">
      <alignment horizontal="right"/>
    </xf>
    <xf numFmtId="168" fontId="0" fillId="16" borderId="37" xfId="0" applyNumberFormat="1" applyFill="1" applyBorder="1"/>
    <xf numFmtId="168" fontId="0" fillId="17" borderId="37" xfId="0" applyNumberFormat="1" applyFill="1" applyBorder="1"/>
    <xf numFmtId="168" fontId="0" fillId="16" borderId="59" xfId="0" applyNumberFormat="1" applyFill="1" applyBorder="1"/>
    <xf numFmtId="10" fontId="0" fillId="31" borderId="77" xfId="0" applyNumberFormat="1" applyFill="1" applyBorder="1"/>
    <xf numFmtId="10" fontId="0" fillId="31" borderId="78" xfId="0" applyNumberFormat="1" applyFill="1" applyBorder="1"/>
    <xf numFmtId="10" fontId="0" fillId="11" borderId="77" xfId="0" applyNumberFormat="1" applyFill="1" applyBorder="1"/>
    <xf numFmtId="10" fontId="0" fillId="11" borderId="78" xfId="0" applyNumberFormat="1" applyFill="1" applyBorder="1"/>
    <xf numFmtId="168" fontId="14" fillId="31" borderId="68" xfId="0" applyNumberFormat="1" applyFont="1" applyFill="1" applyBorder="1"/>
    <xf numFmtId="168" fontId="14" fillId="31" borderId="69" xfId="0" applyNumberFormat="1" applyFont="1" applyFill="1" applyBorder="1"/>
    <xf numFmtId="168" fontId="14" fillId="11" borderId="68" xfId="0" applyNumberFormat="1" applyFont="1" applyFill="1" applyBorder="1"/>
    <xf numFmtId="10" fontId="0" fillId="11" borderId="71" xfId="0" applyNumberFormat="1" applyFill="1" applyBorder="1"/>
    <xf numFmtId="10" fontId="0" fillId="11" borderId="74" xfId="0" applyNumberFormat="1" applyFill="1" applyBorder="1"/>
    <xf numFmtId="0" fontId="29" fillId="19" borderId="88" xfId="0" applyFont="1" applyFill="1" applyBorder="1" applyAlignment="1">
      <alignment horizontal="center" vertical="center" wrapText="1"/>
    </xf>
    <xf numFmtId="0" fontId="29" fillId="19" borderId="89" xfId="0" applyFont="1" applyFill="1" applyBorder="1" applyAlignment="1">
      <alignment horizontal="center" vertical="center"/>
    </xf>
    <xf numFmtId="0" fontId="15" fillId="13" borderId="0" xfId="0" applyFont="1" applyFill="1" applyProtection="1">
      <protection locked="0"/>
    </xf>
    <xf numFmtId="168" fontId="0" fillId="5" borderId="0" xfId="3" applyNumberFormat="1" applyFont="1" applyFill="1" applyAlignment="1">
      <alignment horizontal="center" vertical="center"/>
    </xf>
    <xf numFmtId="168" fontId="0" fillId="5" borderId="0" xfId="0" applyNumberFormat="1" applyFill="1" applyAlignment="1">
      <alignment horizontal="center"/>
    </xf>
    <xf numFmtId="17" fontId="32" fillId="13" borderId="50" xfId="0" applyNumberFormat="1" applyFont="1" applyFill="1" applyBorder="1" applyAlignment="1">
      <alignment horizontal="center" vertical="center" wrapText="1"/>
    </xf>
    <xf numFmtId="10" fontId="0" fillId="16" borderId="1" xfId="1" applyNumberFormat="1" applyFont="1" applyFill="1" applyBorder="1"/>
    <xf numFmtId="10" fontId="0" fillId="16" borderId="2" xfId="1" applyNumberFormat="1" applyFont="1" applyFill="1" applyBorder="1"/>
    <xf numFmtId="10" fontId="0" fillId="16" borderId="3" xfId="1" applyNumberFormat="1" applyFont="1" applyFill="1" applyBorder="1"/>
    <xf numFmtId="170" fontId="3" fillId="13" borderId="4" xfId="0" applyNumberFormat="1" applyFont="1" applyFill="1" applyBorder="1" applyAlignment="1">
      <alignment horizontal="center" vertical="center"/>
    </xf>
    <xf numFmtId="168" fontId="3" fillId="13" borderId="9" xfId="0" applyNumberFormat="1" applyFont="1" applyFill="1" applyBorder="1" applyAlignment="1">
      <alignment horizontal="center" vertical="center"/>
    </xf>
    <xf numFmtId="10" fontId="3" fillId="13" borderId="13" xfId="1" applyNumberFormat="1" applyFont="1" applyFill="1" applyBorder="1" applyAlignment="1">
      <alignment horizontal="center" vertical="center"/>
    </xf>
    <xf numFmtId="0" fontId="3" fillId="13" borderId="10" xfId="0" applyFont="1" applyFill="1" applyBorder="1" applyAlignment="1">
      <alignment horizontal="center" vertical="center"/>
    </xf>
    <xf numFmtId="9" fontId="3" fillId="13" borderId="0" xfId="1" applyFont="1" applyFill="1" applyAlignment="1">
      <alignment horizontal="center" vertical="center"/>
    </xf>
    <xf numFmtId="10" fontId="3" fillId="13" borderId="0" xfId="1" applyNumberFormat="1" applyFont="1" applyFill="1" applyAlignment="1">
      <alignment horizontal="center" vertical="center"/>
    </xf>
    <xf numFmtId="9" fontId="3" fillId="0" borderId="81" xfId="1" applyFont="1" applyBorder="1" applyAlignment="1">
      <alignment horizontal="center" vertical="center"/>
    </xf>
    <xf numFmtId="10" fontId="3" fillId="0" borderId="81" xfId="1" applyNumberFormat="1" applyFont="1" applyBorder="1"/>
    <xf numFmtId="9" fontId="3" fillId="0" borderId="100" xfId="1" applyFont="1" applyBorder="1" applyAlignment="1">
      <alignment horizontal="center" vertical="center"/>
    </xf>
    <xf numFmtId="10" fontId="3" fillId="0" borderId="100" xfId="1" applyNumberFormat="1" applyFont="1" applyBorder="1"/>
    <xf numFmtId="9" fontId="3" fillId="0" borderId="80" xfId="1" applyFont="1" applyBorder="1" applyAlignment="1">
      <alignment horizontal="center" vertical="center"/>
    </xf>
    <xf numFmtId="10" fontId="3" fillId="0" borderId="80" xfId="1" applyNumberFormat="1" applyFont="1" applyBorder="1"/>
    <xf numFmtId="0" fontId="11" fillId="14" borderId="9" xfId="0" applyFont="1" applyFill="1" applyBorder="1" applyAlignment="1">
      <alignment horizontal="center" vertical="center" wrapText="1"/>
    </xf>
    <xf numFmtId="0" fontId="11" fillId="14" borderId="18" xfId="0" applyFont="1" applyFill="1" applyBorder="1" applyAlignment="1">
      <alignment horizontal="center" vertical="center" wrapText="1"/>
    </xf>
    <xf numFmtId="0" fontId="11" fillId="14" borderId="10" xfId="0" applyFont="1" applyFill="1" applyBorder="1" applyAlignment="1">
      <alignment horizontal="center" vertical="center" wrapText="1"/>
    </xf>
    <xf numFmtId="0" fontId="11" fillId="14" borderId="90" xfId="0" applyFont="1" applyFill="1" applyBorder="1" applyAlignment="1">
      <alignment horizontal="center" vertical="center" wrapText="1"/>
    </xf>
    <xf numFmtId="168" fontId="11" fillId="14" borderId="9" xfId="0" applyNumberFormat="1" applyFont="1" applyFill="1" applyBorder="1" applyAlignment="1">
      <alignment horizontal="center" vertical="center" wrapText="1"/>
    </xf>
    <xf numFmtId="0" fontId="11" fillId="14" borderId="4" xfId="0" applyFont="1" applyFill="1" applyBorder="1" applyAlignment="1">
      <alignment horizontal="center" vertical="center" wrapText="1"/>
    </xf>
    <xf numFmtId="168" fontId="11" fillId="14" borderId="13" xfId="0" applyNumberFormat="1" applyFont="1" applyFill="1" applyBorder="1" applyAlignment="1">
      <alignment horizontal="center" vertical="center" wrapText="1"/>
    </xf>
    <xf numFmtId="168" fontId="11" fillId="14" borderId="10" xfId="0" applyNumberFormat="1" applyFont="1" applyFill="1" applyBorder="1" applyAlignment="1">
      <alignment horizontal="center" vertical="center" wrapText="1"/>
    </xf>
    <xf numFmtId="168" fontId="11" fillId="14" borderId="0" xfId="0" applyNumberFormat="1" applyFont="1" applyFill="1" applyAlignment="1">
      <alignment horizontal="center" vertical="center" wrapText="1"/>
    </xf>
    <xf numFmtId="10" fontId="4" fillId="14" borderId="0" xfId="1" applyNumberFormat="1" applyFont="1" applyFill="1" applyAlignment="1">
      <alignment horizontal="center" vertical="center" wrapText="1"/>
    </xf>
    <xf numFmtId="9" fontId="11" fillId="14" borderId="4" xfId="1" applyFont="1" applyFill="1" applyBorder="1" applyAlignment="1">
      <alignment horizontal="center" vertical="center" wrapText="1"/>
    </xf>
    <xf numFmtId="0" fontId="61" fillId="14" borderId="4" xfId="0" applyFont="1" applyFill="1" applyBorder="1" applyAlignment="1" applyProtection="1">
      <alignment horizontal="center" vertical="center" wrapText="1"/>
      <protection locked="0"/>
    </xf>
    <xf numFmtId="168" fontId="31" fillId="16" borderId="102" xfId="0" applyNumberFormat="1" applyFont="1" applyFill="1" applyBorder="1"/>
    <xf numFmtId="168" fontId="31" fillId="16" borderId="19" xfId="0" applyNumberFormat="1" applyFont="1" applyFill="1" applyBorder="1"/>
    <xf numFmtId="0" fontId="29" fillId="19" borderId="103" xfId="0" applyFont="1" applyFill="1" applyBorder="1" applyAlignment="1">
      <alignment horizontal="center" vertical="center" wrapText="1"/>
    </xf>
    <xf numFmtId="14" fontId="14" fillId="16" borderId="0" xfId="0" applyNumberFormat="1" applyFont="1" applyFill="1" applyAlignment="1">
      <alignment horizontal="center"/>
    </xf>
    <xf numFmtId="14" fontId="14" fillId="16" borderId="59" xfId="0" applyNumberFormat="1" applyFont="1" applyFill="1" applyBorder="1" applyAlignment="1">
      <alignment horizontal="center"/>
    </xf>
    <xf numFmtId="0" fontId="29" fillId="14" borderId="0" xfId="0" applyFont="1" applyFill="1"/>
    <xf numFmtId="17" fontId="32" fillId="13" borderId="102" xfId="0" applyNumberFormat="1" applyFont="1" applyFill="1" applyBorder="1" applyAlignment="1">
      <alignment horizontal="center" vertical="center" wrapText="1"/>
    </xf>
    <xf numFmtId="17" fontId="32" fillId="13" borderId="19" xfId="0" applyNumberFormat="1" applyFont="1" applyFill="1" applyBorder="1" applyAlignment="1">
      <alignment horizontal="center" vertical="center" wrapText="1"/>
    </xf>
    <xf numFmtId="10" fontId="0" fillId="16" borderId="37" xfId="1" applyNumberFormat="1" applyFont="1" applyFill="1" applyBorder="1"/>
    <xf numFmtId="0" fontId="30" fillId="14" borderId="0" xfId="0" applyFont="1" applyFill="1"/>
    <xf numFmtId="0" fontId="61" fillId="13" borderId="0" xfId="0" applyFont="1" applyFill="1"/>
    <xf numFmtId="0" fontId="18" fillId="13" borderId="53" xfId="0" applyFont="1" applyFill="1" applyBorder="1" applyAlignment="1">
      <alignment horizontal="center" vertical="center" wrapText="1"/>
    </xf>
    <xf numFmtId="0" fontId="18" fillId="13" borderId="49" xfId="0" applyFont="1" applyFill="1" applyBorder="1" applyAlignment="1">
      <alignment horizontal="center" vertical="center" wrapText="1"/>
    </xf>
    <xf numFmtId="0" fontId="0" fillId="13" borderId="82" xfId="0" applyFill="1" applyBorder="1" applyAlignment="1">
      <alignment horizontal="center" vertical="center" wrapText="1"/>
    </xf>
    <xf numFmtId="0" fontId="14" fillId="13" borderId="82" xfId="0" applyFont="1" applyFill="1" applyBorder="1" applyAlignment="1">
      <alignment horizontal="center" vertical="center" wrapText="1"/>
    </xf>
    <xf numFmtId="0" fontId="18" fillId="13" borderId="48" xfId="0" applyFont="1" applyFill="1" applyBorder="1" applyAlignment="1">
      <alignment horizontal="center" vertical="center" wrapText="1"/>
    </xf>
    <xf numFmtId="0" fontId="14" fillId="13" borderId="53" xfId="0" applyFont="1" applyFill="1" applyBorder="1" applyAlignment="1">
      <alignment horizontal="center" vertical="center" wrapText="1"/>
    </xf>
    <xf numFmtId="0" fontId="14" fillId="13" borderId="48" xfId="0" applyFont="1" applyFill="1" applyBorder="1" applyAlignment="1">
      <alignment horizontal="center" vertical="center" wrapText="1"/>
    </xf>
    <xf numFmtId="0" fontId="14" fillId="13" borderId="49" xfId="0" applyFont="1" applyFill="1" applyBorder="1" applyAlignment="1">
      <alignment horizontal="center" vertical="center" wrapText="1"/>
    </xf>
    <xf numFmtId="170" fontId="3" fillId="0" borderId="27" xfId="0" applyNumberFormat="1" applyFont="1" applyBorder="1" applyAlignment="1" applyProtection="1">
      <alignment horizontal="center" vertical="center"/>
      <protection locked="0"/>
    </xf>
    <xf numFmtId="170" fontId="3" fillId="0" borderId="34" xfId="0" applyNumberFormat="1" applyFont="1" applyBorder="1" applyAlignment="1" applyProtection="1">
      <alignment horizontal="center" vertical="center"/>
      <protection locked="0"/>
    </xf>
    <xf numFmtId="14" fontId="31" fillId="16" borderId="0" xfId="0" applyNumberFormat="1" applyFont="1" applyFill="1" applyAlignment="1">
      <alignment horizontal="center" vertical="center"/>
    </xf>
    <xf numFmtId="0" fontId="23" fillId="13" borderId="0" xfId="0" applyFont="1" applyFill="1" applyAlignment="1">
      <alignment horizontal="center" vertical="center"/>
    </xf>
    <xf numFmtId="168" fontId="15" fillId="13" borderId="0" xfId="1" applyNumberFormat="1" applyFont="1" applyFill="1"/>
    <xf numFmtId="0" fontId="61" fillId="13" borderId="0" xfId="0" applyFont="1" applyFill="1" applyAlignment="1" applyProtection="1">
      <alignment horizontal="center" vertical="center" wrapText="1"/>
      <protection locked="0"/>
    </xf>
    <xf numFmtId="0" fontId="66" fillId="13" borderId="0" xfId="0" applyFont="1" applyFill="1" applyAlignment="1">
      <alignment horizontal="center" vertical="center" wrapText="1"/>
    </xf>
    <xf numFmtId="168" fontId="66" fillId="13" borderId="0" xfId="0" applyNumberFormat="1" applyFont="1" applyFill="1" applyAlignment="1">
      <alignment horizontal="center" vertical="center" wrapText="1"/>
    </xf>
    <xf numFmtId="0" fontId="29" fillId="19" borderId="104" xfId="0" applyFont="1" applyFill="1" applyBorder="1" applyAlignment="1">
      <alignment horizontal="center" vertical="center" wrapText="1"/>
    </xf>
    <xf numFmtId="14" fontId="14" fillId="16" borderId="52" xfId="0" applyNumberFormat="1" applyFont="1" applyFill="1" applyBorder="1" applyAlignment="1">
      <alignment horizontal="center"/>
    </xf>
    <xf numFmtId="14" fontId="14" fillId="16" borderId="102" xfId="0" applyNumberFormat="1" applyFont="1" applyFill="1" applyBorder="1" applyAlignment="1">
      <alignment horizontal="center"/>
    </xf>
    <xf numFmtId="14" fontId="14" fillId="16" borderId="19" xfId="0" applyNumberFormat="1" applyFont="1" applyFill="1" applyBorder="1" applyAlignment="1">
      <alignment horizontal="center"/>
    </xf>
    <xf numFmtId="0" fontId="0" fillId="14" borderId="52" xfId="0" applyFill="1" applyBorder="1" applyAlignment="1">
      <alignment horizontal="center"/>
    </xf>
    <xf numFmtId="0" fontId="0" fillId="14" borderId="50" xfId="0" applyFill="1" applyBorder="1" applyAlignment="1">
      <alignment horizontal="center"/>
    </xf>
    <xf numFmtId="10" fontId="31" fillId="13" borderId="0" xfId="1" applyNumberFormat="1" applyFont="1" applyFill="1" applyAlignment="1">
      <alignment horizontal="center" vertical="center"/>
    </xf>
    <xf numFmtId="0" fontId="29" fillId="14" borderId="53" xfId="0" applyFont="1" applyFill="1" applyBorder="1" applyAlignment="1">
      <alignment horizontal="center"/>
    </xf>
    <xf numFmtId="0" fontId="11" fillId="14" borderId="61" xfId="0" applyFont="1" applyFill="1" applyBorder="1" applyAlignment="1">
      <alignment horizontal="center" vertical="center" wrapText="1"/>
    </xf>
    <xf numFmtId="0" fontId="11" fillId="14" borderId="27" xfId="0" applyFont="1" applyFill="1" applyBorder="1" applyAlignment="1">
      <alignment horizontal="center" vertical="center" wrapText="1"/>
    </xf>
    <xf numFmtId="168" fontId="2" fillId="13" borderId="105" xfId="0" applyNumberFormat="1" applyFont="1" applyFill="1" applyBorder="1" applyAlignment="1">
      <alignment horizontal="center" vertical="center"/>
    </xf>
    <xf numFmtId="168" fontId="2" fillId="13" borderId="65" xfId="0" applyNumberFormat="1" applyFont="1" applyFill="1" applyBorder="1" applyAlignment="1">
      <alignment horizontal="center" vertical="center"/>
    </xf>
    <xf numFmtId="170" fontId="3" fillId="13" borderId="106" xfId="0" applyNumberFormat="1" applyFont="1" applyFill="1" applyBorder="1" applyAlignment="1">
      <alignment horizontal="center" vertical="center"/>
    </xf>
    <xf numFmtId="168" fontId="2" fillId="13" borderId="108" xfId="0" applyNumberFormat="1" applyFont="1" applyFill="1" applyBorder="1" applyAlignment="1">
      <alignment horizontal="center" vertical="center"/>
    </xf>
    <xf numFmtId="168" fontId="2" fillId="13" borderId="109" xfId="0" applyNumberFormat="1" applyFont="1" applyFill="1" applyBorder="1" applyAlignment="1">
      <alignment horizontal="center" vertical="center"/>
    </xf>
    <xf numFmtId="0" fontId="11" fillId="14" borderId="110" xfId="0" applyFont="1" applyFill="1" applyBorder="1" applyAlignment="1">
      <alignment horizontal="center" vertical="center" wrapText="1"/>
    </xf>
    <xf numFmtId="168" fontId="11" fillId="14" borderId="111" xfId="0" applyNumberFormat="1" applyFont="1" applyFill="1" applyBorder="1" applyAlignment="1">
      <alignment horizontal="center" vertical="center" wrapText="1"/>
    </xf>
    <xf numFmtId="0" fontId="11" fillId="14" borderId="112" xfId="0" applyFont="1" applyFill="1" applyBorder="1" applyAlignment="1">
      <alignment horizontal="center" vertical="center" wrapText="1"/>
    </xf>
    <xf numFmtId="0" fontId="3" fillId="5" borderId="11"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116" xfId="0" applyFont="1" applyFill="1" applyBorder="1" applyAlignment="1">
      <alignment horizontal="center" vertical="center"/>
    </xf>
    <xf numFmtId="1" fontId="31" fillId="17" borderId="0" xfId="0" applyNumberFormat="1" applyFont="1" applyFill="1" applyAlignment="1">
      <alignment horizontal="center"/>
    </xf>
    <xf numFmtId="14" fontId="0" fillId="13" borderId="0" xfId="0" applyNumberFormat="1" applyFill="1"/>
    <xf numFmtId="17" fontId="32" fillId="13" borderId="52" xfId="0" applyNumberFormat="1" applyFont="1" applyFill="1" applyBorder="1" applyAlignment="1">
      <alignment horizontal="center" vertical="center" wrapText="1"/>
    </xf>
    <xf numFmtId="168" fontId="0" fillId="0" borderId="0" xfId="1" applyNumberFormat="1" applyFont="1" applyBorder="1" applyAlignment="1">
      <alignment horizontal="right"/>
    </xf>
    <xf numFmtId="2" fontId="0" fillId="13" borderId="0" xfId="0" applyNumberFormat="1" applyFill="1"/>
    <xf numFmtId="168" fontId="0" fillId="0" borderId="41" xfId="1" applyNumberFormat="1" applyFont="1" applyBorder="1" applyAlignment="1">
      <alignment horizontal="right"/>
    </xf>
    <xf numFmtId="168" fontId="0" fillId="0" borderId="85" xfId="1" applyNumberFormat="1" applyFont="1" applyBorder="1" applyAlignment="1">
      <alignment horizontal="right"/>
    </xf>
    <xf numFmtId="0" fontId="14" fillId="13" borderId="37" xfId="0" applyFont="1" applyFill="1" applyBorder="1" applyAlignment="1">
      <alignment horizontal="center" vertical="center" wrapText="1"/>
    </xf>
    <xf numFmtId="14" fontId="0" fillId="16" borderId="52" xfId="1" applyNumberFormat="1" applyFont="1" applyFill="1" applyBorder="1" applyAlignment="1">
      <alignment horizontal="right"/>
    </xf>
    <xf numFmtId="14" fontId="0" fillId="16" borderId="102" xfId="1" applyNumberFormat="1" applyFont="1" applyFill="1" applyBorder="1" applyAlignment="1">
      <alignment horizontal="right"/>
    </xf>
    <xf numFmtId="14" fontId="0" fillId="16" borderId="19" xfId="1" applyNumberFormat="1" applyFont="1" applyFill="1" applyBorder="1" applyAlignment="1">
      <alignment horizontal="right"/>
    </xf>
    <xf numFmtId="14" fontId="15" fillId="13" borderId="0" xfId="0" applyNumberFormat="1" applyFont="1" applyFill="1"/>
    <xf numFmtId="14" fontId="0" fillId="32" borderId="0" xfId="0" applyNumberFormat="1" applyFill="1" applyAlignment="1">
      <alignment horizontal="center"/>
    </xf>
    <xf numFmtId="168" fontId="14" fillId="0" borderId="19" xfId="0" applyNumberFormat="1" applyFont="1" applyBorder="1"/>
    <xf numFmtId="168" fontId="0" fillId="0" borderId="19" xfId="0" applyNumberFormat="1" applyBorder="1"/>
    <xf numFmtId="10" fontId="0" fillId="16" borderId="0" xfId="0" applyNumberFormat="1" applyFill="1"/>
    <xf numFmtId="168" fontId="0" fillId="16" borderId="0" xfId="0" applyNumberFormat="1" applyFill="1" applyAlignment="1">
      <alignment horizontal="right"/>
    </xf>
    <xf numFmtId="168" fontId="0" fillId="0" borderId="0" xfId="0" applyNumberFormat="1" applyAlignment="1">
      <alignment horizontal="right"/>
    </xf>
    <xf numFmtId="168" fontId="0" fillId="17" borderId="0" xfId="0" applyNumberFormat="1" applyFill="1" applyAlignment="1">
      <alignment horizontal="right"/>
    </xf>
    <xf numFmtId="168" fontId="0" fillId="16" borderId="0" xfId="0" applyNumberFormat="1" applyFill="1"/>
    <xf numFmtId="168" fontId="0" fillId="17" borderId="0" xfId="0" applyNumberFormat="1" applyFill="1"/>
    <xf numFmtId="175" fontId="0" fillId="2" borderId="4" xfId="0" applyNumberFormat="1" applyFill="1" applyBorder="1" applyAlignment="1">
      <alignment horizontal="center" vertical="center"/>
    </xf>
    <xf numFmtId="10" fontId="0" fillId="2" borderId="4" xfId="1" applyNumberFormat="1" applyFont="1" applyFill="1" applyBorder="1" applyAlignment="1">
      <alignment horizontal="center" vertical="center"/>
    </xf>
    <xf numFmtId="168" fontId="0" fillId="0" borderId="15" xfId="1" applyNumberFormat="1" applyFont="1" applyBorder="1" applyAlignment="1">
      <alignment horizontal="center" vertical="center"/>
    </xf>
    <xf numFmtId="168" fontId="0" fillId="0" borderId="4" xfId="1" applyNumberFormat="1" applyFont="1" applyBorder="1" applyAlignment="1">
      <alignment horizontal="center" vertical="center"/>
    </xf>
    <xf numFmtId="168" fontId="31" fillId="0" borderId="15" xfId="1" applyNumberFormat="1" applyFont="1" applyBorder="1" applyAlignment="1">
      <alignment horizontal="center" vertical="center"/>
    </xf>
    <xf numFmtId="168" fontId="31" fillId="0" borderId="4" xfId="1" applyNumberFormat="1" applyFont="1" applyBorder="1" applyAlignment="1">
      <alignment horizontal="center" vertical="center"/>
    </xf>
    <xf numFmtId="0" fontId="41" fillId="13" borderId="51" xfId="0" applyFont="1" applyFill="1" applyBorder="1" applyAlignment="1">
      <alignment horizontal="right" vertical="center"/>
    </xf>
    <xf numFmtId="0" fontId="60" fillId="13" borderId="0" xfId="0" applyFont="1" applyFill="1" applyAlignment="1">
      <alignment vertical="center" wrapText="1"/>
    </xf>
    <xf numFmtId="0" fontId="59" fillId="13" borderId="0" xfId="0" applyFont="1" applyFill="1" applyAlignment="1">
      <alignment vertical="center" wrapText="1"/>
    </xf>
    <xf numFmtId="168" fontId="20" fillId="16" borderId="0" xfId="0" applyNumberFormat="1" applyFont="1" applyFill="1" applyAlignment="1">
      <alignment horizontal="center" vertical="center" wrapText="1"/>
    </xf>
    <xf numFmtId="0" fontId="71" fillId="0" borderId="0" xfId="0" applyFont="1" applyAlignment="1">
      <alignment vertical="center"/>
    </xf>
    <xf numFmtId="0" fontId="0" fillId="0" borderId="0" xfId="0" applyAlignment="1">
      <alignment vertical="center"/>
    </xf>
    <xf numFmtId="0" fontId="29" fillId="35" borderId="0" xfId="0" applyFont="1" applyFill="1" applyAlignment="1">
      <alignment horizontal="center"/>
    </xf>
    <xf numFmtId="0" fontId="73" fillId="0" borderId="0" xfId="0" applyFont="1" applyAlignment="1">
      <alignment horizontal="left" vertical="center" wrapText="1"/>
    </xf>
    <xf numFmtId="0" fontId="16" fillId="0" borderId="0" xfId="0" applyFont="1" applyAlignment="1">
      <alignment horizontal="left" wrapText="1"/>
    </xf>
    <xf numFmtId="0" fontId="0" fillId="35" borderId="0" xfId="0" applyFill="1"/>
    <xf numFmtId="0" fontId="75" fillId="13" borderId="0" xfId="0" applyFont="1" applyFill="1" applyAlignment="1">
      <alignment vertical="center"/>
    </xf>
    <xf numFmtId="178" fontId="76" fillId="35" borderId="0" xfId="0" applyNumberFormat="1" applyFont="1" applyFill="1" applyAlignment="1">
      <alignment horizontal="right" vertical="center"/>
    </xf>
    <xf numFmtId="0" fontId="77" fillId="13" borderId="0" xfId="0" applyFont="1" applyFill="1" applyAlignment="1">
      <alignment vertical="center"/>
    </xf>
    <xf numFmtId="0" fontId="0" fillId="13" borderId="0" xfId="0" applyFill="1" applyAlignment="1">
      <alignment vertical="top"/>
    </xf>
    <xf numFmtId="0" fontId="0" fillId="0" borderId="0" xfId="0" applyAlignment="1">
      <alignment vertical="top"/>
    </xf>
    <xf numFmtId="0" fontId="8" fillId="0" borderId="0" xfId="0" applyFont="1" applyAlignment="1">
      <alignment vertical="top"/>
    </xf>
    <xf numFmtId="0" fontId="80" fillId="35" borderId="0" xfId="0" applyFont="1" applyFill="1" applyAlignment="1">
      <alignment horizontal="left" vertical="center"/>
    </xf>
    <xf numFmtId="0" fontId="80" fillId="13" borderId="0" xfId="0" applyFont="1" applyFill="1" applyAlignment="1">
      <alignment horizontal="left" vertical="top" wrapText="1"/>
    </xf>
    <xf numFmtId="0" fontId="80" fillId="35" borderId="0" xfId="0" applyFont="1" applyFill="1" applyAlignment="1">
      <alignment horizontal="left" vertical="top" wrapText="1"/>
    </xf>
    <xf numFmtId="0" fontId="0" fillId="13" borderId="0" xfId="0" applyFill="1" applyAlignment="1">
      <alignment vertical="center"/>
    </xf>
    <xf numFmtId="0" fontId="19" fillId="13" borderId="0" xfId="0" applyFont="1" applyFill="1" applyAlignment="1">
      <alignment horizontal="left" vertical="center" wrapText="1"/>
    </xf>
    <xf numFmtId="0" fontId="16" fillId="13" borderId="0" xfId="0" applyFont="1" applyFill="1" applyAlignment="1">
      <alignment horizontal="left" vertical="center" wrapText="1"/>
    </xf>
    <xf numFmtId="0" fontId="20" fillId="35" borderId="0" xfId="0" applyFont="1" applyFill="1"/>
    <xf numFmtId="0" fontId="76" fillId="13" borderId="0" xfId="0" applyFont="1" applyFill="1" applyAlignment="1">
      <alignment vertical="top"/>
    </xf>
    <xf numFmtId="0" fontId="0" fillId="13" borderId="0" xfId="0" applyFill="1" applyAlignment="1">
      <alignment vertical="center" wrapText="1"/>
    </xf>
    <xf numFmtId="0" fontId="82" fillId="0" borderId="0" xfId="0" applyFont="1" applyAlignment="1">
      <alignment vertical="center"/>
    </xf>
    <xf numFmtId="0" fontId="16" fillId="0" borderId="0" xfId="0" applyFont="1" applyAlignment="1">
      <alignment vertical="center"/>
    </xf>
    <xf numFmtId="0" fontId="76" fillId="0" borderId="0" xfId="0" applyFont="1" applyAlignment="1">
      <alignment vertical="top"/>
    </xf>
    <xf numFmtId="0" fontId="81" fillId="0" borderId="0" xfId="0" applyFont="1" applyAlignment="1">
      <alignment vertical="center" wrapText="1"/>
    </xf>
    <xf numFmtId="0" fontId="83" fillId="0" borderId="0" xfId="0" applyFont="1" applyAlignment="1">
      <alignment vertical="center" wrapText="1"/>
    </xf>
    <xf numFmtId="10" fontId="80" fillId="35" borderId="0" xfId="0" applyNumberFormat="1" applyFont="1" applyFill="1" applyAlignment="1">
      <alignment horizontal="left" vertical="top" wrapText="1"/>
    </xf>
    <xf numFmtId="10" fontId="81" fillId="11" borderId="0" xfId="0" applyNumberFormat="1" applyFont="1" applyFill="1" applyAlignment="1">
      <alignment horizontal="left" vertical="center" wrapText="1"/>
    </xf>
    <xf numFmtId="10" fontId="81" fillId="0" borderId="0" xfId="0" applyNumberFormat="1" applyFont="1" applyAlignment="1">
      <alignment horizontal="left" vertical="center" wrapText="1"/>
    </xf>
    <xf numFmtId="0" fontId="76" fillId="13" borderId="0" xfId="0" applyFont="1" applyFill="1" applyAlignment="1">
      <alignment vertical="top" wrapText="1"/>
    </xf>
    <xf numFmtId="175" fontId="81" fillId="0" borderId="0" xfId="5" applyNumberFormat="1" applyFont="1" applyFill="1" applyAlignment="1">
      <alignment horizontal="left" vertical="center" wrapText="1"/>
    </xf>
    <xf numFmtId="0" fontId="76" fillId="13" borderId="0" xfId="0" applyFont="1" applyFill="1" applyAlignment="1" applyProtection="1">
      <alignment vertical="top"/>
      <protection locked="0"/>
    </xf>
    <xf numFmtId="0" fontId="80" fillId="35" borderId="0" xfId="0" applyFont="1" applyFill="1" applyAlignment="1" applyProtection="1">
      <alignment horizontal="left" vertical="top" wrapText="1"/>
      <protection locked="0"/>
    </xf>
    <xf numFmtId="0" fontId="62" fillId="0" borderId="0" xfId="0" applyFont="1" applyAlignment="1" applyProtection="1">
      <alignment horizontal="center" vertical="center"/>
      <protection locked="0"/>
    </xf>
    <xf numFmtId="0" fontId="0" fillId="0" borderId="0" xfId="0" applyProtection="1">
      <protection locked="0"/>
    </xf>
    <xf numFmtId="0" fontId="0" fillId="0" borderId="0" xfId="0" applyAlignment="1" applyProtection="1">
      <alignment vertical="center"/>
      <protection locked="0"/>
    </xf>
    <xf numFmtId="9" fontId="81" fillId="0" borderId="0" xfId="0" applyNumberFormat="1" applyFont="1" applyAlignment="1" applyProtection="1">
      <alignment horizontal="left" vertical="center" wrapText="1"/>
      <protection locked="0"/>
    </xf>
    <xf numFmtId="0" fontId="8" fillId="0" borderId="0" xfId="0" applyFont="1" applyProtection="1">
      <protection locked="0"/>
    </xf>
    <xf numFmtId="9" fontId="81" fillId="3" borderId="0" xfId="0" applyNumberFormat="1" applyFont="1" applyFill="1" applyAlignment="1" applyProtection="1">
      <alignment horizontal="left" vertical="center" wrapText="1"/>
      <protection locked="0"/>
    </xf>
    <xf numFmtId="9" fontId="81" fillId="37" borderId="0" xfId="0" applyNumberFormat="1" applyFont="1" applyFill="1" applyAlignment="1" applyProtection="1">
      <alignment horizontal="left" vertical="center" wrapText="1"/>
      <protection locked="0"/>
    </xf>
    <xf numFmtId="0" fontId="76" fillId="13" borderId="0" xfId="0" applyFont="1" applyFill="1" applyAlignment="1">
      <alignment horizontal="left" vertical="top"/>
    </xf>
    <xf numFmtId="0" fontId="81" fillId="3" borderId="0" xfId="0" applyFont="1" applyFill="1" applyAlignment="1">
      <alignment horizontal="left" vertical="center" wrapText="1"/>
    </xf>
    <xf numFmtId="0" fontId="76" fillId="13" borderId="0" xfId="0" applyFont="1" applyFill="1" applyAlignment="1">
      <alignment horizontal="left" vertical="top" wrapText="1"/>
    </xf>
    <xf numFmtId="0" fontId="76" fillId="13" borderId="0" xfId="0" applyFont="1" applyFill="1" applyAlignment="1" applyProtection="1">
      <alignment horizontal="left" vertical="top"/>
      <protection locked="0"/>
    </xf>
    <xf numFmtId="0" fontId="84" fillId="13" borderId="0" xfId="0" applyFont="1" applyFill="1" applyAlignment="1" applyProtection="1">
      <alignment vertical="center"/>
      <protection locked="0"/>
    </xf>
    <xf numFmtId="0" fontId="0" fillId="13" borderId="0" xfId="0" quotePrefix="1" applyFill="1" applyAlignment="1" applyProtection="1">
      <alignment vertical="center"/>
      <protection locked="0"/>
    </xf>
    <xf numFmtId="0" fontId="0" fillId="13" borderId="0" xfId="0" applyFill="1" applyProtection="1">
      <protection locked="0"/>
    </xf>
    <xf numFmtId="0" fontId="16" fillId="3" borderId="0" xfId="0" applyFont="1" applyFill="1" applyAlignment="1" applyProtection="1">
      <alignment horizontal="left" wrapText="1"/>
      <protection locked="0"/>
    </xf>
    <xf numFmtId="0" fontId="85" fillId="13" borderId="0" xfId="0" applyFont="1" applyFill="1" applyAlignment="1">
      <alignment vertical="center"/>
    </xf>
    <xf numFmtId="0" fontId="62" fillId="2" borderId="0" xfId="0" applyFont="1" applyFill="1" applyAlignment="1" applyProtection="1">
      <alignment horizontal="center" vertical="center"/>
      <protection locked="0"/>
    </xf>
    <xf numFmtId="0" fontId="81" fillId="0" borderId="0" xfId="0" applyFont="1" applyAlignment="1" applyProtection="1">
      <alignment horizontal="left" vertical="center" wrapText="1"/>
      <protection locked="0"/>
    </xf>
    <xf numFmtId="0" fontId="76" fillId="13" borderId="0" xfId="0" applyFont="1" applyFill="1" applyAlignment="1">
      <alignment horizontal="left" vertical="center"/>
    </xf>
    <xf numFmtId="0" fontId="80" fillId="35" borderId="0" xfId="0" applyFont="1" applyFill="1" applyAlignment="1" applyProtection="1">
      <alignment horizontal="left" vertical="center" wrapText="1"/>
      <protection locked="0"/>
    </xf>
    <xf numFmtId="0" fontId="86" fillId="13" borderId="0" xfId="0" applyFont="1" applyFill="1" applyAlignment="1">
      <alignment vertical="center"/>
    </xf>
    <xf numFmtId="0" fontId="8" fillId="0" borderId="0" xfId="0" applyFont="1" applyAlignment="1" applyProtection="1">
      <alignment vertical="center"/>
      <protection locked="0"/>
    </xf>
    <xf numFmtId="9" fontId="81" fillId="0" borderId="0" xfId="1" applyFont="1" applyAlignment="1" applyProtection="1">
      <alignment horizontal="left" vertical="center" wrapText="1"/>
      <protection locked="0"/>
    </xf>
    <xf numFmtId="0" fontId="16" fillId="13" borderId="0" xfId="0" applyFont="1" applyFill="1" applyAlignment="1">
      <alignment horizontal="left" wrapText="1"/>
    </xf>
    <xf numFmtId="178" fontId="70" fillId="12" borderId="82" xfId="4" applyNumberFormat="1" applyFill="1" applyBorder="1" applyAlignment="1" applyProtection="1">
      <alignment horizontal="center" vertical="center"/>
      <protection locked="0"/>
    </xf>
    <xf numFmtId="0" fontId="20" fillId="35" borderId="0" xfId="0" applyFont="1" applyFill="1" applyAlignment="1">
      <alignment vertical="center"/>
    </xf>
    <xf numFmtId="0" fontId="8" fillId="13" borderId="0" xfId="0" applyFont="1" applyFill="1" applyAlignment="1">
      <alignment vertical="center"/>
    </xf>
    <xf numFmtId="0" fontId="8" fillId="0" borderId="0" xfId="0" applyFont="1" applyAlignment="1">
      <alignment vertical="center"/>
    </xf>
    <xf numFmtId="0" fontId="0" fillId="13" borderId="0" xfId="0" applyFill="1" applyAlignment="1">
      <alignment horizontal="center"/>
    </xf>
    <xf numFmtId="0" fontId="76" fillId="13" borderId="0" xfId="0" applyFont="1" applyFill="1" applyAlignment="1">
      <alignment horizontal="justify" vertical="top"/>
    </xf>
    <xf numFmtId="0" fontId="20" fillId="13" borderId="0" xfId="0" applyFont="1" applyFill="1" applyAlignment="1">
      <alignment vertical="top"/>
    </xf>
    <xf numFmtId="0" fontId="80" fillId="13" borderId="0" xfId="0" applyFont="1" applyFill="1" applyAlignment="1">
      <alignment vertical="top" wrapText="1"/>
    </xf>
    <xf numFmtId="0" fontId="90" fillId="0" borderId="0" xfId="0" applyFont="1" applyAlignment="1">
      <alignment horizontal="left" vertical="center" indent="5"/>
    </xf>
    <xf numFmtId="0" fontId="91" fillId="0" borderId="0" xfId="0" applyFont="1" applyAlignment="1">
      <alignment horizontal="justify" vertical="center"/>
    </xf>
    <xf numFmtId="0" fontId="91" fillId="0" borderId="0" xfId="0" applyFont="1" applyAlignment="1">
      <alignment horizontal="justify" vertical="center" wrapText="1"/>
    </xf>
    <xf numFmtId="0" fontId="91" fillId="3" borderId="0" xfId="0" applyFont="1" applyFill="1" applyAlignment="1">
      <alignment horizontal="justify" vertical="center" wrapText="1"/>
    </xf>
    <xf numFmtId="0" fontId="91" fillId="13" borderId="0" xfId="0" applyFont="1" applyFill="1" applyAlignment="1">
      <alignment horizontal="justify" vertical="center" wrapText="1"/>
    </xf>
    <xf numFmtId="0" fontId="76" fillId="35" borderId="0" xfId="0" applyFont="1" applyFill="1" applyAlignment="1">
      <alignment horizontal="center" vertical="center" wrapText="1"/>
    </xf>
    <xf numFmtId="0" fontId="11" fillId="13" borderId="0" xfId="0" applyFont="1" applyFill="1" applyAlignment="1">
      <alignment vertical="center" wrapText="1"/>
    </xf>
    <xf numFmtId="0" fontId="76" fillId="35" borderId="0" xfId="0" applyFont="1" applyFill="1" applyAlignment="1">
      <alignment vertical="center" wrapText="1"/>
    </xf>
    <xf numFmtId="0" fontId="0" fillId="6" borderId="0" xfId="0" applyFill="1" applyAlignment="1">
      <alignment vertical="center"/>
    </xf>
    <xf numFmtId="179" fontId="80" fillId="35" borderId="0" xfId="0" applyNumberFormat="1" applyFont="1" applyFill="1" applyAlignment="1">
      <alignment horizontal="left" vertical="center" wrapText="1"/>
    </xf>
    <xf numFmtId="172" fontId="89" fillId="0" borderId="0" xfId="6" applyNumberFormat="1" applyFont="1" applyFill="1" applyProtection="1">
      <protection locked="0"/>
    </xf>
    <xf numFmtId="0" fontId="89" fillId="0" borderId="0" xfId="0" applyFont="1" applyProtection="1">
      <protection locked="0"/>
    </xf>
    <xf numFmtId="0" fontId="95" fillId="35" borderId="0" xfId="0" applyFont="1" applyFill="1" applyAlignment="1">
      <alignment horizontal="left" vertical="top" wrapText="1"/>
    </xf>
    <xf numFmtId="0" fontId="76" fillId="13" borderId="0" xfId="0" applyFont="1" applyFill="1" applyAlignment="1">
      <alignment horizontal="justify" vertical="center"/>
    </xf>
    <xf numFmtId="0" fontId="76" fillId="35" borderId="0" xfId="0" applyFont="1" applyFill="1" applyAlignment="1">
      <alignment horizontal="left" vertical="top" wrapText="1"/>
    </xf>
    <xf numFmtId="0" fontId="80" fillId="13" borderId="51" xfId="0" applyFont="1" applyFill="1" applyBorder="1" applyAlignment="1">
      <alignment horizontal="justify" vertical="center"/>
    </xf>
    <xf numFmtId="0" fontId="20" fillId="13" borderId="51" xfId="0" applyFont="1" applyFill="1" applyBorder="1"/>
    <xf numFmtId="0" fontId="80" fillId="13" borderId="0" xfId="0" applyFont="1" applyFill="1" applyAlignment="1" applyProtection="1">
      <alignment horizontal="justify" vertical="center"/>
      <protection locked="0"/>
    </xf>
    <xf numFmtId="0" fontId="20" fillId="13" borderId="0" xfId="0" applyFont="1" applyFill="1" applyProtection="1">
      <protection locked="0"/>
    </xf>
    <xf numFmtId="0" fontId="76" fillId="13" borderId="0" xfId="0" applyFont="1" applyFill="1" applyAlignment="1" applyProtection="1">
      <alignment horizontal="justify" vertical="center"/>
      <protection locked="0"/>
    </xf>
    <xf numFmtId="0" fontId="14" fillId="13" borderId="0" xfId="0" applyFont="1" applyFill="1" applyAlignment="1">
      <alignment horizontal="left" vertical="center" wrapText="1"/>
    </xf>
    <xf numFmtId="0" fontId="76" fillId="13" borderId="0" xfId="0" applyFont="1" applyFill="1" applyAlignment="1" applyProtection="1">
      <alignment vertical="center"/>
      <protection locked="0"/>
    </xf>
    <xf numFmtId="0" fontId="76" fillId="35" borderId="0" xfId="0" applyFont="1" applyFill="1" applyAlignment="1">
      <alignment vertical="center"/>
    </xf>
    <xf numFmtId="0" fontId="20" fillId="13" borderId="0" xfId="0" applyFont="1" applyFill="1" applyAlignment="1" applyProtection="1">
      <alignment vertical="center"/>
      <protection locked="0"/>
    </xf>
    <xf numFmtId="0" fontId="80" fillId="13" borderId="0" xfId="0" applyFont="1" applyFill="1" applyAlignment="1" applyProtection="1">
      <alignment vertical="center"/>
      <protection locked="0"/>
    </xf>
    <xf numFmtId="0" fontId="80" fillId="13" borderId="0" xfId="0" applyFont="1" applyFill="1" applyAlignment="1" applyProtection="1">
      <alignment horizontal="left" vertical="center"/>
      <protection locked="0"/>
    </xf>
    <xf numFmtId="0" fontId="14" fillId="0" borderId="0" xfId="0" applyFont="1" applyAlignment="1">
      <alignment horizontal="left" vertical="center" wrapText="1"/>
    </xf>
    <xf numFmtId="0" fontId="76" fillId="13" borderId="0" xfId="0" applyFont="1" applyFill="1" applyAlignment="1" applyProtection="1">
      <alignment horizontal="left" vertical="center"/>
      <protection locked="0"/>
    </xf>
    <xf numFmtId="0" fontId="14" fillId="13" borderId="0" xfId="0" applyFont="1" applyFill="1" applyAlignment="1">
      <alignment horizontal="center"/>
    </xf>
    <xf numFmtId="0" fontId="8" fillId="13" borderId="0" xfId="0" applyFont="1" applyFill="1"/>
    <xf numFmtId="0" fontId="99" fillId="13" borderId="0" xfId="0" applyFont="1" applyFill="1" applyAlignment="1">
      <alignment horizontal="left" wrapText="1"/>
    </xf>
    <xf numFmtId="0" fontId="99" fillId="0" borderId="0" xfId="0" applyFont="1" applyAlignment="1">
      <alignment horizontal="left" wrapText="1"/>
    </xf>
    <xf numFmtId="0" fontId="100" fillId="13" borderId="0" xfId="0" applyFont="1" applyFill="1" applyAlignment="1">
      <alignment horizontal="center" vertical="center" wrapText="1"/>
    </xf>
    <xf numFmtId="0" fontId="91" fillId="0" borderId="0" xfId="0" applyFont="1"/>
    <xf numFmtId="0" fontId="16" fillId="0" borderId="0" xfId="0" applyFont="1" applyAlignment="1">
      <alignment vertical="center" wrapText="1"/>
    </xf>
    <xf numFmtId="0" fontId="29" fillId="13" borderId="0" xfId="0" applyFont="1" applyFill="1" applyAlignment="1" applyProtection="1">
      <alignment vertical="center"/>
      <protection locked="0"/>
    </xf>
    <xf numFmtId="0" fontId="62" fillId="13" borderId="0" xfId="0" applyFont="1" applyFill="1" applyAlignment="1" applyProtection="1">
      <alignment horizontal="center" vertical="center"/>
      <protection locked="0"/>
    </xf>
    <xf numFmtId="0" fontId="29" fillId="13" borderId="0" xfId="0" applyFont="1" applyFill="1" applyAlignment="1" applyProtection="1">
      <alignment horizontal="left" vertical="center"/>
      <protection locked="0"/>
    </xf>
    <xf numFmtId="0" fontId="15" fillId="13" borderId="0" xfId="0" quotePrefix="1" applyFont="1" applyFill="1" applyAlignment="1">
      <alignment vertical="center"/>
    </xf>
    <xf numFmtId="0" fontId="27" fillId="13" borderId="0" xfId="0" applyFont="1" applyFill="1" applyAlignment="1">
      <alignment horizontal="left" wrapText="1"/>
    </xf>
    <xf numFmtId="0" fontId="15" fillId="13" borderId="0" xfId="0" applyFont="1" applyFill="1" applyAlignment="1" applyProtection="1">
      <alignment vertical="center"/>
      <protection locked="0"/>
    </xf>
    <xf numFmtId="0" fontId="27" fillId="13" borderId="0" xfId="0" applyFont="1" applyFill="1" applyAlignment="1" applyProtection="1">
      <alignment horizontal="left" vertical="center" wrapText="1"/>
      <protection locked="0"/>
    </xf>
    <xf numFmtId="0" fontId="29" fillId="13" borderId="0" xfId="0" quotePrefix="1" applyFont="1" applyFill="1" applyAlignment="1">
      <alignment vertical="center" wrapText="1"/>
    </xf>
    <xf numFmtId="164" fontId="15" fillId="13" borderId="0" xfId="4" applyNumberFormat="1" applyFont="1" applyFill="1" applyBorder="1" applyAlignment="1" applyProtection="1">
      <alignment horizontal="left" vertical="center"/>
      <protection locked="0"/>
    </xf>
    <xf numFmtId="0" fontId="15" fillId="13" borderId="0" xfId="4" applyFont="1" applyFill="1" applyBorder="1" applyAlignment="1" applyProtection="1">
      <alignment horizontal="left" vertical="top"/>
      <protection locked="0"/>
    </xf>
    <xf numFmtId="0" fontId="15" fillId="13" borderId="0" xfId="4" applyFont="1" applyFill="1" applyBorder="1" applyAlignment="1" applyProtection="1">
      <alignment vertical="top"/>
      <protection locked="0"/>
    </xf>
    <xf numFmtId="0" fontId="15" fillId="13" borderId="102" xfId="4" applyFont="1" applyFill="1" applyBorder="1" applyAlignment="1" applyProtection="1">
      <alignment horizontal="left" vertical="center"/>
      <protection locked="0"/>
    </xf>
    <xf numFmtId="0" fontId="29" fillId="13" borderId="0" xfId="0" applyFont="1" applyFill="1" applyAlignment="1">
      <alignment vertical="center"/>
    </xf>
    <xf numFmtId="0" fontId="70" fillId="40" borderId="118" xfId="4" applyFill="1" applyBorder="1" applyAlignment="1" applyProtection="1">
      <alignment horizontal="left" vertical="top"/>
      <protection locked="0"/>
    </xf>
    <xf numFmtId="0" fontId="81" fillId="40" borderId="0" xfId="0" applyFont="1" applyFill="1" applyAlignment="1" applyProtection="1">
      <alignment horizontal="left" vertical="center" wrapText="1"/>
      <protection locked="0"/>
    </xf>
    <xf numFmtId="0" fontId="70" fillId="12" borderId="0" xfId="4" quotePrefix="1" applyFill="1" applyBorder="1" applyAlignment="1" applyProtection="1">
      <alignment vertical="center" wrapText="1"/>
      <protection locked="0"/>
    </xf>
    <xf numFmtId="0" fontId="95" fillId="13" borderId="0" xfId="0" applyFont="1" applyFill="1" applyAlignment="1">
      <alignment horizontal="left" vertical="top" wrapText="1"/>
    </xf>
    <xf numFmtId="0" fontId="29" fillId="2" borderId="0" xfId="0" applyFont="1" applyFill="1" applyAlignment="1">
      <alignment vertical="center"/>
    </xf>
    <xf numFmtId="0" fontId="15" fillId="13" borderId="0" xfId="0" applyFont="1" applyFill="1" applyAlignment="1">
      <alignment vertical="center" wrapText="1"/>
    </xf>
    <xf numFmtId="172" fontId="89" fillId="0" borderId="0" xfId="6" applyNumberFormat="1" applyFont="1" applyFill="1" applyAlignment="1" applyProtection="1">
      <alignment horizontal="right"/>
      <protection locked="0"/>
    </xf>
    <xf numFmtId="0" fontId="15" fillId="13" borderId="0" xfId="0" applyFont="1" applyFill="1" applyAlignment="1">
      <alignment horizontal="right"/>
    </xf>
    <xf numFmtId="0" fontId="70" fillId="13" borderId="0" xfId="4" quotePrefix="1" applyFill="1" applyBorder="1" applyAlignment="1" applyProtection="1">
      <alignment vertical="center" wrapText="1"/>
      <protection locked="0"/>
    </xf>
    <xf numFmtId="0" fontId="76" fillId="0" borderId="0" xfId="0" applyFont="1" applyAlignment="1">
      <alignment horizontal="left" vertical="top"/>
    </xf>
    <xf numFmtId="0" fontId="102" fillId="0" borderId="0" xfId="0" applyFont="1"/>
    <xf numFmtId="0" fontId="14" fillId="13" borderId="0" xfId="0" applyFont="1" applyFill="1" applyAlignment="1">
      <alignment vertical="center"/>
    </xf>
    <xf numFmtId="0" fontId="62" fillId="13" borderId="0" xfId="0" applyFont="1" applyFill="1" applyAlignment="1">
      <alignment vertical="center" wrapText="1"/>
    </xf>
    <xf numFmtId="0" fontId="15" fillId="13" borderId="0" xfId="0" applyFont="1" applyFill="1" applyAlignment="1">
      <alignment vertical="center"/>
    </xf>
    <xf numFmtId="1" fontId="29" fillId="13" borderId="0" xfId="0" applyNumberFormat="1" applyFont="1" applyFill="1" applyAlignment="1" applyProtection="1">
      <alignment horizontal="center" vertical="center"/>
      <protection locked="0"/>
    </xf>
    <xf numFmtId="10" fontId="29" fillId="13" borderId="0" xfId="0" applyNumberFormat="1" applyFont="1" applyFill="1" applyAlignment="1">
      <alignment vertical="center" wrapText="1"/>
    </xf>
    <xf numFmtId="10" fontId="14" fillId="13" borderId="0" xfId="0" applyNumberFormat="1" applyFont="1" applyFill="1" applyAlignment="1">
      <alignment vertical="center" wrapText="1"/>
    </xf>
    <xf numFmtId="0" fontId="88" fillId="13" borderId="0" xfId="0" applyFont="1" applyFill="1" applyAlignment="1">
      <alignment vertical="center" wrapText="1"/>
    </xf>
    <xf numFmtId="10" fontId="81" fillId="13" borderId="0" xfId="0" applyNumberFormat="1" applyFont="1" applyFill="1" applyAlignment="1">
      <alignment horizontal="left" vertical="center" wrapText="1"/>
    </xf>
    <xf numFmtId="0" fontId="0" fillId="13" borderId="0" xfId="0" applyFill="1" applyAlignment="1" applyProtection="1">
      <alignment vertical="center"/>
      <protection locked="0"/>
    </xf>
    <xf numFmtId="0" fontId="70" fillId="13" borderId="0" xfId="4" applyFill="1" applyBorder="1" applyAlignment="1" applyProtection="1">
      <alignment vertical="center"/>
      <protection locked="0"/>
    </xf>
    <xf numFmtId="0" fontId="91" fillId="13" borderId="0" xfId="0" applyFont="1" applyFill="1"/>
    <xf numFmtId="0" fontId="0" fillId="12" borderId="82" xfId="0" quotePrefix="1" applyFill="1" applyBorder="1" applyAlignment="1">
      <alignment vertical="center" wrapText="1"/>
    </xf>
    <xf numFmtId="0" fontId="0" fillId="40" borderId="4" xfId="0" applyFill="1" applyBorder="1"/>
    <xf numFmtId="0" fontId="70" fillId="12" borderId="4" xfId="4" quotePrefix="1" applyFill="1" applyBorder="1" applyAlignment="1" applyProtection="1">
      <alignment vertical="center"/>
      <protection locked="0"/>
    </xf>
    <xf numFmtId="0" fontId="29" fillId="36" borderId="14" xfId="0" applyFont="1" applyFill="1" applyBorder="1" applyAlignment="1">
      <alignment vertical="center"/>
    </xf>
    <xf numFmtId="0" fontId="103" fillId="12" borderId="15" xfId="4" quotePrefix="1" applyFont="1" applyFill="1" applyBorder="1" applyAlignment="1" applyProtection="1">
      <alignment vertical="center"/>
      <protection locked="0"/>
    </xf>
    <xf numFmtId="0" fontId="15" fillId="2" borderId="88" xfId="0" applyFont="1" applyFill="1" applyBorder="1" applyAlignment="1">
      <alignment vertical="center"/>
    </xf>
    <xf numFmtId="0" fontId="0" fillId="12" borderId="89" xfId="0" applyFill="1" applyBorder="1" applyAlignment="1">
      <alignment horizontal="center" vertical="center"/>
    </xf>
    <xf numFmtId="15" fontId="70" fillId="39" borderId="122" xfId="4" applyNumberFormat="1" applyFill="1" applyBorder="1" applyAlignment="1" applyProtection="1">
      <alignment vertical="center"/>
      <protection locked="0"/>
    </xf>
    <xf numFmtId="0" fontId="70" fillId="39" borderId="122" xfId="4" applyFill="1" applyBorder="1" applyAlignment="1" applyProtection="1">
      <alignment vertical="center"/>
      <protection locked="0"/>
    </xf>
    <xf numFmtId="0" fontId="70" fillId="39" borderId="123" xfId="4" applyFill="1" applyBorder="1" applyAlignment="1" applyProtection="1">
      <alignment vertical="center"/>
      <protection locked="0"/>
    </xf>
    <xf numFmtId="0" fontId="74" fillId="36" borderId="124" xfId="0" applyFont="1" applyFill="1" applyBorder="1" applyAlignment="1">
      <alignment horizontal="left" wrapText="1"/>
    </xf>
    <xf numFmtId="0" fontId="103" fillId="12" borderId="125" xfId="4" quotePrefix="1" applyFont="1" applyFill="1" applyBorder="1" applyAlignment="1" applyProtection="1">
      <alignment vertical="center"/>
      <protection locked="0"/>
    </xf>
    <xf numFmtId="178" fontId="79" fillId="0" borderId="122" xfId="0" applyNumberFormat="1" applyFont="1" applyBorder="1" applyAlignment="1">
      <alignment horizontal="left" vertical="center" wrapText="1"/>
    </xf>
    <xf numFmtId="0" fontId="103" fillId="12" borderId="126" xfId="4" quotePrefix="1" applyFont="1" applyFill="1" applyBorder="1" applyAlignment="1" applyProtection="1">
      <alignment vertical="center"/>
      <protection locked="0"/>
    </xf>
    <xf numFmtId="0" fontId="29" fillId="36" borderId="127" xfId="0" applyFont="1" applyFill="1" applyBorder="1" applyAlignment="1">
      <alignment vertical="center"/>
    </xf>
    <xf numFmtId="0" fontId="103" fillId="12" borderId="128" xfId="4" quotePrefix="1" applyFont="1" applyFill="1" applyBorder="1" applyAlignment="1" applyProtection="1">
      <alignment vertical="center"/>
      <protection locked="0"/>
    </xf>
    <xf numFmtId="0" fontId="29" fillId="36" borderId="125" xfId="0" applyFont="1" applyFill="1" applyBorder="1"/>
    <xf numFmtId="0" fontId="29" fillId="36" borderId="122" xfId="0" applyFont="1" applyFill="1" applyBorder="1"/>
    <xf numFmtId="0" fontId="70" fillId="40" borderId="4" xfId="4" applyFill="1" applyBorder="1" applyAlignment="1" applyProtection="1">
      <alignment horizontal="left" vertical="center"/>
      <protection locked="0"/>
    </xf>
    <xf numFmtId="0" fontId="70" fillId="12" borderId="4" xfId="4" quotePrefix="1" applyFill="1" applyBorder="1" applyAlignment="1" applyProtection="1">
      <alignment vertical="center" wrapText="1"/>
      <protection locked="0"/>
    </xf>
    <xf numFmtId="0" fontId="70" fillId="13" borderId="0" xfId="4" applyFill="1" applyBorder="1" applyAlignment="1" applyProtection="1">
      <alignment horizontal="left" vertical="center"/>
      <protection locked="0"/>
    </xf>
    <xf numFmtId="0" fontId="29" fillId="36" borderId="88" xfId="0" applyFont="1" applyFill="1" applyBorder="1" applyAlignment="1">
      <alignment vertical="center"/>
    </xf>
    <xf numFmtId="0" fontId="74" fillId="36" borderId="89" xfId="0" applyFont="1" applyFill="1" applyBorder="1" applyAlignment="1">
      <alignment horizontal="left" wrapText="1"/>
    </xf>
    <xf numFmtId="178" fontId="70" fillId="41" borderId="129" xfId="4" applyNumberFormat="1" applyFill="1" applyBorder="1" applyAlignment="1" applyProtection="1">
      <alignment horizontal="center" vertical="center"/>
      <protection locked="0"/>
    </xf>
    <xf numFmtId="0" fontId="0" fillId="12" borderId="130" xfId="0" applyFill="1" applyBorder="1" applyAlignment="1">
      <alignment vertical="center" wrapText="1"/>
    </xf>
    <xf numFmtId="0" fontId="91" fillId="0" borderId="0" xfId="0" applyFont="1" applyAlignment="1">
      <alignment wrapText="1"/>
    </xf>
    <xf numFmtId="0" fontId="19" fillId="4" borderId="0" xfId="0" applyFont="1" applyFill="1" applyAlignment="1">
      <alignment horizontal="center" wrapText="1"/>
    </xf>
    <xf numFmtId="0" fontId="70" fillId="39" borderId="123" xfId="4" applyFill="1" applyBorder="1" applyAlignment="1" applyProtection="1">
      <alignment vertical="center" wrapText="1"/>
      <protection locked="0"/>
    </xf>
    <xf numFmtId="0" fontId="70" fillId="13" borderId="0" xfId="4" applyFill="1" applyBorder="1" applyAlignment="1" applyProtection="1">
      <alignment horizontal="left" vertical="top"/>
      <protection locked="0"/>
    </xf>
    <xf numFmtId="0" fontId="70" fillId="13" borderId="0" xfId="4" quotePrefix="1" applyFill="1" applyBorder="1" applyAlignment="1" applyProtection="1">
      <alignment horizontal="center" vertical="center" wrapText="1"/>
      <protection locked="0"/>
    </xf>
    <xf numFmtId="0" fontId="81" fillId="13" borderId="0" xfId="0" applyFont="1" applyFill="1" applyAlignment="1" applyProtection="1">
      <alignment horizontal="left" vertical="center" wrapText="1"/>
      <protection locked="0"/>
    </xf>
    <xf numFmtId="0" fontId="28" fillId="13" borderId="0" xfId="0" applyFont="1" applyFill="1" applyAlignment="1">
      <alignment vertical="center"/>
    </xf>
    <xf numFmtId="0" fontId="11" fillId="14" borderId="13" xfId="0" applyFont="1" applyFill="1" applyBorder="1" applyAlignment="1">
      <alignment horizontal="center" vertical="center" wrapText="1"/>
    </xf>
    <xf numFmtId="0" fontId="102" fillId="40" borderId="123" xfId="0" applyFont="1" applyFill="1" applyBorder="1" applyAlignment="1">
      <alignment horizontal="center" vertical="center"/>
    </xf>
    <xf numFmtId="0" fontId="102" fillId="40" borderId="122" xfId="0" applyFont="1" applyFill="1" applyBorder="1" applyAlignment="1">
      <alignment horizontal="center" vertical="center"/>
    </xf>
    <xf numFmtId="0" fontId="19" fillId="12" borderId="0" xfId="0" applyFont="1" applyFill="1" applyAlignment="1">
      <alignment horizontal="center" vertical="center" wrapText="1"/>
    </xf>
    <xf numFmtId="0" fontId="19" fillId="12" borderId="0" xfId="0" applyFont="1" applyFill="1" applyAlignment="1">
      <alignment horizontal="left" vertical="center" wrapText="1"/>
    </xf>
    <xf numFmtId="0" fontId="19" fillId="12" borderId="0" xfId="0" applyFont="1" applyFill="1" applyAlignment="1">
      <alignment horizontal="center" vertical="top" wrapText="1"/>
    </xf>
    <xf numFmtId="0" fontId="19" fillId="12" borderId="0" xfId="0" applyFont="1" applyFill="1" applyAlignment="1">
      <alignment horizontal="left" vertical="top" wrapText="1"/>
    </xf>
    <xf numFmtId="0" fontId="30" fillId="2" borderId="0" xfId="0" applyFont="1" applyFill="1" applyAlignment="1">
      <alignment horizontal="center" vertical="center" wrapText="1"/>
    </xf>
    <xf numFmtId="0" fontId="30" fillId="2" borderId="0" xfId="0" applyFont="1" applyFill="1" applyAlignment="1" applyProtection="1">
      <alignment horizontal="center" vertical="center"/>
      <protection locked="0"/>
    </xf>
    <xf numFmtId="0" fontId="74" fillId="2" borderId="0" xfId="0" applyFont="1" applyFill="1" applyAlignment="1" applyProtection="1">
      <alignment horizontal="left" vertical="center"/>
      <protection locked="0"/>
    </xf>
    <xf numFmtId="0" fontId="30" fillId="2" borderId="0" xfId="0" applyFont="1" applyFill="1" applyAlignment="1" applyProtection="1">
      <alignment horizontal="left" vertical="center"/>
      <protection locked="0"/>
    </xf>
    <xf numFmtId="0" fontId="62" fillId="2" borderId="0" xfId="0" quotePrefix="1" applyFont="1" applyFill="1" applyAlignment="1">
      <alignment horizontal="center" vertical="center" wrapText="1"/>
    </xf>
    <xf numFmtId="10" fontId="104" fillId="13" borderId="0" xfId="0" applyNumberFormat="1" applyFont="1" applyFill="1" applyAlignment="1">
      <alignment horizontal="left" vertical="center" wrapText="1"/>
    </xf>
    <xf numFmtId="0" fontId="70" fillId="40" borderId="4" xfId="4" applyFill="1" applyBorder="1" applyAlignment="1" applyProtection="1">
      <alignment horizontal="left" vertical="top"/>
      <protection locked="0"/>
    </xf>
    <xf numFmtId="0" fontId="78" fillId="6" borderId="0" xfId="0" applyFont="1" applyFill="1" applyAlignment="1">
      <alignment horizontal="center" vertical="center" wrapText="1"/>
    </xf>
    <xf numFmtId="0" fontId="70" fillId="39" borderId="0" xfId="4" applyFill="1" applyBorder="1" applyAlignment="1" applyProtection="1">
      <alignment vertical="center"/>
      <protection locked="0"/>
    </xf>
    <xf numFmtId="0" fontId="103" fillId="12" borderId="0" xfId="4" quotePrefix="1" applyFont="1" applyFill="1" applyBorder="1" applyAlignment="1" applyProtection="1">
      <alignment vertical="center"/>
      <protection locked="0"/>
    </xf>
    <xf numFmtId="0" fontId="102" fillId="40" borderId="0" xfId="0" applyFont="1" applyFill="1" applyAlignment="1">
      <alignment horizontal="center" vertical="center"/>
    </xf>
    <xf numFmtId="0" fontId="75" fillId="13" borderId="0" xfId="0" applyFont="1" applyFill="1" applyAlignment="1">
      <alignment vertical="center" wrapText="1"/>
    </xf>
    <xf numFmtId="0" fontId="75" fillId="13" borderId="0" xfId="0" applyFont="1" applyFill="1" applyAlignment="1">
      <alignment vertical="top"/>
    </xf>
    <xf numFmtId="168" fontId="81" fillId="11" borderId="0" xfId="0" applyNumberFormat="1" applyFont="1" applyFill="1" applyAlignment="1">
      <alignment horizontal="left" vertical="center" wrapText="1"/>
    </xf>
    <xf numFmtId="0" fontId="62" fillId="2" borderId="0" xfId="0" applyFont="1" applyFill="1" applyAlignment="1" applyProtection="1">
      <alignment horizontal="center" vertical="center" wrapText="1"/>
      <protection locked="0"/>
    </xf>
    <xf numFmtId="0" fontId="107" fillId="0" borderId="0" xfId="0" applyFont="1"/>
    <xf numFmtId="0" fontId="86" fillId="13" borderId="0" xfId="0" applyFont="1" applyFill="1" applyAlignment="1">
      <alignment vertical="center" wrapText="1"/>
    </xf>
    <xf numFmtId="0" fontId="29" fillId="2" borderId="0" xfId="0" applyFont="1" applyFill="1" applyAlignment="1" applyProtection="1">
      <alignment horizontal="center" vertical="center" wrapText="1"/>
      <protection locked="0"/>
    </xf>
    <xf numFmtId="0" fontId="15" fillId="0" borderId="0" xfId="0" applyFont="1"/>
    <xf numFmtId="177" fontId="15" fillId="0" borderId="0" xfId="3" applyNumberFormat="1" applyFont="1" applyBorder="1" applyAlignment="1">
      <alignment vertical="center"/>
    </xf>
    <xf numFmtId="10" fontId="0" fillId="0" borderId="75" xfId="1" applyNumberFormat="1" applyFont="1" applyBorder="1"/>
    <xf numFmtId="10" fontId="0" fillId="0" borderId="74" xfId="1" applyNumberFormat="1" applyFont="1" applyBorder="1"/>
    <xf numFmtId="0" fontId="29" fillId="24" borderId="0" xfId="0" applyFont="1" applyFill="1"/>
    <xf numFmtId="0" fontId="29" fillId="0" borderId="0" xfId="0" applyFont="1"/>
    <xf numFmtId="0" fontId="29" fillId="24" borderId="71" xfId="0" applyFont="1" applyFill="1" applyBorder="1" applyAlignment="1">
      <alignment horizontal="center"/>
    </xf>
    <xf numFmtId="0" fontId="29" fillId="24" borderId="72" xfId="0" applyFont="1" applyFill="1" applyBorder="1" applyAlignment="1">
      <alignment horizontal="center"/>
    </xf>
    <xf numFmtId="168" fontId="14" fillId="11" borderId="77" xfId="0" applyNumberFormat="1" applyFont="1" applyFill="1" applyBorder="1"/>
    <xf numFmtId="0" fontId="29" fillId="24" borderId="4" xfId="0" applyFont="1" applyFill="1" applyBorder="1"/>
    <xf numFmtId="9" fontId="0" fillId="0" borderId="4" xfId="0" applyNumberFormat="1" applyBorder="1"/>
    <xf numFmtId="0" fontId="0" fillId="0" borderId="4" xfId="0" applyBorder="1"/>
    <xf numFmtId="0" fontId="0" fillId="13" borderId="0" xfId="0" applyFill="1" applyAlignment="1">
      <alignment horizontal="right" vertical="center"/>
    </xf>
    <xf numFmtId="0" fontId="19" fillId="13" borderId="0" xfId="0" applyFont="1" applyFill="1" applyAlignment="1">
      <alignment vertical="center"/>
    </xf>
    <xf numFmtId="0" fontId="2" fillId="13" borderId="0" xfId="0" quotePrefix="1" applyFont="1" applyFill="1" applyAlignment="1">
      <alignment horizontal="left" vertical="center"/>
    </xf>
    <xf numFmtId="0" fontId="0" fillId="13" borderId="50" xfId="0" applyFill="1" applyBorder="1"/>
    <xf numFmtId="0" fontId="0" fillId="13" borderId="37" xfId="0" applyFill="1" applyBorder="1" applyAlignment="1">
      <alignment vertical="center"/>
    </xf>
    <xf numFmtId="0" fontId="0" fillId="13" borderId="37" xfId="0" applyFill="1" applyBorder="1"/>
    <xf numFmtId="0" fontId="0" fillId="13" borderId="1" xfId="0" applyFill="1" applyBorder="1"/>
    <xf numFmtId="0" fontId="0" fillId="42" borderId="0" xfId="0" applyFill="1" applyAlignment="1">
      <alignment vertical="center"/>
    </xf>
    <xf numFmtId="0" fontId="28" fillId="42" borderId="0" xfId="0" applyFont="1" applyFill="1" applyAlignment="1">
      <alignment vertical="center"/>
    </xf>
    <xf numFmtId="0" fontId="0" fillId="42" borderId="0" xfId="0" applyFill="1"/>
    <xf numFmtId="0" fontId="0" fillId="13" borderId="17" xfId="0" applyFill="1" applyBorder="1"/>
    <xf numFmtId="0" fontId="108" fillId="13" borderId="0" xfId="0" applyFont="1" applyFill="1"/>
    <xf numFmtId="0" fontId="0" fillId="13" borderId="2" xfId="0" applyFill="1" applyBorder="1"/>
    <xf numFmtId="0" fontId="19" fillId="13" borderId="50" xfId="0" quotePrefix="1" applyFont="1" applyFill="1" applyBorder="1" applyAlignment="1">
      <alignment horizontal="left" vertical="center"/>
    </xf>
    <xf numFmtId="0" fontId="19" fillId="13" borderId="37" xfId="0" quotePrefix="1" applyFont="1" applyFill="1" applyBorder="1" applyAlignment="1">
      <alignment horizontal="left" vertical="top" wrapText="1"/>
    </xf>
    <xf numFmtId="0" fontId="18" fillId="13" borderId="37" xfId="0" applyFont="1" applyFill="1" applyBorder="1" applyAlignment="1">
      <alignment horizontal="center" vertical="center" wrapText="1"/>
    </xf>
    <xf numFmtId="0" fontId="20" fillId="13" borderId="37" xfId="0" quotePrefix="1" applyFont="1" applyFill="1" applyBorder="1" applyAlignment="1">
      <alignment horizontal="center" vertical="center" wrapText="1"/>
    </xf>
    <xf numFmtId="0" fontId="20" fillId="13" borderId="37" xfId="0" applyFont="1" applyFill="1" applyBorder="1" applyAlignment="1">
      <alignment horizontal="center" vertical="center"/>
    </xf>
    <xf numFmtId="0" fontId="20" fillId="13" borderId="37" xfId="0" applyFont="1" applyFill="1" applyBorder="1" applyAlignment="1">
      <alignment horizontal="right" vertical="center"/>
    </xf>
    <xf numFmtId="0" fontId="17" fillId="13" borderId="1" xfId="0" applyFont="1" applyFill="1" applyBorder="1" applyAlignment="1">
      <alignment horizontal="center" vertical="center" wrapText="1"/>
    </xf>
    <xf numFmtId="0" fontId="109" fillId="13" borderId="0" xfId="0" applyFont="1" applyFill="1" applyAlignment="1">
      <alignment horizontal="left" vertical="center" indent="1"/>
    </xf>
    <xf numFmtId="0" fontId="110" fillId="13" borderId="0" xfId="0" applyFont="1" applyFill="1" applyAlignment="1">
      <alignment vertical="center"/>
    </xf>
    <xf numFmtId="0" fontId="20" fillId="13" borderId="17" xfId="0" applyFont="1" applyFill="1" applyBorder="1"/>
    <xf numFmtId="0" fontId="18" fillId="13" borderId="0" xfId="0" applyFont="1" applyFill="1" applyAlignment="1">
      <alignment horizontal="right" vertical="center"/>
    </xf>
    <xf numFmtId="0" fontId="14" fillId="12" borderId="82" xfId="0" applyFont="1" applyFill="1" applyBorder="1" applyAlignment="1">
      <alignment horizontal="center" vertical="center"/>
    </xf>
    <xf numFmtId="0" fontId="0" fillId="13" borderId="0" xfId="0" applyFill="1" applyAlignment="1">
      <alignment horizontal="center" vertical="center"/>
    </xf>
    <xf numFmtId="0" fontId="14" fillId="7" borderId="82" xfId="0" applyFont="1" applyFill="1" applyBorder="1" applyAlignment="1">
      <alignment horizontal="center" vertical="center"/>
    </xf>
    <xf numFmtId="0" fontId="18" fillId="10" borderId="82" xfId="0" applyFont="1" applyFill="1" applyBorder="1" applyAlignment="1">
      <alignment horizontal="center" vertical="center" wrapText="1"/>
    </xf>
    <xf numFmtId="0" fontId="18" fillId="13" borderId="2" xfId="0" applyFont="1" applyFill="1" applyBorder="1" applyAlignment="1">
      <alignment horizontal="center" vertical="center" wrapText="1"/>
    </xf>
    <xf numFmtId="0" fontId="19" fillId="13" borderId="0" xfId="0" applyFont="1" applyFill="1" applyAlignment="1">
      <alignment horizontal="left" indent="1"/>
    </xf>
    <xf numFmtId="0" fontId="20" fillId="13" borderId="17" xfId="0" applyFont="1" applyFill="1" applyBorder="1" applyAlignment="1">
      <alignment horizontal="right" vertical="center"/>
    </xf>
    <xf numFmtId="0" fontId="18" fillId="13" borderId="0" xfId="0" applyFont="1" applyFill="1" applyAlignment="1">
      <alignment vertical="center"/>
    </xf>
    <xf numFmtId="0" fontId="35" fillId="13" borderId="0" xfId="0" quotePrefix="1" applyFont="1" applyFill="1" applyAlignment="1">
      <alignment horizontal="left" vertical="center" wrapText="1"/>
    </xf>
    <xf numFmtId="0" fontId="35" fillId="13" borderId="17" xfId="0" applyFont="1" applyFill="1" applyBorder="1" applyAlignment="1">
      <alignment horizontal="right" vertical="center"/>
    </xf>
    <xf numFmtId="0" fontId="34" fillId="13" borderId="0" xfId="0" applyFont="1" applyFill="1" applyAlignment="1">
      <alignment horizontal="right" vertical="center"/>
    </xf>
    <xf numFmtId="170" fontId="0" fillId="12" borderId="4" xfId="0" applyNumberFormat="1" applyFill="1" applyBorder="1" applyAlignment="1">
      <alignment vertical="center"/>
    </xf>
    <xf numFmtId="170" fontId="0" fillId="13" borderId="0" xfId="0" applyNumberFormat="1" applyFill="1" applyAlignment="1">
      <alignment vertical="center"/>
    </xf>
    <xf numFmtId="170" fontId="0" fillId="7" borderId="4" xfId="0" applyNumberFormat="1" applyFill="1" applyBorder="1" applyAlignment="1">
      <alignment vertical="center"/>
    </xf>
    <xf numFmtId="170" fontId="0" fillId="13" borderId="0" xfId="0" applyNumberFormat="1" applyFill="1"/>
    <xf numFmtId="170" fontId="0" fillId="10" borderId="4" xfId="0" applyNumberFormat="1" applyFill="1" applyBorder="1" applyAlignment="1">
      <alignment vertical="center"/>
    </xf>
    <xf numFmtId="170" fontId="0" fillId="13" borderId="2" xfId="0" applyNumberFormat="1" applyFill="1" applyBorder="1" applyAlignment="1">
      <alignment vertical="center"/>
    </xf>
    <xf numFmtId="164" fontId="34" fillId="13" borderId="0" xfId="0" applyNumberFormat="1" applyFont="1" applyFill="1" applyAlignment="1">
      <alignment horizontal="right" vertical="center"/>
    </xf>
    <xf numFmtId="0" fontId="19" fillId="13" borderId="17" xfId="0" applyFont="1" applyFill="1" applyBorder="1" applyAlignment="1">
      <alignment vertical="center" wrapText="1"/>
    </xf>
    <xf numFmtId="0" fontId="19" fillId="13" borderId="0" xfId="0" applyFont="1" applyFill="1" applyAlignment="1">
      <alignment vertical="center" wrapText="1"/>
    </xf>
    <xf numFmtId="0" fontId="0" fillId="13" borderId="47" xfId="0" applyFill="1" applyBorder="1" applyAlignment="1">
      <alignment vertical="center"/>
    </xf>
    <xf numFmtId="0" fontId="35" fillId="13" borderId="59" xfId="0" quotePrefix="1" applyFont="1" applyFill="1" applyBorder="1" applyAlignment="1">
      <alignment vertical="center" wrapText="1"/>
    </xf>
    <xf numFmtId="0" fontId="35" fillId="13" borderId="3" xfId="0" quotePrefix="1" applyFont="1" applyFill="1" applyBorder="1" applyAlignment="1">
      <alignment vertical="center" wrapText="1"/>
    </xf>
    <xf numFmtId="0" fontId="2" fillId="13" borderId="0" xfId="0" applyFont="1" applyFill="1"/>
    <xf numFmtId="0" fontId="19" fillId="13" borderId="0" xfId="0" applyFont="1" applyFill="1" applyAlignment="1">
      <alignment horizontal="left" vertical="center" indent="1"/>
    </xf>
    <xf numFmtId="0" fontId="35" fillId="13" borderId="0" xfId="0" quotePrefix="1" applyFont="1" applyFill="1" applyAlignment="1">
      <alignment vertical="center" wrapText="1"/>
    </xf>
    <xf numFmtId="0" fontId="109" fillId="13" borderId="0" xfId="0" applyFont="1" applyFill="1"/>
    <xf numFmtId="0" fontId="17" fillId="13" borderId="0" xfId="0" applyFont="1" applyFill="1" applyAlignment="1">
      <alignment horizontal="center"/>
    </xf>
    <xf numFmtId="0" fontId="20" fillId="13" borderId="0" xfId="0" applyFont="1" applyFill="1" applyAlignment="1">
      <alignment horizontal="right" vertical="center"/>
    </xf>
    <xf numFmtId="0" fontId="33" fillId="13" borderId="121" xfId="0" applyFont="1" applyFill="1" applyBorder="1" applyAlignment="1">
      <alignment horizontal="left" vertical="center" indent="1"/>
    </xf>
    <xf numFmtId="0" fontId="14" fillId="13" borderId="42" xfId="0" applyFont="1" applyFill="1" applyBorder="1" applyAlignment="1">
      <alignment horizontal="right" vertical="center"/>
    </xf>
    <xf numFmtId="170" fontId="0" fillId="13" borderId="42" xfId="0" applyNumberFormat="1" applyFill="1" applyBorder="1" applyAlignment="1">
      <alignment vertical="center"/>
    </xf>
    <xf numFmtId="170" fontId="0" fillId="13" borderId="131" xfId="0" applyNumberFormat="1" applyFill="1" applyBorder="1" applyAlignment="1">
      <alignment vertical="center"/>
    </xf>
    <xf numFmtId="0" fontId="35" fillId="0" borderId="17" xfId="0" applyFont="1" applyBorder="1" applyAlignment="1">
      <alignment horizontal="right" vertical="center"/>
    </xf>
    <xf numFmtId="170" fontId="0" fillId="8" borderId="4" xfId="0" applyNumberFormat="1" applyFill="1" applyBorder="1" applyAlignment="1">
      <alignment vertical="center"/>
    </xf>
    <xf numFmtId="0" fontId="20" fillId="13" borderId="17" xfId="0" applyFont="1" applyFill="1" applyBorder="1" applyAlignment="1">
      <alignment vertical="center"/>
    </xf>
    <xf numFmtId="168" fontId="72" fillId="13" borderId="0" xfId="5" applyNumberFormat="1" applyFont="1" applyFill="1" applyBorder="1" applyAlignment="1">
      <alignment horizontal="center"/>
    </xf>
    <xf numFmtId="9" fontId="114" fillId="13" borderId="0" xfId="7" applyFont="1" applyFill="1" applyBorder="1" applyAlignment="1">
      <alignment horizontal="center" vertical="center"/>
    </xf>
    <xf numFmtId="0" fontId="19" fillId="0" borderId="0" xfId="0" applyFont="1" applyAlignment="1">
      <alignment horizontal="left" vertical="center" indent="1"/>
    </xf>
    <xf numFmtId="0" fontId="20" fillId="13" borderId="0" xfId="0" applyFont="1" applyFill="1" applyAlignment="1">
      <alignment vertical="center"/>
    </xf>
    <xf numFmtId="0" fontId="61" fillId="13" borderId="0" xfId="0" applyFont="1" applyFill="1" applyAlignment="1">
      <alignment horizontal="left" vertical="center"/>
    </xf>
    <xf numFmtId="0" fontId="114" fillId="13" borderId="0" xfId="0" applyFont="1" applyFill="1"/>
    <xf numFmtId="0" fontId="35" fillId="13" borderId="132" xfId="0" applyFont="1" applyFill="1" applyBorder="1" applyAlignment="1">
      <alignment horizontal="right" vertical="center"/>
    </xf>
    <xf numFmtId="0" fontId="20" fillId="13" borderId="51" xfId="0" applyFont="1" applyFill="1" applyBorder="1" applyAlignment="1">
      <alignment horizontal="right" vertical="center"/>
    </xf>
    <xf numFmtId="170" fontId="0" fillId="13" borderId="51" xfId="0" applyNumberFormat="1" applyFill="1" applyBorder="1" applyAlignment="1">
      <alignment vertical="center"/>
    </xf>
    <xf numFmtId="170" fontId="0" fillId="13" borderId="133" xfId="0" applyNumberFormat="1" applyFill="1" applyBorder="1" applyAlignment="1">
      <alignment vertical="center"/>
    </xf>
    <xf numFmtId="0" fontId="14" fillId="13" borderId="17" xfId="0" applyFont="1" applyFill="1" applyBorder="1" applyAlignment="1">
      <alignment horizontal="left" vertical="center" indent="1"/>
    </xf>
    <xf numFmtId="0" fontId="34" fillId="13" borderId="0" xfId="0" applyFont="1" applyFill="1" applyAlignment="1">
      <alignment vertical="center"/>
    </xf>
    <xf numFmtId="170" fontId="14" fillId="13" borderId="82" xfId="0" applyNumberFormat="1" applyFont="1" applyFill="1" applyBorder="1" applyAlignment="1">
      <alignment vertical="center"/>
    </xf>
    <xf numFmtId="170" fontId="14" fillId="0" borderId="0" xfId="0" applyNumberFormat="1" applyFont="1" applyAlignment="1">
      <alignment vertical="center"/>
    </xf>
    <xf numFmtId="170" fontId="14" fillId="13" borderId="0" xfId="0" applyNumberFormat="1" applyFont="1" applyFill="1" applyAlignment="1">
      <alignment vertical="center"/>
    </xf>
    <xf numFmtId="170" fontId="14" fillId="37" borderId="82" xfId="0" applyNumberFormat="1" applyFont="1" applyFill="1" applyBorder="1" applyAlignment="1">
      <alignment vertical="center"/>
    </xf>
    <xf numFmtId="170" fontId="14" fillId="13" borderId="2" xfId="0" applyNumberFormat="1" applyFont="1" applyFill="1" applyBorder="1" applyAlignment="1">
      <alignment vertical="center"/>
    </xf>
    <xf numFmtId="0" fontId="0" fillId="13" borderId="47" xfId="0" applyFill="1" applyBorder="1" applyAlignment="1">
      <alignment horizontal="right" vertical="center"/>
    </xf>
    <xf numFmtId="0" fontId="0" fillId="13" borderId="59" xfId="0" applyFill="1" applyBorder="1" applyAlignment="1">
      <alignment vertical="center"/>
    </xf>
    <xf numFmtId="0" fontId="18" fillId="13" borderId="59" xfId="0" applyFont="1" applyFill="1" applyBorder="1" applyAlignment="1">
      <alignment horizontal="center" vertical="center"/>
    </xf>
    <xf numFmtId="0" fontId="0" fillId="13" borderId="3" xfId="0" applyFill="1" applyBorder="1" applyAlignment="1">
      <alignment vertical="center"/>
    </xf>
    <xf numFmtId="0" fontId="16" fillId="13" borderId="0" xfId="0" applyFont="1" applyFill="1" applyAlignment="1">
      <alignment vertical="top"/>
    </xf>
    <xf numFmtId="0" fontId="115" fillId="13" borderId="0" xfId="0" applyFont="1" applyFill="1" applyAlignment="1">
      <alignment vertical="top"/>
    </xf>
    <xf numFmtId="0" fontId="116" fillId="13" borderId="0" xfId="0" applyFont="1" applyFill="1"/>
    <xf numFmtId="0" fontId="109" fillId="13" borderId="0" xfId="0" applyFont="1" applyFill="1" applyAlignment="1">
      <alignment vertical="center"/>
    </xf>
    <xf numFmtId="10" fontId="17" fillId="13" borderId="0" xfId="0" applyNumberFormat="1" applyFont="1" applyFill="1" applyAlignment="1">
      <alignment horizontal="center" vertical="center"/>
    </xf>
    <xf numFmtId="10" fontId="118" fillId="13" borderId="0" xfId="0" applyNumberFormat="1" applyFont="1" applyFill="1" applyAlignment="1">
      <alignment horizontal="left" vertical="center"/>
    </xf>
    <xf numFmtId="0" fontId="117" fillId="13" borderId="0" xfId="0" applyFont="1" applyFill="1"/>
    <xf numFmtId="0" fontId="20" fillId="0" borderId="0" xfId="0" applyFont="1" applyAlignment="1">
      <alignment vertical="center"/>
    </xf>
    <xf numFmtId="10" fontId="119" fillId="13" borderId="0" xfId="0" applyNumberFormat="1" applyFont="1" applyFill="1"/>
    <xf numFmtId="10" fontId="120" fillId="13" borderId="0" xfId="0" applyNumberFormat="1" applyFont="1" applyFill="1" applyAlignment="1">
      <alignment horizontal="right"/>
    </xf>
    <xf numFmtId="10" fontId="121" fillId="13" borderId="0" xfId="0" applyNumberFormat="1" applyFont="1" applyFill="1" applyAlignment="1">
      <alignment horizontal="right"/>
    </xf>
    <xf numFmtId="10" fontId="121" fillId="13" borderId="0" xfId="0" applyNumberFormat="1" applyFont="1" applyFill="1" applyAlignment="1">
      <alignment horizontal="right" vertical="top"/>
    </xf>
    <xf numFmtId="0" fontId="0" fillId="0" borderId="0" xfId="0" applyAlignment="1" applyProtection="1">
      <alignment vertical="center" wrapText="1"/>
      <protection locked="0"/>
    </xf>
    <xf numFmtId="0" fontId="0" fillId="0" borderId="0" xfId="0" applyAlignment="1" applyProtection="1">
      <alignment wrapText="1"/>
      <protection locked="0"/>
    </xf>
    <xf numFmtId="0" fontId="0" fillId="13" borderId="0" xfId="0" applyFill="1" applyAlignment="1" applyProtection="1">
      <alignment wrapText="1"/>
      <protection locked="0"/>
    </xf>
    <xf numFmtId="168" fontId="0" fillId="0" borderId="0" xfId="0" applyNumberFormat="1" applyAlignment="1" applyProtection="1">
      <alignment horizontal="center" wrapText="1"/>
      <protection locked="0"/>
    </xf>
    <xf numFmtId="44" fontId="0" fillId="0" borderId="0" xfId="0" applyNumberFormat="1" applyAlignment="1" applyProtection="1">
      <alignment wrapText="1"/>
      <protection locked="0"/>
    </xf>
    <xf numFmtId="9" fontId="0" fillId="0" borderId="0" xfId="0" applyNumberFormat="1" applyAlignment="1" applyProtection="1">
      <alignment wrapText="1"/>
      <protection locked="0"/>
    </xf>
    <xf numFmtId="0" fontId="0" fillId="0" borderId="0" xfId="0" applyAlignment="1" applyProtection="1">
      <alignment horizontal="center" vertical="center" wrapText="1"/>
      <protection locked="0"/>
    </xf>
    <xf numFmtId="9" fontId="0" fillId="0" borderId="0" xfId="1" applyFont="1" applyAlignment="1" applyProtection="1">
      <alignment horizontal="center" vertical="center" wrapText="1"/>
      <protection locked="0"/>
    </xf>
    <xf numFmtId="0" fontId="0" fillId="0" borderId="0" xfId="0" applyAlignment="1" applyProtection="1">
      <alignment horizontal="center" vertical="center"/>
      <protection locked="0"/>
    </xf>
    <xf numFmtId="0" fontId="31" fillId="0" borderId="0" xfId="0" applyFont="1" applyAlignment="1" applyProtection="1">
      <alignment vertical="center" wrapText="1"/>
      <protection locked="0"/>
    </xf>
    <xf numFmtId="0" fontId="0" fillId="13" borderId="0" xfId="0" applyFill="1" applyAlignment="1" applyProtection="1">
      <alignment horizontal="center" vertical="center" wrapText="1"/>
      <protection locked="0"/>
    </xf>
    <xf numFmtId="0" fontId="6" fillId="13" borderId="0" xfId="0" applyFont="1" applyFill="1" applyAlignment="1" applyProtection="1">
      <alignment horizontal="center" wrapText="1"/>
      <protection locked="0"/>
    </xf>
    <xf numFmtId="168" fontId="2" fillId="8" borderId="129" xfId="0" applyNumberFormat="1" applyFont="1" applyFill="1" applyBorder="1" applyAlignment="1" applyProtection="1">
      <alignment horizontal="center" vertical="center" wrapText="1"/>
      <protection locked="0"/>
    </xf>
    <xf numFmtId="168" fontId="2" fillId="8" borderId="134" xfId="0" applyNumberFormat="1" applyFont="1" applyFill="1" applyBorder="1" applyAlignment="1" applyProtection="1">
      <alignment horizontal="center" vertical="center" wrapText="1"/>
      <protection locked="0"/>
    </xf>
    <xf numFmtId="9" fontId="2" fillId="8" borderId="135" xfId="0" applyNumberFormat="1" applyFont="1" applyFill="1" applyBorder="1" applyAlignment="1" applyProtection="1">
      <alignment horizontal="center" vertical="center" wrapText="1"/>
      <protection locked="0"/>
    </xf>
    <xf numFmtId="3" fontId="2" fillId="8" borderId="129" xfId="0" applyNumberFormat="1" applyFont="1" applyFill="1" applyBorder="1" applyAlignment="1" applyProtection="1">
      <alignment horizontal="center" vertical="center" wrapText="1"/>
      <protection locked="0"/>
    </xf>
    <xf numFmtId="10" fontId="2" fillId="8" borderId="134" xfId="0" applyNumberFormat="1" applyFont="1" applyFill="1" applyBorder="1" applyAlignment="1" applyProtection="1">
      <alignment horizontal="center" vertical="center" wrapText="1"/>
      <protection locked="0"/>
    </xf>
    <xf numFmtId="1" fontId="2" fillId="8" borderId="130" xfId="0" applyNumberFormat="1" applyFont="1" applyFill="1" applyBorder="1" applyAlignment="1" applyProtection="1">
      <alignment horizontal="center" vertical="center" wrapText="1"/>
      <protection locked="0"/>
    </xf>
    <xf numFmtId="44" fontId="2" fillId="8" borderId="134" xfId="0" applyNumberFormat="1" applyFont="1" applyFill="1" applyBorder="1" applyAlignment="1" applyProtection="1">
      <alignment horizontal="center" vertical="center" wrapText="1"/>
      <protection locked="0"/>
    </xf>
    <xf numFmtId="168" fontId="2" fillId="8" borderId="134" xfId="8" applyNumberFormat="1" applyFont="1" applyFill="1" applyBorder="1" applyAlignment="1" applyProtection="1">
      <alignment horizontal="center" vertical="center" wrapText="1"/>
      <protection locked="0"/>
    </xf>
    <xf numFmtId="9" fontId="2" fillId="8" borderId="134" xfId="1" applyFont="1" applyFill="1" applyBorder="1" applyAlignment="1" applyProtection="1">
      <alignment horizontal="center" vertical="center" wrapText="1"/>
      <protection locked="0"/>
    </xf>
    <xf numFmtId="9" fontId="9" fillId="8" borderId="130" xfId="1" applyFont="1" applyFill="1" applyBorder="1" applyAlignment="1" applyProtection="1">
      <alignment horizontal="center" vertical="center"/>
      <protection locked="0"/>
    </xf>
    <xf numFmtId="0" fontId="6" fillId="0" borderId="0" xfId="0" applyFont="1" applyAlignment="1" applyProtection="1">
      <alignment horizontal="center"/>
      <protection locked="0"/>
    </xf>
    <xf numFmtId="0" fontId="6" fillId="0" borderId="0" xfId="0" applyFont="1" applyAlignment="1" applyProtection="1">
      <alignment vertical="center" wrapText="1"/>
      <protection locked="0"/>
    </xf>
    <xf numFmtId="0" fontId="6" fillId="0" borderId="0" xfId="0" applyFont="1" applyAlignment="1" applyProtection="1">
      <alignment horizontal="center" wrapText="1"/>
      <protection locked="0"/>
    </xf>
    <xf numFmtId="168" fontId="57" fillId="43" borderId="129" xfId="0" applyNumberFormat="1" applyFont="1" applyFill="1" applyBorder="1" applyAlignment="1" applyProtection="1">
      <alignment horizontal="center" vertical="center" wrapText="1"/>
      <protection locked="0"/>
    </xf>
    <xf numFmtId="168" fontId="57" fillId="43" borderId="134" xfId="0" applyNumberFormat="1" applyFont="1" applyFill="1" applyBorder="1" applyAlignment="1" applyProtection="1">
      <alignment horizontal="center" vertical="center" wrapText="1"/>
      <protection locked="0"/>
    </xf>
    <xf numFmtId="9" fontId="57" fillId="43" borderId="135" xfId="0" applyNumberFormat="1" applyFont="1" applyFill="1" applyBorder="1" applyAlignment="1" applyProtection="1">
      <alignment horizontal="center" vertical="center" wrapText="1"/>
      <protection locked="0"/>
    </xf>
    <xf numFmtId="10" fontId="57" fillId="43" borderId="134" xfId="1" applyNumberFormat="1" applyFont="1" applyFill="1" applyBorder="1" applyAlignment="1" applyProtection="1">
      <alignment horizontal="center" vertical="center" wrapText="1"/>
      <protection locked="0"/>
    </xf>
    <xf numFmtId="175" fontId="57" fillId="43" borderId="130" xfId="0" applyNumberFormat="1" applyFont="1" applyFill="1" applyBorder="1" applyAlignment="1" applyProtection="1">
      <alignment horizontal="center" vertical="center" wrapText="1"/>
      <protection locked="0"/>
    </xf>
    <xf numFmtId="180" fontId="57" fillId="43" borderId="129" xfId="0" applyNumberFormat="1" applyFont="1" applyFill="1" applyBorder="1" applyAlignment="1" applyProtection="1">
      <alignment horizontal="center" vertical="center" wrapText="1"/>
      <protection locked="0"/>
    </xf>
    <xf numFmtId="10" fontId="57" fillId="43" borderId="134" xfId="0" applyNumberFormat="1" applyFont="1" applyFill="1" applyBorder="1" applyAlignment="1" applyProtection="1">
      <alignment horizontal="center" vertical="center" wrapText="1"/>
      <protection locked="0"/>
    </xf>
    <xf numFmtId="0" fontId="57" fillId="43" borderId="130" xfId="0" applyFont="1" applyFill="1" applyBorder="1" applyAlignment="1" applyProtection="1">
      <alignment horizontal="center" vertical="center" wrapText="1"/>
      <protection locked="0"/>
    </xf>
    <xf numFmtId="9" fontId="57" fillId="43" borderId="134" xfId="1" applyFont="1" applyFill="1" applyBorder="1" applyAlignment="1" applyProtection="1">
      <alignment horizontal="center" vertical="center" wrapText="1"/>
      <protection locked="0"/>
    </xf>
    <xf numFmtId="10" fontId="57" fillId="43" borderId="130" xfId="1" applyNumberFormat="1" applyFont="1" applyFill="1" applyBorder="1" applyAlignment="1" applyProtection="1">
      <alignment horizontal="center" vertical="center" wrapText="1"/>
      <protection locked="0"/>
    </xf>
    <xf numFmtId="9" fontId="0" fillId="0" borderId="0" xfId="1" applyFont="1" applyAlignment="1" applyProtection="1">
      <alignment horizontal="center" vertical="center"/>
      <protection locked="0"/>
    </xf>
    <xf numFmtId="0" fontId="0" fillId="13" borderId="0" xfId="0" applyFill="1" applyAlignment="1" applyProtection="1">
      <alignment horizontal="center"/>
      <protection locked="0"/>
    </xf>
    <xf numFmtId="0" fontId="0" fillId="0" borderId="0" xfId="0" applyAlignment="1" applyProtection="1">
      <alignment horizontal="center"/>
      <protection locked="0"/>
    </xf>
    <xf numFmtId="44" fontId="4" fillId="29" borderId="129" xfId="0" applyNumberFormat="1" applyFont="1" applyFill="1" applyBorder="1" applyAlignment="1" applyProtection="1">
      <alignment horizontal="center" vertical="center" wrapText="1"/>
      <protection locked="0"/>
    </xf>
    <xf numFmtId="44" fontId="4" fillId="29" borderId="134" xfId="0" applyNumberFormat="1" applyFont="1" applyFill="1" applyBorder="1" applyAlignment="1" applyProtection="1">
      <alignment horizontal="center" vertical="center" wrapText="1"/>
      <protection locked="0"/>
    </xf>
    <xf numFmtId="0" fontId="4" fillId="29" borderId="134" xfId="0" applyFont="1" applyFill="1" applyBorder="1" applyAlignment="1" applyProtection="1">
      <alignment horizontal="center" vertical="center" wrapText="1"/>
      <protection locked="0"/>
    </xf>
    <xf numFmtId="9" fontId="4" fillId="29" borderId="134" xfId="1" applyFont="1" applyFill="1" applyBorder="1" applyAlignment="1" applyProtection="1">
      <alignment horizontal="center" vertical="center" wrapText="1"/>
      <protection locked="0"/>
    </xf>
    <xf numFmtId="10" fontId="4" fillId="29" borderId="134" xfId="1" applyNumberFormat="1" applyFont="1" applyFill="1" applyBorder="1" applyAlignment="1" applyProtection="1">
      <alignment horizontal="center" vertical="center" wrapText="1"/>
      <protection locked="0"/>
    </xf>
    <xf numFmtId="9" fontId="4" fillId="29" borderId="130" xfId="1" applyFont="1" applyFill="1" applyBorder="1" applyAlignment="1" applyProtection="1">
      <alignment horizontal="center" vertical="center" wrapText="1"/>
      <protection locked="0"/>
    </xf>
    <xf numFmtId="0" fontId="3" fillId="0" borderId="0" xfId="0" applyFont="1" applyProtection="1">
      <protection locked="0"/>
    </xf>
    <xf numFmtId="0" fontId="31" fillId="0" borderId="88" xfId="0" applyFont="1" applyBorder="1" applyAlignment="1" applyProtection="1">
      <alignment horizontal="center" vertical="center"/>
      <protection locked="0"/>
    </xf>
    <xf numFmtId="0" fontId="31" fillId="0" borderId="138" xfId="0" applyFont="1" applyBorder="1" applyAlignment="1" applyProtection="1">
      <alignment vertical="center" wrapText="1"/>
      <protection locked="0"/>
    </xf>
    <xf numFmtId="0" fontId="31" fillId="0" borderId="138" xfId="0" applyFont="1" applyBorder="1" applyAlignment="1" applyProtection="1">
      <alignment horizontal="center" vertical="center" wrapText="1"/>
      <protection locked="0"/>
    </xf>
    <xf numFmtId="0" fontId="31" fillId="13" borderId="138" xfId="0" applyFont="1" applyFill="1" applyBorder="1" applyAlignment="1" applyProtection="1">
      <alignment horizontal="center" vertical="center" wrapText="1"/>
      <protection locked="0"/>
    </xf>
    <xf numFmtId="14" fontId="31" fillId="0" borderId="138" xfId="0" applyNumberFormat="1" applyFont="1" applyBorder="1" applyAlignment="1" applyProtection="1">
      <alignment horizontal="center" vertical="center" wrapText="1"/>
      <protection locked="0"/>
    </xf>
    <xf numFmtId="172" fontId="106" fillId="13" borderId="138" xfId="8" applyNumberFormat="1" applyFont="1" applyFill="1" applyBorder="1" applyAlignment="1" applyProtection="1">
      <alignment horizontal="center" vertical="center"/>
      <protection locked="0"/>
    </xf>
    <xf numFmtId="168" fontId="31" fillId="0" borderId="138" xfId="8" applyNumberFormat="1" applyFont="1" applyFill="1" applyBorder="1" applyAlignment="1" applyProtection="1">
      <alignment horizontal="center" vertical="center" wrapText="1"/>
    </xf>
    <xf numFmtId="168" fontId="31" fillId="0" borderId="138" xfId="8" applyNumberFormat="1" applyFont="1" applyFill="1" applyBorder="1" applyAlignment="1" applyProtection="1">
      <alignment horizontal="center" vertical="center" wrapText="1"/>
      <protection locked="0"/>
    </xf>
    <xf numFmtId="168" fontId="31" fillId="0" borderId="138" xfId="0" applyNumberFormat="1" applyFont="1" applyBorder="1" applyAlignment="1" applyProtection="1">
      <alignment horizontal="center" vertical="center" wrapText="1"/>
      <protection locked="0"/>
    </xf>
    <xf numFmtId="9" fontId="31" fillId="0" borderId="138" xfId="0" applyNumberFormat="1" applyFont="1" applyBorder="1" applyAlignment="1" applyProtection="1">
      <alignment horizontal="center" vertical="center" wrapText="1"/>
      <protection locked="0"/>
    </xf>
    <xf numFmtId="168" fontId="31" fillId="3" borderId="106" xfId="8" applyNumberFormat="1" applyFont="1" applyFill="1" applyBorder="1" applyAlignment="1" applyProtection="1">
      <alignment horizontal="center" vertical="center" wrapText="1"/>
      <protection locked="0"/>
    </xf>
    <xf numFmtId="10" fontId="31" fillId="3" borderId="106" xfId="0" applyNumberFormat="1" applyFont="1" applyFill="1" applyBorder="1" applyAlignment="1" applyProtection="1">
      <alignment horizontal="center" vertical="center" wrapText="1"/>
      <protection locked="0"/>
    </xf>
    <xf numFmtId="175" fontId="31" fillId="3" borderId="106" xfId="0" applyNumberFormat="1" applyFont="1" applyFill="1" applyBorder="1" applyAlignment="1" applyProtection="1">
      <alignment horizontal="center" vertical="center" wrapText="1"/>
      <protection locked="0"/>
    </xf>
    <xf numFmtId="1" fontId="31" fillId="3" borderId="106" xfId="0" applyNumberFormat="1" applyFont="1" applyFill="1" applyBorder="1" applyAlignment="1" applyProtection="1">
      <alignment horizontal="center" vertical="center" wrapText="1"/>
      <protection locked="0"/>
    </xf>
    <xf numFmtId="10" fontId="31" fillId="3" borderId="106" xfId="0" applyNumberFormat="1" applyFont="1" applyFill="1" applyBorder="1" applyAlignment="1" applyProtection="1">
      <alignment horizontal="center" vertical="center"/>
      <protection locked="0"/>
    </xf>
    <xf numFmtId="1" fontId="31" fillId="3" borderId="106" xfId="0" applyNumberFormat="1" applyFont="1" applyFill="1" applyBorder="1" applyAlignment="1" applyProtection="1">
      <alignment horizontal="center" vertical="center"/>
      <protection locked="0"/>
    </xf>
    <xf numFmtId="168" fontId="31" fillId="3" borderId="106" xfId="0" applyNumberFormat="1" applyFont="1" applyFill="1" applyBorder="1" applyAlignment="1" applyProtection="1">
      <alignment horizontal="center" vertical="center" wrapText="1"/>
      <protection locked="0"/>
    </xf>
    <xf numFmtId="9" fontId="31" fillId="3" borderId="106" xfId="1" applyFont="1" applyFill="1" applyBorder="1" applyAlignment="1" applyProtection="1">
      <alignment horizontal="center" vertical="center" wrapText="1"/>
      <protection locked="0"/>
    </xf>
    <xf numFmtId="10" fontId="31" fillId="3" borderId="106" xfId="1" applyNumberFormat="1" applyFont="1" applyFill="1" applyBorder="1" applyAlignment="1" applyProtection="1">
      <alignment horizontal="center" vertical="center" wrapText="1"/>
      <protection locked="0"/>
    </xf>
    <xf numFmtId="10" fontId="31" fillId="3" borderId="139" xfId="1" applyNumberFormat="1" applyFont="1" applyFill="1" applyBorder="1" applyAlignment="1" applyProtection="1">
      <alignment horizontal="center" vertical="center" wrapText="1"/>
      <protection locked="0"/>
    </xf>
    <xf numFmtId="175" fontId="31" fillId="3" borderId="138" xfId="0" applyNumberFormat="1" applyFont="1" applyFill="1" applyBorder="1" applyAlignment="1" applyProtection="1">
      <alignment horizontal="center" vertical="center" wrapText="1"/>
      <protection locked="0"/>
    </xf>
    <xf numFmtId="168" fontId="31" fillId="3" borderId="138" xfId="0" applyNumberFormat="1" applyFont="1" applyFill="1" applyBorder="1" applyAlignment="1" applyProtection="1">
      <alignment horizontal="center" vertical="center" wrapText="1"/>
      <protection locked="0"/>
    </xf>
    <xf numFmtId="0" fontId="124" fillId="13" borderId="0" xfId="0" applyFont="1" applyFill="1" applyAlignment="1">
      <alignment horizontal="justify" vertical="center"/>
    </xf>
    <xf numFmtId="14" fontId="43" fillId="13" borderId="140" xfId="0" applyNumberFormat="1" applyFont="1" applyFill="1" applyBorder="1" applyAlignment="1">
      <alignment horizontal="right" vertical="center" wrapText="1"/>
    </xf>
    <xf numFmtId="14" fontId="43" fillId="13" borderId="0" xfId="0" applyNumberFormat="1" applyFont="1" applyFill="1" applyAlignment="1">
      <alignment horizontal="right" vertical="center" wrapText="1"/>
    </xf>
    <xf numFmtId="0" fontId="126" fillId="13" borderId="0" xfId="0" applyFont="1" applyFill="1" applyAlignment="1">
      <alignment horizontal="left" vertical="center"/>
    </xf>
    <xf numFmtId="0" fontId="127" fillId="13" borderId="142" xfId="0" applyFont="1" applyFill="1" applyBorder="1" applyAlignment="1">
      <alignment horizontal="left" vertical="top" wrapText="1" indent="2"/>
    </xf>
    <xf numFmtId="0" fontId="124" fillId="13" borderId="0" xfId="0" applyFont="1" applyFill="1" applyAlignment="1">
      <alignment horizontal="center" vertical="center" wrapText="1"/>
    </xf>
    <xf numFmtId="0" fontId="31" fillId="40" borderId="0" xfId="0" applyFont="1" applyFill="1"/>
    <xf numFmtId="0" fontId="124" fillId="13" borderId="0" xfId="0" applyFont="1" applyFill="1" applyAlignment="1">
      <alignment vertical="center" wrapText="1"/>
    </xf>
    <xf numFmtId="0" fontId="127" fillId="2" borderId="142" xfId="0" applyFont="1" applyFill="1" applyBorder="1" applyAlignment="1">
      <alignment horizontal="left" vertical="top" wrapText="1" indent="2"/>
    </xf>
    <xf numFmtId="0" fontId="126" fillId="13" borderId="0" xfId="0" applyFont="1" applyFill="1" applyAlignment="1">
      <alignment vertical="center" wrapText="1"/>
    </xf>
    <xf numFmtId="0" fontId="20" fillId="13" borderId="0" xfId="0" applyFont="1" applyFill="1" applyAlignment="1">
      <alignment wrapText="1"/>
    </xf>
    <xf numFmtId="175" fontId="31" fillId="40" borderId="0" xfId="0" applyNumberFormat="1" applyFont="1" applyFill="1"/>
    <xf numFmtId="0" fontId="124" fillId="13" borderId="0" xfId="0" applyFont="1" applyFill="1" applyAlignment="1">
      <alignment horizontal="center" vertical="center"/>
    </xf>
    <xf numFmtId="0" fontId="127" fillId="13" borderId="0" xfId="0" applyFont="1" applyFill="1" applyAlignment="1">
      <alignment horizontal="left" vertical="top" wrapText="1"/>
    </xf>
    <xf numFmtId="0" fontId="123" fillId="13" borderId="0" xfId="0" applyFont="1" applyFill="1" applyAlignment="1">
      <alignment horizontal="left" vertical="center"/>
    </xf>
    <xf numFmtId="0" fontId="128" fillId="13" borderId="0" xfId="0" applyFont="1" applyFill="1" applyAlignment="1">
      <alignment horizontal="left" vertical="center"/>
    </xf>
    <xf numFmtId="0" fontId="126" fillId="13" borderId="0" xfId="0" applyFont="1" applyFill="1" applyAlignment="1">
      <alignment horizontal="center" vertical="center" wrapText="1"/>
    </xf>
    <xf numFmtId="0" fontId="126" fillId="13" borderId="0" xfId="0" applyFont="1" applyFill="1" applyAlignment="1">
      <alignment horizontal="justify" vertical="center"/>
    </xf>
    <xf numFmtId="0" fontId="127" fillId="13" borderId="0" xfId="0" applyFont="1" applyFill="1" applyAlignment="1">
      <alignment vertical="top" wrapText="1"/>
    </xf>
    <xf numFmtId="0" fontId="92" fillId="13" borderId="0" xfId="0" applyFont="1" applyFill="1" applyAlignment="1">
      <alignment horizontal="justify" vertical="center"/>
    </xf>
    <xf numFmtId="0" fontId="91" fillId="13" borderId="0" xfId="0" applyFont="1" applyFill="1" applyAlignment="1">
      <alignment horizontal="justify" vertical="center"/>
    </xf>
    <xf numFmtId="0" fontId="15" fillId="13" borderId="0" xfId="0" applyFont="1" applyFill="1" applyAlignment="1">
      <alignment horizontal="center" vertical="center"/>
    </xf>
    <xf numFmtId="10" fontId="0" fillId="31" borderId="68" xfId="0" applyNumberFormat="1" applyFill="1" applyBorder="1"/>
    <xf numFmtId="10" fontId="0" fillId="11" borderId="68" xfId="0" applyNumberFormat="1" applyFill="1" applyBorder="1"/>
    <xf numFmtId="168" fontId="14" fillId="11" borderId="69" xfId="0" applyNumberFormat="1" applyFont="1" applyFill="1" applyBorder="1"/>
    <xf numFmtId="168" fontId="14" fillId="25" borderId="69" xfId="0" applyNumberFormat="1" applyFont="1" applyFill="1" applyBorder="1"/>
    <xf numFmtId="168" fontId="14" fillId="0" borderId="69" xfId="0" applyNumberFormat="1" applyFont="1" applyBorder="1"/>
    <xf numFmtId="0" fontId="35" fillId="0" borderId="13" xfId="0" applyFont="1" applyBorder="1" applyAlignment="1">
      <alignment horizontal="left" vertical="center" indent="1"/>
    </xf>
    <xf numFmtId="0" fontId="0" fillId="44" borderId="0" xfId="0" applyFill="1"/>
    <xf numFmtId="14" fontId="0" fillId="44" borderId="0" xfId="0" applyNumberFormat="1" applyFill="1"/>
    <xf numFmtId="0" fontId="129" fillId="13" borderId="142" xfId="0" applyFont="1" applyFill="1" applyBorder="1" applyAlignment="1">
      <alignment horizontal="center" vertical="center" wrapText="1"/>
    </xf>
    <xf numFmtId="0" fontId="129" fillId="13" borderId="141" xfId="0" applyFont="1" applyFill="1" applyBorder="1" applyAlignment="1">
      <alignment horizontal="center" vertical="center" wrapText="1"/>
    </xf>
    <xf numFmtId="0" fontId="0" fillId="40" borderId="0" xfId="0" applyFill="1"/>
    <xf numFmtId="14" fontId="0" fillId="40" borderId="0" xfId="0" applyNumberFormat="1" applyFill="1"/>
    <xf numFmtId="0" fontId="127" fillId="8" borderId="142" xfId="0" applyFont="1" applyFill="1" applyBorder="1" applyAlignment="1">
      <alignment horizontal="left" vertical="top" wrapText="1" indent="2"/>
    </xf>
    <xf numFmtId="0" fontId="15" fillId="13" borderId="0" xfId="0" applyFont="1" applyFill="1" applyAlignment="1">
      <alignment wrapText="1"/>
    </xf>
    <xf numFmtId="0" fontId="0" fillId="4" borderId="0" xfId="0" applyFill="1" applyAlignment="1">
      <alignment horizontal="center" vertical="center"/>
    </xf>
    <xf numFmtId="0" fontId="29" fillId="2" borderId="0" xfId="0" applyFont="1" applyFill="1" applyAlignment="1">
      <alignment horizontal="center" vertical="center" wrapText="1"/>
    </xf>
    <xf numFmtId="0" fontId="37" fillId="13" borderId="0" xfId="0" applyFont="1" applyFill="1" applyAlignment="1" applyProtection="1">
      <alignment horizontal="left" vertical="center" wrapText="1"/>
      <protection locked="0"/>
    </xf>
    <xf numFmtId="0" fontId="0" fillId="2" borderId="0" xfId="0" applyFill="1"/>
    <xf numFmtId="0" fontId="15" fillId="0" borderId="0" xfId="0" applyFont="1" applyProtection="1">
      <protection locked="0"/>
    </xf>
    <xf numFmtId="0" fontId="15" fillId="0" borderId="0" xfId="0" applyFont="1" applyAlignment="1" applyProtection="1">
      <alignment vertical="center" wrapText="1"/>
      <protection locked="0"/>
    </xf>
    <xf numFmtId="0" fontId="15" fillId="0" borderId="0" xfId="0" applyFont="1" applyAlignment="1" applyProtection="1">
      <alignment wrapText="1"/>
      <protection locked="0"/>
    </xf>
    <xf numFmtId="0" fontId="15" fillId="13" borderId="0" xfId="0" applyFont="1" applyFill="1" applyAlignment="1" applyProtection="1">
      <alignment wrapText="1"/>
      <protection locked="0"/>
    </xf>
    <xf numFmtId="168" fontId="15" fillId="0" borderId="0" xfId="0" applyNumberFormat="1" applyFont="1" applyAlignment="1" applyProtection="1">
      <alignment horizontal="center" wrapText="1"/>
      <protection locked="0"/>
    </xf>
    <xf numFmtId="44" fontId="15" fillId="0" borderId="0" xfId="0" applyNumberFormat="1" applyFont="1" applyAlignment="1" applyProtection="1">
      <alignment wrapText="1"/>
      <protection locked="0"/>
    </xf>
    <xf numFmtId="9" fontId="15" fillId="0" borderId="0" xfId="0" applyNumberFormat="1" applyFont="1" applyAlignment="1" applyProtection="1">
      <alignment wrapText="1"/>
      <protection locked="0"/>
    </xf>
    <xf numFmtId="0" fontId="40" fillId="0" borderId="0" xfId="0" applyFont="1" applyAlignment="1">
      <alignment horizontal="left" vertical="center"/>
    </xf>
    <xf numFmtId="0" fontId="8" fillId="13" borderId="44" xfId="0" applyFont="1" applyFill="1" applyBorder="1" applyAlignment="1">
      <alignment horizontal="center" vertical="center"/>
    </xf>
    <xf numFmtId="0" fontId="40" fillId="13" borderId="44" xfId="0" applyFont="1" applyFill="1" applyBorder="1" applyAlignment="1">
      <alignment horizontal="left" vertical="center"/>
    </xf>
    <xf numFmtId="0" fontId="40" fillId="13" borderId="45" xfId="0" applyFont="1" applyFill="1" applyBorder="1" applyAlignment="1">
      <alignment horizontal="left" vertical="center"/>
    </xf>
    <xf numFmtId="0" fontId="4" fillId="45" borderId="136" xfId="0" applyFont="1" applyFill="1" applyBorder="1" applyAlignment="1" applyProtection="1">
      <alignment horizontal="center" vertical="center" wrapText="1"/>
      <protection locked="0"/>
    </xf>
    <xf numFmtId="0" fontId="4" fillId="45" borderId="104" xfId="0" applyFont="1" applyFill="1" applyBorder="1" applyAlignment="1" applyProtection="1">
      <alignment horizontal="center" vertical="center" wrapText="1"/>
      <protection locked="0"/>
    </xf>
    <xf numFmtId="168" fontId="4" fillId="45" borderId="104" xfId="0" applyNumberFormat="1" applyFont="1" applyFill="1" applyBorder="1" applyAlignment="1" applyProtection="1">
      <alignment horizontal="center" vertical="center" wrapText="1"/>
      <protection locked="0"/>
    </xf>
    <xf numFmtId="44" fontId="4" fillId="45" borderId="104" xfId="0" applyNumberFormat="1" applyFont="1" applyFill="1" applyBorder="1" applyAlignment="1" applyProtection="1">
      <alignment horizontal="center" vertical="center" wrapText="1"/>
      <protection locked="0"/>
    </xf>
    <xf numFmtId="168" fontId="4" fillId="45" borderId="137" xfId="0" applyNumberFormat="1" applyFont="1" applyFill="1" applyBorder="1" applyAlignment="1" applyProtection="1">
      <alignment horizontal="center" vertical="center" wrapText="1"/>
      <protection locked="0"/>
    </xf>
    <xf numFmtId="9" fontId="4" fillId="45" borderId="137" xfId="0" applyNumberFormat="1" applyFont="1" applyFill="1" applyBorder="1" applyAlignment="1" applyProtection="1">
      <alignment horizontal="center" vertical="center" wrapText="1"/>
      <protection locked="0"/>
    </xf>
    <xf numFmtId="172" fontId="33" fillId="13" borderId="0" xfId="2" applyNumberFormat="1" applyFont="1" applyFill="1" applyAlignment="1">
      <alignment horizontal="left" wrapText="1"/>
    </xf>
    <xf numFmtId="0" fontId="25" fillId="13" borderId="0" xfId="0" applyFont="1" applyFill="1" applyAlignment="1">
      <alignment horizontal="left" vertical="top" wrapText="1"/>
    </xf>
    <xf numFmtId="0" fontId="69" fillId="2" borderId="0" xfId="0" applyFont="1" applyFill="1" applyAlignment="1">
      <alignment horizontal="center" vertical="center"/>
    </xf>
    <xf numFmtId="175" fontId="62" fillId="22" borderId="4" xfId="0" applyNumberFormat="1" applyFont="1" applyFill="1" applyBorder="1" applyAlignment="1">
      <alignment horizontal="center"/>
    </xf>
    <xf numFmtId="10" fontId="62" fillId="29" borderId="4" xfId="1" applyNumberFormat="1" applyFont="1" applyFill="1" applyBorder="1" applyAlignment="1">
      <alignment horizontal="center"/>
    </xf>
    <xf numFmtId="0" fontId="62" fillId="28" borderId="4" xfId="0" applyFont="1" applyFill="1" applyBorder="1" applyAlignment="1">
      <alignment horizontal="center"/>
    </xf>
    <xf numFmtId="0" fontId="2" fillId="13" borderId="0" xfId="0" applyFont="1" applyFill="1" applyAlignment="1">
      <alignment horizontal="center" wrapText="1"/>
    </xf>
    <xf numFmtId="0" fontId="46" fillId="4" borderId="52" xfId="0" applyFont="1" applyFill="1" applyBorder="1" applyAlignment="1">
      <alignment horizontal="center" vertical="top" wrapText="1"/>
    </xf>
    <xf numFmtId="0" fontId="46" fillId="4" borderId="19" xfId="0" applyFont="1" applyFill="1" applyBorder="1" applyAlignment="1">
      <alignment horizontal="center" vertical="top" wrapText="1"/>
    </xf>
    <xf numFmtId="0" fontId="59" fillId="13" borderId="0" xfId="0" applyFont="1" applyFill="1" applyAlignment="1">
      <alignment horizontal="center" vertical="center" wrapText="1"/>
    </xf>
    <xf numFmtId="0" fontId="50" fillId="0" borderId="60" xfId="1" applyNumberFormat="1" applyFont="1" applyBorder="1" applyAlignment="1">
      <alignment horizontal="left" vertical="top" wrapText="1"/>
    </xf>
    <xf numFmtId="0" fontId="50" fillId="0" borderId="42" xfId="1" applyNumberFormat="1" applyFont="1" applyBorder="1" applyAlignment="1">
      <alignment horizontal="left" vertical="top" wrapText="1"/>
    </xf>
    <xf numFmtId="0" fontId="50" fillId="0" borderId="61" xfId="1" applyNumberFormat="1" applyFont="1" applyBorder="1" applyAlignment="1">
      <alignment horizontal="left" vertical="top" wrapText="1"/>
    </xf>
    <xf numFmtId="0" fontId="50" fillId="0" borderId="62" xfId="1" applyNumberFormat="1" applyFont="1" applyBorder="1" applyAlignment="1">
      <alignment horizontal="left" vertical="top" wrapText="1"/>
    </xf>
    <xf numFmtId="0" fontId="50" fillId="0" borderId="0" xfId="1" applyNumberFormat="1" applyFont="1" applyBorder="1" applyAlignment="1">
      <alignment horizontal="left" vertical="top" wrapText="1"/>
    </xf>
    <xf numFmtId="0" fontId="50" fillId="0" borderId="63" xfId="1" applyNumberFormat="1" applyFont="1" applyBorder="1" applyAlignment="1">
      <alignment horizontal="left" vertical="top" wrapText="1"/>
    </xf>
    <xf numFmtId="0" fontId="50" fillId="0" borderId="64" xfId="1" applyNumberFormat="1" applyFont="1" applyBorder="1" applyAlignment="1">
      <alignment horizontal="left" vertical="top" wrapText="1"/>
    </xf>
    <xf numFmtId="0" fontId="50" fillId="0" borderId="51" xfId="1" applyNumberFormat="1" applyFont="1" applyBorder="1" applyAlignment="1">
      <alignment horizontal="left" vertical="top" wrapText="1"/>
    </xf>
    <xf numFmtId="0" fontId="50" fillId="0" borderId="65" xfId="1" applyNumberFormat="1" applyFont="1" applyBorder="1" applyAlignment="1">
      <alignment horizontal="left" vertical="top" wrapText="1"/>
    </xf>
    <xf numFmtId="0" fontId="15" fillId="13" borderId="0" xfId="0" applyFont="1" applyFill="1" applyAlignment="1">
      <alignment horizontal="center"/>
    </xf>
    <xf numFmtId="0" fontId="47" fillId="13" borderId="48" xfId="0" applyFont="1" applyFill="1" applyBorder="1" applyAlignment="1">
      <alignment horizontal="center"/>
    </xf>
    <xf numFmtId="0" fontId="47" fillId="13" borderId="49" xfId="0" applyFont="1" applyFill="1" applyBorder="1" applyAlignment="1">
      <alignment horizontal="center"/>
    </xf>
    <xf numFmtId="0" fontId="48" fillId="13" borderId="48" xfId="0" applyFont="1" applyFill="1" applyBorder="1" applyAlignment="1">
      <alignment horizontal="center"/>
    </xf>
    <xf numFmtId="0" fontId="48" fillId="13" borderId="49" xfId="0" applyFont="1" applyFill="1" applyBorder="1" applyAlignment="1">
      <alignment horizontal="center"/>
    </xf>
    <xf numFmtId="0" fontId="49" fillId="13" borderId="48" xfId="0" applyFont="1" applyFill="1" applyBorder="1" applyAlignment="1">
      <alignment horizontal="center"/>
    </xf>
    <xf numFmtId="0" fontId="49" fillId="13" borderId="49" xfId="0" applyFont="1" applyFill="1" applyBorder="1" applyAlignment="1">
      <alignment horizontal="center"/>
    </xf>
    <xf numFmtId="0" fontId="28" fillId="13" borderId="0" xfId="0" applyFont="1" applyFill="1" applyAlignment="1">
      <alignment horizontal="center" wrapText="1"/>
    </xf>
    <xf numFmtId="0" fontId="12" fillId="22" borderId="0" xfId="0" applyFont="1" applyFill="1" applyAlignment="1">
      <alignment horizontal="center"/>
    </xf>
    <xf numFmtId="0" fontId="15" fillId="13" borderId="0" xfId="0" applyFont="1" applyFill="1" applyAlignment="1">
      <alignment horizontal="left" vertical="center"/>
    </xf>
    <xf numFmtId="0" fontId="125" fillId="13" borderId="0" xfId="0" applyFont="1" applyFill="1" applyAlignment="1">
      <alignment horizontal="center" vertical="center" wrapText="1"/>
    </xf>
    <xf numFmtId="0" fontId="92" fillId="13" borderId="0" xfId="0" applyFont="1" applyFill="1" applyAlignment="1">
      <alignment horizontal="left" vertical="center" wrapText="1"/>
    </xf>
    <xf numFmtId="0" fontId="92" fillId="13" borderId="0" xfId="0" applyFont="1" applyFill="1" applyAlignment="1">
      <alignment horizontal="left" vertical="center"/>
    </xf>
    <xf numFmtId="0" fontId="131" fillId="22" borderId="140" xfId="0" applyFont="1" applyFill="1" applyBorder="1" applyAlignment="1">
      <alignment horizontal="center" vertical="center" wrapText="1"/>
    </xf>
    <xf numFmtId="0" fontId="131" fillId="22" borderId="0" xfId="0" applyFont="1" applyFill="1" applyAlignment="1">
      <alignment horizontal="center" vertical="center" wrapText="1"/>
    </xf>
    <xf numFmtId="0" fontId="130" fillId="14" borderId="0" xfId="0" applyFont="1" applyFill="1" applyAlignment="1">
      <alignment horizontal="center" vertical="center"/>
    </xf>
    <xf numFmtId="0" fontId="133" fillId="13" borderId="0" xfId="0" applyFont="1" applyFill="1" applyAlignment="1">
      <alignment horizontal="left" vertical="center" wrapText="1"/>
    </xf>
    <xf numFmtId="0" fontId="91" fillId="13" borderId="0" xfId="0" applyFont="1" applyFill="1" applyAlignment="1">
      <alignment horizontal="left" vertical="center"/>
    </xf>
    <xf numFmtId="0" fontId="35" fillId="13" borderId="44" xfId="0" applyFont="1" applyFill="1" applyBorder="1" applyAlignment="1">
      <alignment horizontal="right" vertical="center"/>
    </xf>
    <xf numFmtId="0" fontId="35" fillId="13" borderId="0" xfId="0" applyFont="1" applyFill="1" applyAlignment="1">
      <alignment horizontal="right" vertical="center"/>
    </xf>
    <xf numFmtId="10" fontId="33" fillId="13" borderId="17" xfId="0" applyNumberFormat="1" applyFont="1" applyFill="1" applyBorder="1" applyAlignment="1">
      <alignment horizontal="center" vertical="center"/>
    </xf>
    <xf numFmtId="10" fontId="33" fillId="13" borderId="2" xfId="0" applyNumberFormat="1" applyFont="1" applyFill="1" applyBorder="1" applyAlignment="1">
      <alignment horizontal="center" vertical="center"/>
    </xf>
    <xf numFmtId="0" fontId="66" fillId="13" borderId="0" xfId="0" applyFont="1" applyFill="1" applyAlignment="1">
      <alignment horizontal="center" vertical="center" wrapText="1"/>
    </xf>
    <xf numFmtId="0" fontId="35" fillId="13" borderId="44" xfId="0" applyFont="1" applyFill="1" applyBorder="1" applyAlignment="1">
      <alignment horizontal="right" vertical="center" wrapText="1"/>
    </xf>
    <xf numFmtId="0" fontId="35" fillId="13" borderId="0" xfId="0" applyFont="1" applyFill="1" applyAlignment="1">
      <alignment horizontal="right" vertical="center" wrapText="1"/>
    </xf>
    <xf numFmtId="168" fontId="35" fillId="13" borderId="17" xfId="3" applyNumberFormat="1" applyFont="1" applyFill="1" applyBorder="1" applyAlignment="1">
      <alignment horizontal="center" vertical="center"/>
    </xf>
    <xf numFmtId="168" fontId="35" fillId="13" borderId="0" xfId="3" applyNumberFormat="1" applyFont="1" applyFill="1" applyBorder="1" applyAlignment="1">
      <alignment horizontal="center" vertical="center"/>
    </xf>
    <xf numFmtId="164" fontId="33" fillId="3" borderId="48" xfId="0" applyNumberFormat="1" applyFont="1" applyFill="1" applyBorder="1" applyAlignment="1">
      <alignment horizontal="center" vertical="center"/>
    </xf>
    <xf numFmtId="164" fontId="33" fillId="3" borderId="49" xfId="0" applyNumberFormat="1" applyFont="1" applyFill="1" applyBorder="1" applyAlignment="1">
      <alignment horizontal="center" vertical="center"/>
    </xf>
    <xf numFmtId="164" fontId="34" fillId="13" borderId="50" xfId="0" applyNumberFormat="1" applyFont="1" applyFill="1" applyBorder="1" applyAlignment="1">
      <alignment horizontal="center" vertical="center"/>
    </xf>
    <xf numFmtId="164" fontId="34" fillId="13" borderId="1" xfId="0" applyNumberFormat="1" applyFont="1" applyFill="1" applyBorder="1" applyAlignment="1">
      <alignment horizontal="center" vertical="center"/>
    </xf>
    <xf numFmtId="164" fontId="34" fillId="13" borderId="47" xfId="0" applyNumberFormat="1" applyFont="1" applyFill="1" applyBorder="1" applyAlignment="1">
      <alignment horizontal="center" vertical="center"/>
    </xf>
    <xf numFmtId="164" fontId="34" fillId="13" borderId="3" xfId="0" applyNumberFormat="1" applyFont="1" applyFill="1" applyBorder="1" applyAlignment="1">
      <alignment horizontal="center" vertical="center"/>
    </xf>
    <xf numFmtId="0" fontId="30" fillId="22" borderId="50" xfId="0" applyFont="1" applyFill="1" applyBorder="1" applyAlignment="1">
      <alignment horizontal="center" vertical="center" wrapText="1"/>
    </xf>
    <xf numFmtId="0" fontId="30" fillId="22" borderId="37" xfId="0" applyFont="1" applyFill="1" applyBorder="1" applyAlignment="1">
      <alignment horizontal="center" vertical="center" wrapText="1"/>
    </xf>
    <xf numFmtId="0" fontId="30" fillId="19" borderId="50" xfId="0" applyFont="1" applyFill="1" applyBorder="1" applyAlignment="1">
      <alignment horizontal="center" vertical="center" wrapText="1"/>
    </xf>
    <xf numFmtId="0" fontId="30" fillId="19" borderId="37" xfId="0" applyFont="1" applyFill="1" applyBorder="1" applyAlignment="1">
      <alignment horizontal="center" vertical="center" wrapText="1"/>
    </xf>
    <xf numFmtId="0" fontId="30" fillId="28" borderId="50" xfId="0" applyFont="1" applyFill="1" applyBorder="1" applyAlignment="1">
      <alignment horizontal="center" vertical="center" wrapText="1"/>
    </xf>
    <xf numFmtId="0" fontId="30" fillId="28" borderId="1" xfId="0" applyFont="1" applyFill="1" applyBorder="1" applyAlignment="1">
      <alignment horizontal="center" vertical="center" wrapText="1"/>
    </xf>
    <xf numFmtId="9" fontId="58" fillId="13" borderId="54" xfId="1" applyFont="1" applyFill="1" applyBorder="1" applyAlignment="1" applyProtection="1">
      <alignment horizontal="center" vertical="center"/>
      <protection locked="0"/>
    </xf>
    <xf numFmtId="9" fontId="58" fillId="13" borderId="0" xfId="1" applyFont="1" applyFill="1" applyBorder="1" applyAlignment="1" applyProtection="1">
      <alignment horizontal="center" vertical="center"/>
      <protection locked="0"/>
    </xf>
    <xf numFmtId="0" fontId="41" fillId="13" borderId="51" xfId="0" applyFont="1" applyFill="1" applyBorder="1" applyAlignment="1">
      <alignment horizontal="left" vertical="center" wrapText="1"/>
    </xf>
    <xf numFmtId="0" fontId="41" fillId="13" borderId="51" xfId="0" applyFont="1" applyFill="1" applyBorder="1" applyAlignment="1">
      <alignment horizontal="center" vertical="center" wrapText="1"/>
    </xf>
    <xf numFmtId="0" fontId="34" fillId="13" borderId="46" xfId="0" applyFont="1" applyFill="1" applyBorder="1" applyAlignment="1">
      <alignment horizontal="center" vertical="center"/>
    </xf>
    <xf numFmtId="0" fontId="29" fillId="22" borderId="48" xfId="0" applyFont="1" applyFill="1" applyBorder="1" applyAlignment="1">
      <alignment horizontal="center" vertical="center"/>
    </xf>
    <xf numFmtId="0" fontId="29" fillId="22" borderId="53" xfId="0" applyFont="1" applyFill="1" applyBorder="1" applyAlignment="1">
      <alignment horizontal="center" vertical="center"/>
    </xf>
    <xf numFmtId="0" fontId="29" fillId="19" borderId="48" xfId="0" applyFont="1" applyFill="1" applyBorder="1" applyAlignment="1">
      <alignment horizontal="center" vertical="center"/>
    </xf>
    <xf numFmtId="0" fontId="29" fillId="19" borderId="53" xfId="0" applyFont="1" applyFill="1" applyBorder="1" applyAlignment="1">
      <alignment horizontal="center" vertical="center"/>
    </xf>
    <xf numFmtId="0" fontId="29" fillId="28" borderId="48" xfId="0" applyFont="1" applyFill="1" applyBorder="1" applyAlignment="1">
      <alignment horizontal="center" vertical="center"/>
    </xf>
    <xf numFmtId="0" fontId="29" fillId="28" borderId="49" xfId="0" applyFont="1" applyFill="1" applyBorder="1" applyAlignment="1">
      <alignment horizontal="center" vertical="center"/>
    </xf>
    <xf numFmtId="164" fontId="35" fillId="13" borderId="17" xfId="0" applyNumberFormat="1" applyFont="1" applyFill="1" applyBorder="1" applyAlignment="1">
      <alignment horizontal="center" vertical="center"/>
    </xf>
    <xf numFmtId="164" fontId="35" fillId="13" borderId="2" xfId="0" applyNumberFormat="1" applyFont="1" applyFill="1" applyBorder="1" applyAlignment="1">
      <alignment horizontal="center" vertical="center"/>
    </xf>
    <xf numFmtId="164" fontId="35" fillId="13" borderId="50" xfId="0" applyNumberFormat="1" applyFont="1" applyFill="1" applyBorder="1" applyAlignment="1">
      <alignment horizontal="center" vertical="center"/>
    </xf>
    <xf numFmtId="164" fontId="35" fillId="13" borderId="1" xfId="0" applyNumberFormat="1" applyFont="1" applyFill="1" applyBorder="1" applyAlignment="1">
      <alignment horizontal="center" vertical="center"/>
    </xf>
    <xf numFmtId="168" fontId="35" fillId="13" borderId="47" xfId="3" applyNumberFormat="1" applyFont="1" applyFill="1" applyBorder="1" applyAlignment="1">
      <alignment horizontal="center" vertical="center"/>
    </xf>
    <xf numFmtId="168" fontId="35" fillId="13" borderId="59" xfId="3" applyNumberFormat="1" applyFont="1" applyFill="1" applyBorder="1" applyAlignment="1">
      <alignment horizontal="center" vertical="center"/>
    </xf>
    <xf numFmtId="168" fontId="35" fillId="13" borderId="3" xfId="3" applyNumberFormat="1" applyFont="1" applyFill="1" applyBorder="1" applyAlignment="1">
      <alignment horizontal="center" vertical="center"/>
    </xf>
    <xf numFmtId="168" fontId="35" fillId="13" borderId="17" xfId="0" applyNumberFormat="1" applyFont="1" applyFill="1" applyBorder="1" applyAlignment="1">
      <alignment horizontal="center" vertical="center"/>
    </xf>
    <xf numFmtId="168" fontId="35" fillId="13" borderId="0" xfId="0" applyNumberFormat="1" applyFont="1" applyFill="1" applyAlignment="1">
      <alignment horizontal="center" vertical="center"/>
    </xf>
    <xf numFmtId="168" fontId="35" fillId="13" borderId="2" xfId="0" applyNumberFormat="1" applyFont="1" applyFill="1" applyBorder="1" applyAlignment="1">
      <alignment horizontal="center" vertical="center"/>
    </xf>
    <xf numFmtId="0" fontId="35" fillId="13" borderId="42" xfId="0" applyFont="1" applyFill="1" applyBorder="1" applyAlignment="1">
      <alignment horizontal="left"/>
    </xf>
    <xf numFmtId="168" fontId="35" fillId="13" borderId="17" xfId="3" applyNumberFormat="1" applyFont="1" applyFill="1" applyBorder="1" applyAlignment="1">
      <alignment horizontal="center" vertical="center" wrapText="1"/>
    </xf>
    <xf numFmtId="168" fontId="35" fillId="13" borderId="2" xfId="3" applyNumberFormat="1" applyFont="1" applyFill="1" applyBorder="1" applyAlignment="1">
      <alignment horizontal="center" vertical="center" wrapText="1"/>
    </xf>
    <xf numFmtId="168" fontId="35" fillId="13" borderId="2" xfId="3" applyNumberFormat="1" applyFont="1" applyFill="1" applyBorder="1" applyAlignment="1">
      <alignment horizontal="center" vertical="center"/>
    </xf>
    <xf numFmtId="168" fontId="7" fillId="13" borderId="17" xfId="3" applyNumberFormat="1" applyFont="1" applyFill="1" applyBorder="1" applyAlignment="1">
      <alignment horizontal="center" vertical="center" wrapText="1"/>
    </xf>
    <xf numFmtId="168" fontId="7" fillId="13" borderId="0" xfId="3" applyNumberFormat="1" applyFont="1" applyFill="1" applyBorder="1" applyAlignment="1">
      <alignment horizontal="center" vertical="center" wrapText="1"/>
    </xf>
    <xf numFmtId="10" fontId="35" fillId="13" borderId="17" xfId="1" applyNumberFormat="1" applyFont="1" applyFill="1" applyBorder="1" applyAlignment="1">
      <alignment horizontal="center" vertical="center"/>
    </xf>
    <xf numFmtId="10" fontId="35" fillId="13" borderId="2" xfId="1" applyNumberFormat="1" applyFont="1" applyFill="1" applyBorder="1" applyAlignment="1">
      <alignment horizontal="center" vertical="center"/>
    </xf>
    <xf numFmtId="0" fontId="35" fillId="13" borderId="13" xfId="0" applyFont="1" applyFill="1" applyBorder="1" applyAlignment="1">
      <alignment horizontal="left" wrapText="1"/>
    </xf>
    <xf numFmtId="168" fontId="35" fillId="13" borderId="47" xfId="0" applyNumberFormat="1" applyFont="1" applyFill="1" applyBorder="1" applyAlignment="1">
      <alignment horizontal="center" vertical="center"/>
    </xf>
    <xf numFmtId="168" fontId="35" fillId="13" borderId="3" xfId="0" applyNumberFormat="1" applyFont="1" applyFill="1" applyBorder="1" applyAlignment="1">
      <alignment horizontal="center" vertical="center"/>
    </xf>
    <xf numFmtId="0" fontId="35" fillId="13" borderId="51" xfId="0" applyFont="1" applyFill="1" applyBorder="1" applyAlignment="1">
      <alignment horizontal="left"/>
    </xf>
    <xf numFmtId="175" fontId="35" fillId="13" borderId="13" xfId="0" applyNumberFormat="1" applyFont="1" applyFill="1" applyBorder="1" applyAlignment="1">
      <alignment horizontal="center"/>
    </xf>
    <xf numFmtId="0" fontId="0" fillId="0" borderId="0" xfId="0" applyAlignment="1">
      <alignment horizontal="left"/>
    </xf>
    <xf numFmtId="0" fontId="37" fillId="13" borderId="42" xfId="0" applyFont="1" applyFill="1" applyBorder="1" applyAlignment="1" applyProtection="1">
      <alignment horizontal="left" vertical="center" wrapText="1"/>
      <protection locked="0"/>
    </xf>
    <xf numFmtId="0" fontId="37" fillId="13" borderId="0" xfId="0" applyFont="1" applyFill="1" applyAlignment="1" applyProtection="1">
      <alignment horizontal="left" vertical="center" wrapText="1"/>
      <protection locked="0"/>
    </xf>
    <xf numFmtId="0" fontId="61" fillId="13" borderId="0" xfId="0" applyFont="1" applyFill="1" applyAlignment="1" applyProtection="1">
      <alignment horizontal="center" vertical="center" wrapText="1"/>
      <protection locked="0"/>
    </xf>
    <xf numFmtId="0" fontId="29" fillId="2" borderId="144" xfId="0" applyFont="1" applyFill="1" applyBorder="1" applyAlignment="1">
      <alignment horizontal="center" vertical="center"/>
    </xf>
    <xf numFmtId="0" fontId="29" fillId="18" borderId="50" xfId="0" applyFont="1" applyFill="1" applyBorder="1" applyAlignment="1">
      <alignment horizontal="center" vertical="center"/>
    </xf>
    <xf numFmtId="0" fontId="29" fillId="18" borderId="37" xfId="0" applyFont="1" applyFill="1" applyBorder="1" applyAlignment="1">
      <alignment horizontal="center" vertical="center"/>
    </xf>
    <xf numFmtId="0" fontId="29" fillId="18" borderId="1" xfId="0" applyFont="1" applyFill="1" applyBorder="1" applyAlignment="1">
      <alignment horizontal="center" vertical="center"/>
    </xf>
    <xf numFmtId="0" fontId="29" fillId="19" borderId="50" xfId="0" applyFont="1" applyFill="1" applyBorder="1" applyAlignment="1">
      <alignment horizontal="center" vertical="center"/>
    </xf>
    <xf numFmtId="0" fontId="29" fillId="19" borderId="37" xfId="0" applyFont="1" applyFill="1" applyBorder="1" applyAlignment="1">
      <alignment horizontal="center" vertical="center"/>
    </xf>
    <xf numFmtId="0" fontId="29" fillId="19" borderId="1" xfId="0" applyFont="1" applyFill="1" applyBorder="1" applyAlignment="1">
      <alignment horizontal="center" vertical="center"/>
    </xf>
    <xf numFmtId="10" fontId="33" fillId="13" borderId="0" xfId="0" applyNumberFormat="1" applyFont="1" applyFill="1" applyAlignment="1">
      <alignment horizontal="center" vertical="center"/>
    </xf>
    <xf numFmtId="164" fontId="34" fillId="13" borderId="17" xfId="0" applyNumberFormat="1" applyFont="1" applyFill="1" applyBorder="1" applyAlignment="1">
      <alignment horizontal="center" vertical="center"/>
    </xf>
    <xf numFmtId="164" fontId="34" fillId="13" borderId="0" xfId="0" applyNumberFormat="1" applyFont="1" applyFill="1" applyAlignment="1">
      <alignment horizontal="center" vertical="center"/>
    </xf>
    <xf numFmtId="164" fontId="34" fillId="13" borderId="2" xfId="0" applyNumberFormat="1" applyFont="1" applyFill="1" applyBorder="1" applyAlignment="1">
      <alignment horizontal="center" vertical="center"/>
    </xf>
    <xf numFmtId="164" fontId="33" fillId="3" borderId="53" xfId="0" applyNumberFormat="1" applyFont="1" applyFill="1" applyBorder="1" applyAlignment="1">
      <alignment horizontal="center" vertical="center"/>
    </xf>
    <xf numFmtId="164" fontId="34" fillId="13" borderId="37" xfId="0" applyNumberFormat="1" applyFont="1" applyFill="1" applyBorder="1" applyAlignment="1">
      <alignment horizontal="center" vertical="center"/>
    </xf>
    <xf numFmtId="164" fontId="34" fillId="13" borderId="59" xfId="0" applyNumberFormat="1" applyFont="1" applyFill="1" applyBorder="1" applyAlignment="1">
      <alignment horizontal="center" vertical="center"/>
    </xf>
    <xf numFmtId="164" fontId="35" fillId="13" borderId="37" xfId="0" applyNumberFormat="1" applyFont="1" applyFill="1" applyBorder="1" applyAlignment="1">
      <alignment horizontal="center" vertical="center"/>
    </xf>
    <xf numFmtId="0" fontId="35" fillId="13" borderId="13" xfId="0" applyFont="1" applyFill="1" applyBorder="1" applyAlignment="1">
      <alignment horizontal="left"/>
    </xf>
    <xf numFmtId="10" fontId="35" fillId="13" borderId="50" xfId="1" applyNumberFormat="1" applyFont="1" applyFill="1" applyBorder="1" applyAlignment="1">
      <alignment horizontal="center" vertical="center" wrapText="1"/>
    </xf>
    <xf numFmtId="10" fontId="35" fillId="13" borderId="37" xfId="1" applyNumberFormat="1" applyFont="1" applyFill="1" applyBorder="1" applyAlignment="1">
      <alignment horizontal="center" vertical="center" wrapText="1"/>
    </xf>
    <xf numFmtId="10" fontId="35" fillId="13" borderId="1" xfId="1" applyNumberFormat="1" applyFont="1" applyFill="1" applyBorder="1" applyAlignment="1">
      <alignment horizontal="center" vertical="center" wrapText="1"/>
    </xf>
    <xf numFmtId="168" fontId="35" fillId="13" borderId="59" xfId="0" applyNumberFormat="1" applyFont="1" applyFill="1" applyBorder="1" applyAlignment="1">
      <alignment horizontal="center" vertical="center"/>
    </xf>
    <xf numFmtId="0" fontId="29" fillId="2" borderId="0" xfId="0" applyFont="1" applyFill="1" applyAlignment="1">
      <alignment horizontal="center" vertical="center"/>
    </xf>
    <xf numFmtId="0" fontId="0" fillId="0" borderId="143" xfId="0" applyBorder="1" applyAlignment="1">
      <alignment horizontal="center"/>
    </xf>
    <xf numFmtId="0" fontId="66" fillId="13" borderId="0" xfId="0" applyFont="1" applyFill="1" applyAlignment="1" applyProtection="1">
      <alignment horizontal="center" vertical="center" wrapText="1"/>
      <protection locked="0"/>
    </xf>
    <xf numFmtId="0" fontId="66" fillId="13" borderId="0" xfId="0" applyFont="1" applyFill="1" applyAlignment="1">
      <alignment horizontal="center" vertical="center"/>
    </xf>
    <xf numFmtId="0" fontId="33" fillId="3" borderId="50" xfId="0" applyFont="1" applyFill="1" applyBorder="1" applyAlignment="1">
      <alignment horizontal="center" vertical="center"/>
    </xf>
    <xf numFmtId="0" fontId="33" fillId="3" borderId="37" xfId="0" applyFont="1" applyFill="1" applyBorder="1" applyAlignment="1">
      <alignment horizontal="center" vertical="center"/>
    </xf>
    <xf numFmtId="0" fontId="33" fillId="3" borderId="1" xfId="0" applyFont="1" applyFill="1" applyBorder="1" applyAlignment="1">
      <alignment horizontal="center" vertical="center"/>
    </xf>
    <xf numFmtId="0" fontId="33" fillId="13" borderId="50" xfId="0" applyFont="1" applyFill="1" applyBorder="1" applyAlignment="1">
      <alignment horizontal="center" vertical="center"/>
    </xf>
    <xf numFmtId="0" fontId="33" fillId="13" borderId="37" xfId="0" applyFont="1" applyFill="1" applyBorder="1" applyAlignment="1">
      <alignment horizontal="center" vertical="center"/>
    </xf>
    <xf numFmtId="0" fontId="33" fillId="13" borderId="1" xfId="0" applyFont="1" applyFill="1" applyBorder="1" applyAlignment="1">
      <alignment horizontal="center" vertical="center"/>
    </xf>
    <xf numFmtId="0" fontId="33" fillId="13" borderId="17" xfId="0" applyFont="1" applyFill="1" applyBorder="1" applyAlignment="1">
      <alignment horizontal="center" vertical="center"/>
    </xf>
    <xf numFmtId="0" fontId="33" fillId="13" borderId="0" xfId="0" applyFont="1" applyFill="1" applyAlignment="1">
      <alignment horizontal="center" vertical="center"/>
    </xf>
    <xf numFmtId="0" fontId="33" fillId="13" borderId="2" xfId="0" applyFont="1" applyFill="1" applyBorder="1" applyAlignment="1">
      <alignment horizontal="center" vertical="center"/>
    </xf>
    <xf numFmtId="0" fontId="33" fillId="13" borderId="47" xfId="0" applyFont="1" applyFill="1" applyBorder="1" applyAlignment="1">
      <alignment horizontal="center" vertical="center"/>
    </xf>
    <xf numFmtId="0" fontId="33" fillId="13" borderId="59" xfId="0" applyFont="1" applyFill="1" applyBorder="1" applyAlignment="1">
      <alignment horizontal="center" vertical="center"/>
    </xf>
    <xf numFmtId="0" fontId="33" fillId="13" borderId="3" xfId="0" applyFont="1" applyFill="1" applyBorder="1" applyAlignment="1">
      <alignment horizontal="center" vertical="center"/>
    </xf>
    <xf numFmtId="0" fontId="33" fillId="3" borderId="48" xfId="0" applyFont="1" applyFill="1" applyBorder="1" applyAlignment="1">
      <alignment horizontal="center" vertical="center"/>
    </xf>
    <xf numFmtId="0" fontId="33" fillId="3" borderId="53" xfId="0" applyFont="1" applyFill="1" applyBorder="1" applyAlignment="1">
      <alignment horizontal="center" vertical="center"/>
    </xf>
    <xf numFmtId="0" fontId="33" fillId="3" borderId="49" xfId="0" applyFont="1" applyFill="1" applyBorder="1" applyAlignment="1">
      <alignment horizontal="center" vertical="center"/>
    </xf>
    <xf numFmtId="0" fontId="35" fillId="13" borderId="47" xfId="0" applyFont="1" applyFill="1" applyBorder="1" applyAlignment="1">
      <alignment horizontal="center" vertical="center"/>
    </xf>
    <xf numFmtId="0" fontId="35" fillId="13" borderId="59" xfId="0" applyFont="1" applyFill="1" applyBorder="1" applyAlignment="1">
      <alignment horizontal="center" vertical="center"/>
    </xf>
    <xf numFmtId="0" fontId="35" fillId="13" borderId="3" xfId="0" applyFont="1" applyFill="1" applyBorder="1" applyAlignment="1">
      <alignment horizontal="center" vertical="center"/>
    </xf>
    <xf numFmtId="0" fontId="31" fillId="13" borderId="50" xfId="0" applyFont="1" applyFill="1" applyBorder="1" applyAlignment="1">
      <alignment horizontal="center" vertical="center"/>
    </xf>
    <xf numFmtId="0" fontId="31" fillId="13" borderId="37" xfId="0" applyFont="1" applyFill="1" applyBorder="1" applyAlignment="1">
      <alignment horizontal="center" vertical="center"/>
    </xf>
    <xf numFmtId="0" fontId="31" fillId="13" borderId="1" xfId="0" applyFont="1" applyFill="1" applyBorder="1" applyAlignment="1">
      <alignment horizontal="center" vertical="center"/>
    </xf>
    <xf numFmtId="168" fontId="31" fillId="13" borderId="47" xfId="0" applyNumberFormat="1" applyFont="1" applyFill="1" applyBorder="1" applyAlignment="1">
      <alignment horizontal="center" vertical="center"/>
    </xf>
    <xf numFmtId="168" fontId="31" fillId="13" borderId="59" xfId="0" applyNumberFormat="1" applyFont="1" applyFill="1" applyBorder="1" applyAlignment="1">
      <alignment horizontal="center" vertical="center"/>
    </xf>
    <xf numFmtId="168" fontId="31" fillId="13" borderId="3" xfId="0" applyNumberFormat="1" applyFont="1" applyFill="1" applyBorder="1" applyAlignment="1">
      <alignment horizontal="center" vertical="center"/>
    </xf>
    <xf numFmtId="10" fontId="31" fillId="13" borderId="50" xfId="1" applyNumberFormat="1" applyFont="1" applyFill="1" applyBorder="1" applyAlignment="1">
      <alignment horizontal="center" vertical="center"/>
    </xf>
    <xf numFmtId="10" fontId="31" fillId="13" borderId="37" xfId="1" applyNumberFormat="1" applyFont="1" applyFill="1" applyBorder="1" applyAlignment="1">
      <alignment horizontal="center" vertical="center"/>
    </xf>
    <xf numFmtId="10" fontId="31" fillId="13" borderId="1" xfId="1" applyNumberFormat="1" applyFont="1" applyFill="1" applyBorder="1" applyAlignment="1">
      <alignment horizontal="center" vertical="center"/>
    </xf>
    <xf numFmtId="168" fontId="31" fillId="13" borderId="17" xfId="0" applyNumberFormat="1" applyFont="1" applyFill="1" applyBorder="1" applyAlignment="1">
      <alignment horizontal="center" vertical="center"/>
    </xf>
    <xf numFmtId="168" fontId="31" fillId="13" borderId="0" xfId="0" applyNumberFormat="1" applyFont="1" applyFill="1" applyAlignment="1">
      <alignment horizontal="center" vertical="center"/>
    </xf>
    <xf numFmtId="168" fontId="31" fillId="13" borderId="2" xfId="0" applyNumberFormat="1" applyFont="1" applyFill="1" applyBorder="1" applyAlignment="1">
      <alignment horizontal="center" vertical="center"/>
    </xf>
    <xf numFmtId="0" fontId="29" fillId="2" borderId="145" xfId="0" applyFont="1" applyFill="1" applyBorder="1" applyAlignment="1">
      <alignment horizontal="center" vertical="center"/>
    </xf>
    <xf numFmtId="0" fontId="0" fillId="13" borderId="143" xfId="0" applyFill="1" applyBorder="1" applyAlignment="1">
      <alignment horizontal="center"/>
    </xf>
    <xf numFmtId="168" fontId="80" fillId="13" borderId="0" xfId="0" applyNumberFormat="1" applyFont="1" applyFill="1" applyAlignment="1">
      <alignment horizontal="left" vertical="center" wrapText="1"/>
    </xf>
    <xf numFmtId="0" fontId="93" fillId="35" borderId="0" xfId="0" applyFont="1" applyFill="1" applyAlignment="1">
      <alignment horizontal="center" vertical="center" wrapText="1"/>
    </xf>
    <xf numFmtId="0" fontId="80" fillId="13" borderId="0" xfId="0" applyFont="1" applyFill="1" applyAlignment="1">
      <alignment horizontal="left" vertical="top" wrapText="1"/>
    </xf>
    <xf numFmtId="0" fontId="29" fillId="2" borderId="0" xfId="0" applyFont="1" applyFill="1" applyAlignment="1">
      <alignment horizontal="center" vertical="center" wrapText="1"/>
    </xf>
    <xf numFmtId="0" fontId="0" fillId="40" borderId="0" xfId="0" applyFill="1" applyAlignment="1">
      <alignment horizontal="center" vertical="center" wrapText="1"/>
    </xf>
    <xf numFmtId="0" fontId="0" fillId="12" borderId="52" xfId="0" quotePrefix="1" applyFill="1" applyBorder="1" applyAlignment="1">
      <alignment horizontal="center" vertical="center" wrapText="1"/>
    </xf>
    <xf numFmtId="0" fontId="0" fillId="12" borderId="102" xfId="0" quotePrefix="1" applyFill="1" applyBorder="1" applyAlignment="1">
      <alignment horizontal="center" vertical="center" wrapText="1"/>
    </xf>
    <xf numFmtId="0" fontId="0" fillId="12" borderId="19" xfId="0" quotePrefix="1" applyFill="1" applyBorder="1" applyAlignment="1">
      <alignment horizontal="center" vertical="center" wrapText="1"/>
    </xf>
    <xf numFmtId="0" fontId="29" fillId="34" borderId="0" xfId="0" applyFont="1" applyFill="1" applyAlignment="1">
      <alignment horizontal="center"/>
    </xf>
    <xf numFmtId="0" fontId="0" fillId="13" borderId="0" xfId="0" applyFill="1" applyAlignment="1">
      <alignment horizontal="left"/>
    </xf>
    <xf numFmtId="178" fontId="76" fillId="0" borderId="0" xfId="0" applyNumberFormat="1" applyFont="1" applyAlignment="1">
      <alignment horizontal="right"/>
    </xf>
    <xf numFmtId="0" fontId="78" fillId="6" borderId="121" xfId="0" applyFont="1" applyFill="1" applyBorder="1" applyAlignment="1">
      <alignment horizontal="center" vertical="center" wrapText="1"/>
    </xf>
    <xf numFmtId="0" fontId="78" fillId="6" borderId="17" xfId="0" applyFont="1" applyFill="1" applyBorder="1" applyAlignment="1">
      <alignment horizontal="center" vertical="center" wrapText="1"/>
    </xf>
    <xf numFmtId="0" fontId="78" fillId="6" borderId="47" xfId="0" applyFont="1" applyFill="1" applyBorder="1" applyAlignment="1">
      <alignment horizontal="center" vertical="center" wrapText="1"/>
    </xf>
    <xf numFmtId="0" fontId="80" fillId="13" borderId="0" xfId="0" applyFont="1" applyFill="1" applyAlignment="1">
      <alignment horizontal="left" vertical="center"/>
    </xf>
    <xf numFmtId="0" fontId="11" fillId="35" borderId="0" xfId="0" applyFont="1" applyFill="1" applyAlignment="1">
      <alignment horizontal="center" vertical="center" wrapText="1"/>
    </xf>
    <xf numFmtId="175" fontId="80" fillId="13" borderId="0" xfId="0" applyNumberFormat="1" applyFont="1" applyFill="1" applyAlignment="1">
      <alignment horizontal="left" vertical="top" wrapText="1"/>
    </xf>
    <xf numFmtId="10" fontId="35" fillId="0" borderId="0" xfId="0" applyNumberFormat="1" applyFont="1" applyAlignment="1">
      <alignment horizontal="left" vertical="top" wrapText="1"/>
    </xf>
    <xf numFmtId="0" fontId="80" fillId="13" borderId="0" xfId="0" applyFont="1" applyFill="1" applyAlignment="1" applyProtection="1">
      <alignment horizontal="left" vertical="top" wrapText="1"/>
      <protection locked="0"/>
    </xf>
    <xf numFmtId="0" fontId="80" fillId="13" borderId="0" xfId="0" applyFont="1" applyFill="1" applyAlignment="1">
      <alignment horizontal="left" vertical="center" wrapText="1"/>
    </xf>
    <xf numFmtId="0" fontId="75" fillId="13" borderId="0" xfId="0" applyFont="1" applyFill="1" applyAlignment="1">
      <alignment horizontal="left" vertical="center"/>
    </xf>
    <xf numFmtId="0" fontId="75" fillId="13" borderId="0" xfId="0" applyFont="1" applyFill="1" applyAlignment="1">
      <alignment horizontal="left" vertical="top"/>
    </xf>
    <xf numFmtId="0" fontId="76" fillId="13" borderId="0" xfId="0" applyFont="1" applyFill="1" applyAlignment="1">
      <alignment horizontal="left" vertical="top"/>
    </xf>
    <xf numFmtId="0" fontId="80" fillId="0" borderId="0" xfId="0" applyFont="1" applyAlignment="1">
      <alignment horizontal="left" vertical="top" wrapText="1"/>
    </xf>
    <xf numFmtId="0" fontId="76" fillId="38" borderId="14" xfId="0" applyFont="1" applyFill="1" applyBorder="1" applyAlignment="1">
      <alignment horizontal="left" vertical="center" wrapText="1"/>
    </xf>
    <xf numFmtId="0" fontId="76" fillId="38" borderId="15" xfId="0" applyFont="1" applyFill="1" applyBorder="1" applyAlignment="1">
      <alignment horizontal="left" vertical="center" wrapText="1"/>
    </xf>
    <xf numFmtId="0" fontId="76" fillId="13" borderId="0" xfId="0" applyFont="1" applyFill="1" applyAlignment="1">
      <alignment horizontal="left" vertical="center"/>
    </xf>
    <xf numFmtId="0" fontId="35" fillId="0" borderId="0" xfId="0" applyFont="1" applyAlignment="1">
      <alignment horizontal="left" vertical="top" wrapText="1"/>
    </xf>
    <xf numFmtId="0" fontId="76" fillId="0" borderId="0" xfId="0" applyFont="1" applyAlignment="1">
      <alignment horizontal="left" vertical="center"/>
    </xf>
    <xf numFmtId="0" fontId="80" fillId="0" borderId="14" xfId="0" applyFont="1" applyBorder="1" applyAlignment="1">
      <alignment horizontal="left" vertical="center" wrapText="1"/>
    </xf>
    <xf numFmtId="0" fontId="80" fillId="0" borderId="15" xfId="0" applyFont="1" applyBorder="1" applyAlignment="1">
      <alignment horizontal="left" vertical="center" wrapText="1"/>
    </xf>
    <xf numFmtId="179" fontId="80" fillId="0" borderId="14" xfId="0" applyNumberFormat="1" applyFont="1" applyBorder="1" applyAlignment="1">
      <alignment horizontal="left" vertical="center" wrapText="1"/>
    </xf>
    <xf numFmtId="179" fontId="80" fillId="0" borderId="15" xfId="0" applyNumberFormat="1" applyFont="1" applyBorder="1" applyAlignment="1">
      <alignment horizontal="left" vertical="center" wrapText="1"/>
    </xf>
    <xf numFmtId="0" fontId="80" fillId="0" borderId="14" xfId="0" applyFont="1" applyBorder="1" applyAlignment="1">
      <alignment horizontal="left" vertical="top" wrapText="1"/>
    </xf>
    <xf numFmtId="0" fontId="80" fillId="0" borderId="15" xfId="0" applyFont="1" applyBorder="1" applyAlignment="1">
      <alignment horizontal="left" vertical="top" wrapText="1"/>
    </xf>
    <xf numFmtId="0" fontId="14" fillId="13" borderId="0" xfId="0" applyFont="1" applyFill="1" applyAlignment="1">
      <alignment horizontal="left" vertical="center" wrapText="1"/>
    </xf>
    <xf numFmtId="0" fontId="14" fillId="0" borderId="0" xfId="0" applyFont="1" applyAlignment="1">
      <alignment horizontal="left" vertical="center" wrapText="1"/>
    </xf>
    <xf numFmtId="0" fontId="98" fillId="33" borderId="120" xfId="4" applyFont="1" applyBorder="1" applyAlignment="1" applyProtection="1">
      <alignment horizontal="center" vertical="center"/>
      <protection locked="0"/>
    </xf>
    <xf numFmtId="0" fontId="98" fillId="33" borderId="119" xfId="4" applyFont="1" applyBorder="1" applyAlignment="1" applyProtection="1">
      <alignment horizontal="center" vertical="center"/>
      <protection locked="0"/>
    </xf>
    <xf numFmtId="164" fontId="80" fillId="13" borderId="0" xfId="0" applyNumberFormat="1" applyFont="1" applyFill="1" applyAlignment="1">
      <alignment horizontal="left" vertical="top" wrapText="1"/>
    </xf>
    <xf numFmtId="0" fontId="76" fillId="13" borderId="0" xfId="0" applyFont="1" applyFill="1" applyAlignment="1">
      <alignment horizontal="left" vertical="top" wrapText="1"/>
    </xf>
    <xf numFmtId="0" fontId="76" fillId="38" borderId="14" xfId="0" applyFont="1" applyFill="1" applyBorder="1" applyAlignment="1">
      <alignment horizontal="left" vertical="top" wrapText="1"/>
    </xf>
    <xf numFmtId="0" fontId="76" fillId="38" borderId="15" xfId="0" applyFont="1" applyFill="1" applyBorder="1" applyAlignment="1">
      <alignment horizontal="left" vertical="top" wrapText="1"/>
    </xf>
    <xf numFmtId="0" fontId="76" fillId="13" borderId="0" xfId="0" applyFont="1" applyFill="1" applyAlignment="1" applyProtection="1">
      <alignment horizontal="left" vertical="top" wrapText="1"/>
      <protection locked="0"/>
    </xf>
    <xf numFmtId="0" fontId="76" fillId="13" borderId="0" xfId="0" applyFont="1" applyFill="1" applyAlignment="1">
      <alignment horizontal="left"/>
    </xf>
    <xf numFmtId="0" fontId="76" fillId="0" borderId="14" xfId="0" applyFont="1" applyBorder="1" applyAlignment="1">
      <alignment horizontal="center" vertical="center" wrapText="1"/>
    </xf>
    <xf numFmtId="0" fontId="76" fillId="0" borderId="13" xfId="0" applyFont="1" applyBorder="1" applyAlignment="1">
      <alignment horizontal="center" vertical="center" wrapText="1"/>
    </xf>
    <xf numFmtId="0" fontId="76" fillId="0" borderId="15" xfId="0" applyFont="1" applyBorder="1" applyAlignment="1">
      <alignment horizontal="center" vertical="center" wrapText="1"/>
    </xf>
    <xf numFmtId="0" fontId="76" fillId="13" borderId="51" xfId="0" applyFont="1" applyFill="1" applyBorder="1" applyAlignment="1">
      <alignment horizontal="left" vertical="top"/>
    </xf>
    <xf numFmtId="0" fontId="87" fillId="0" borderId="0" xfId="0" applyFont="1" applyAlignment="1">
      <alignment horizontal="left" vertical="center" wrapText="1"/>
    </xf>
    <xf numFmtId="0" fontId="95" fillId="13" borderId="42" xfId="0" applyFont="1" applyFill="1" applyBorder="1" applyAlignment="1">
      <alignment horizontal="left" vertical="top" wrapText="1"/>
    </xf>
    <xf numFmtId="10" fontId="80" fillId="13" borderId="0" xfId="0" applyNumberFormat="1" applyFont="1" applyFill="1" applyAlignment="1">
      <alignment horizontal="left" vertical="top" wrapText="1"/>
    </xf>
    <xf numFmtId="0" fontId="72" fillId="13" borderId="0" xfId="0" applyFont="1" applyFill="1" applyAlignment="1">
      <alignment horizontal="center" wrapText="1"/>
    </xf>
    <xf numFmtId="0" fontId="29" fillId="35" borderId="0" xfId="0" applyFont="1" applyFill="1" applyAlignment="1">
      <alignment horizontal="center" vertical="center" wrapText="1"/>
    </xf>
    <xf numFmtId="0" fontId="27" fillId="13" borderId="0" xfId="0" applyFont="1" applyFill="1" applyAlignment="1">
      <alignment horizontal="left" vertical="center" wrapText="1"/>
    </xf>
    <xf numFmtId="0" fontId="3" fillId="0" borderId="27" xfId="0" applyFont="1" applyBorder="1" applyAlignment="1" applyProtection="1">
      <alignment horizontal="center" vertical="center"/>
      <protection locked="0"/>
    </xf>
    <xf numFmtId="0" fontId="3" fillId="0" borderId="34" xfId="0" applyFont="1" applyBorder="1" applyAlignment="1" applyProtection="1">
      <alignment horizontal="center" vertical="center"/>
      <protection locked="0"/>
    </xf>
    <xf numFmtId="0" fontId="3" fillId="0" borderId="106" xfId="0" applyFont="1" applyBorder="1" applyAlignment="1" applyProtection="1">
      <alignment horizontal="center" vertical="center"/>
      <protection locked="0"/>
    </xf>
    <xf numFmtId="0" fontId="11" fillId="14" borderId="9" xfId="0" applyFont="1" applyFill="1" applyBorder="1" applyAlignment="1">
      <alignment horizontal="center" vertical="center" wrapText="1"/>
    </xf>
    <xf numFmtId="0" fontId="11" fillId="14" borderId="18" xfId="0" applyFont="1" applyFill="1" applyBorder="1" applyAlignment="1">
      <alignment horizontal="center" vertical="center" wrapText="1"/>
    </xf>
    <xf numFmtId="0" fontId="3" fillId="0" borderId="5" xfId="0" applyFont="1" applyBorder="1" applyAlignment="1" applyProtection="1">
      <alignment horizontal="center" vertical="center" wrapText="1"/>
      <protection locked="0"/>
    </xf>
    <xf numFmtId="0" fontId="3" fillId="0" borderId="35"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 fillId="0" borderId="36" xfId="0" applyFont="1" applyBorder="1" applyAlignment="1" applyProtection="1">
      <alignment horizontal="center" vertical="center" wrapText="1"/>
      <protection locked="0"/>
    </xf>
    <xf numFmtId="0" fontId="3" fillId="0" borderId="30" xfId="0" applyFont="1" applyBorder="1" applyAlignment="1" applyProtection="1">
      <alignment horizontal="center" vertical="center" wrapText="1"/>
      <protection locked="0"/>
    </xf>
    <xf numFmtId="0" fontId="3" fillId="0" borderId="33" xfId="0" applyFont="1" applyBorder="1" applyAlignment="1" applyProtection="1">
      <alignment horizontal="center" vertical="center" wrapText="1"/>
      <protection locked="0"/>
    </xf>
    <xf numFmtId="0" fontId="3" fillId="0" borderId="25" xfId="0" applyFont="1" applyBorder="1" applyAlignment="1" applyProtection="1">
      <alignment horizontal="center" vertical="center" wrapText="1"/>
      <protection locked="0"/>
    </xf>
    <xf numFmtId="0" fontId="3" fillId="0" borderId="28" xfId="0" applyFont="1" applyBorder="1" applyAlignment="1" applyProtection="1">
      <alignment horizontal="center" vertical="center"/>
      <protection locked="0"/>
    </xf>
    <xf numFmtId="0" fontId="3" fillId="0" borderId="31"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14" fontId="3" fillId="0" borderId="91" xfId="0" applyNumberFormat="1" applyFont="1" applyBorder="1" applyAlignment="1" applyProtection="1">
      <alignment horizontal="center" vertical="center"/>
      <protection locked="0"/>
    </xf>
    <xf numFmtId="14" fontId="3" fillId="0" borderId="92" xfId="0" applyNumberFormat="1" applyFont="1" applyBorder="1" applyAlignment="1" applyProtection="1">
      <alignment horizontal="center" vertical="center"/>
      <protection locked="0"/>
    </xf>
    <xf numFmtId="14" fontId="3" fillId="0" borderId="93" xfId="0" applyNumberFormat="1" applyFont="1" applyBorder="1" applyAlignment="1" applyProtection="1">
      <alignment horizontal="center" vertical="center"/>
      <protection locked="0"/>
    </xf>
    <xf numFmtId="168" fontId="3" fillId="0" borderId="96" xfId="2" applyNumberFormat="1" applyFont="1" applyBorder="1" applyAlignment="1" applyProtection="1">
      <alignment horizontal="center" vertical="center"/>
      <protection locked="0"/>
    </xf>
    <xf numFmtId="168" fontId="3" fillId="0" borderId="97" xfId="2" applyNumberFormat="1" applyFont="1" applyBorder="1" applyAlignment="1" applyProtection="1">
      <alignment horizontal="center" vertical="center"/>
      <protection locked="0"/>
    </xf>
    <xf numFmtId="168" fontId="3" fillId="10" borderId="36" xfId="0" applyNumberFormat="1" applyFont="1" applyFill="1" applyBorder="1" applyAlignment="1" applyProtection="1">
      <alignment horizontal="center" vertical="center"/>
      <protection locked="0"/>
    </xf>
    <xf numFmtId="168" fontId="3" fillId="0" borderId="98" xfId="0" applyNumberFormat="1" applyFont="1" applyBorder="1" applyAlignment="1" applyProtection="1">
      <alignment horizontal="center" vertical="center"/>
      <protection locked="0"/>
    </xf>
    <xf numFmtId="168" fontId="3" fillId="10" borderId="61" xfId="0" applyNumberFormat="1" applyFont="1" applyFill="1" applyBorder="1" applyAlignment="1">
      <alignment horizontal="center" vertical="center"/>
    </xf>
    <xf numFmtId="168" fontId="3" fillId="10" borderId="63" xfId="0" applyNumberFormat="1" applyFont="1" applyFill="1" applyBorder="1" applyAlignment="1">
      <alignment horizontal="center" vertical="center"/>
    </xf>
    <xf numFmtId="168" fontId="3" fillId="10" borderId="95" xfId="0" applyNumberFormat="1" applyFont="1" applyFill="1" applyBorder="1" applyAlignment="1">
      <alignment horizontal="center" vertical="center"/>
    </xf>
    <xf numFmtId="10" fontId="3" fillId="5" borderId="29" xfId="1" applyNumberFormat="1" applyFont="1" applyFill="1" applyBorder="1" applyAlignment="1">
      <alignment horizontal="center" vertical="center"/>
    </xf>
    <xf numFmtId="10" fontId="3" fillId="5" borderId="32" xfId="1" applyNumberFormat="1" applyFont="1" applyFill="1" applyBorder="1" applyAlignment="1">
      <alignment horizontal="center" vertical="center"/>
    </xf>
    <xf numFmtId="10" fontId="3" fillId="5" borderId="24" xfId="1" applyNumberFormat="1" applyFont="1" applyFill="1" applyBorder="1" applyAlignment="1">
      <alignment horizontal="center" vertical="center"/>
    </xf>
    <xf numFmtId="0" fontId="3" fillId="0" borderId="22" xfId="0" applyFont="1" applyBorder="1" applyAlignment="1" applyProtection="1">
      <alignment horizontal="center" vertical="center" wrapText="1"/>
      <protection locked="0"/>
    </xf>
    <xf numFmtId="165" fontId="3" fillId="0" borderId="20" xfId="0" applyNumberFormat="1" applyFont="1" applyBorder="1" applyAlignment="1" applyProtection="1">
      <alignment horizontal="center" vertical="center"/>
      <protection locked="0"/>
    </xf>
    <xf numFmtId="165" fontId="3" fillId="0" borderId="31" xfId="0" applyNumberFormat="1" applyFont="1" applyBorder="1" applyAlignment="1" applyProtection="1">
      <alignment horizontal="center" vertical="center"/>
      <protection locked="0"/>
    </xf>
    <xf numFmtId="165" fontId="3" fillId="0" borderId="23" xfId="0" applyNumberFormat="1" applyFont="1" applyBorder="1" applyAlignment="1" applyProtection="1">
      <alignment horizontal="center" vertical="center"/>
      <protection locked="0"/>
    </xf>
    <xf numFmtId="14" fontId="3" fillId="0" borderId="94" xfId="0" applyNumberFormat="1" applyFont="1" applyBorder="1" applyAlignment="1" applyProtection="1">
      <alignment horizontal="center" vertical="center"/>
      <protection locked="0"/>
    </xf>
    <xf numFmtId="168" fontId="3" fillId="0" borderId="107" xfId="0" applyNumberFormat="1" applyFont="1" applyBorder="1" applyAlignment="1" applyProtection="1">
      <alignment horizontal="center" vertical="center"/>
      <protection locked="0"/>
    </xf>
    <xf numFmtId="168" fontId="3" fillId="0" borderId="115" xfId="0" applyNumberFormat="1" applyFont="1" applyBorder="1" applyAlignment="1" applyProtection="1">
      <alignment horizontal="center" vertical="center"/>
      <protection locked="0"/>
    </xf>
    <xf numFmtId="168" fontId="3" fillId="10" borderId="65" xfId="0" applyNumberFormat="1" applyFont="1" applyFill="1" applyBorder="1" applyAlignment="1">
      <alignment horizontal="center" vertical="center"/>
    </xf>
    <xf numFmtId="168" fontId="3" fillId="0" borderId="99" xfId="2" applyNumberFormat="1" applyFont="1" applyBorder="1" applyAlignment="1" applyProtection="1">
      <alignment horizontal="center" vertical="center"/>
      <protection locked="0"/>
    </xf>
    <xf numFmtId="168" fontId="3" fillId="10" borderId="113" xfId="0" applyNumberFormat="1" applyFont="1" applyFill="1" applyBorder="1" applyAlignment="1" applyProtection="1">
      <alignment horizontal="center" vertical="center"/>
      <protection locked="0"/>
    </xf>
    <xf numFmtId="168" fontId="3" fillId="0" borderId="114" xfId="0" applyNumberFormat="1" applyFont="1" applyBorder="1" applyAlignment="1" applyProtection="1">
      <alignment horizontal="center" vertical="center"/>
      <protection locked="0"/>
    </xf>
    <xf numFmtId="0" fontId="3" fillId="0" borderId="101" xfId="0" applyFont="1" applyBorder="1" applyAlignment="1" applyProtection="1">
      <alignment horizontal="center" vertical="center" wrapText="1"/>
      <protection locked="0"/>
    </xf>
    <xf numFmtId="165" fontId="3" fillId="0" borderId="7" xfId="0" applyNumberFormat="1" applyFont="1" applyBorder="1" applyAlignment="1" applyProtection="1">
      <alignment horizontal="center" vertical="center"/>
      <protection locked="0"/>
    </xf>
    <xf numFmtId="14" fontId="3" fillId="0" borderId="101" xfId="0" applyNumberFormat="1" applyFont="1" applyBorder="1" applyAlignment="1" applyProtection="1">
      <alignment horizontal="center" vertical="center"/>
      <protection locked="0"/>
    </xf>
    <xf numFmtId="0" fontId="2" fillId="13" borderId="14" xfId="0" applyFont="1" applyFill="1" applyBorder="1" applyAlignment="1">
      <alignment horizontal="center"/>
    </xf>
    <xf numFmtId="0" fontId="2" fillId="13" borderId="13" xfId="0" applyFont="1" applyFill="1" applyBorder="1" applyAlignment="1">
      <alignment horizontal="center"/>
    </xf>
    <xf numFmtId="0" fontId="12" fillId="0" borderId="50" xfId="0" applyFont="1" applyBorder="1" applyAlignment="1">
      <alignment horizontal="center" vertical="center"/>
    </xf>
    <xf numFmtId="0" fontId="12" fillId="0" borderId="37" xfId="0" applyFont="1" applyBorder="1" applyAlignment="1">
      <alignment horizontal="center" vertical="center"/>
    </xf>
    <xf numFmtId="0" fontId="12" fillId="0" borderId="1" xfId="0" applyFont="1" applyBorder="1" applyAlignment="1">
      <alignment horizontal="center" vertical="center"/>
    </xf>
    <xf numFmtId="0" fontId="3" fillId="0" borderId="8"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protection locked="0"/>
    </xf>
    <xf numFmtId="0" fontId="58" fillId="14" borderId="0" xfId="0" applyFont="1" applyFill="1" applyAlignment="1">
      <alignment horizontal="center" wrapText="1"/>
    </xf>
    <xf numFmtId="0" fontId="61" fillId="14" borderId="4" xfId="0" applyFont="1" applyFill="1" applyBorder="1" applyAlignment="1" applyProtection="1">
      <alignment horizontal="center" vertical="center" wrapText="1"/>
      <protection locked="0"/>
    </xf>
    <xf numFmtId="0" fontId="19" fillId="13" borderId="0" xfId="0" applyFont="1" applyFill="1" applyAlignment="1">
      <alignment horizontal="center" vertical="center" wrapText="1"/>
    </xf>
    <xf numFmtId="168" fontId="19" fillId="13" borderId="0" xfId="0" applyNumberFormat="1" applyFont="1" applyFill="1" applyAlignment="1">
      <alignment horizontal="center" vertical="center" wrapText="1"/>
    </xf>
    <xf numFmtId="44" fontId="122" fillId="29" borderId="0" xfId="0" applyNumberFormat="1" applyFont="1" applyFill="1" applyAlignment="1" applyProtection="1">
      <alignment horizontal="center" wrapText="1"/>
      <protection locked="0"/>
    </xf>
    <xf numFmtId="0" fontId="122" fillId="45" borderId="0" xfId="0" applyFont="1" applyFill="1" applyAlignment="1" applyProtection="1">
      <alignment horizontal="center"/>
      <protection locked="0"/>
    </xf>
    <xf numFmtId="0" fontId="29" fillId="14" borderId="50" xfId="0" applyFont="1" applyFill="1" applyBorder="1" applyAlignment="1">
      <alignment horizontal="center"/>
    </xf>
    <xf numFmtId="0" fontId="29" fillId="14" borderId="37" xfId="0" applyFont="1" applyFill="1" applyBorder="1" applyAlignment="1">
      <alignment horizontal="center"/>
    </xf>
    <xf numFmtId="0" fontId="29" fillId="14" borderId="1" xfId="0" applyFont="1" applyFill="1" applyBorder="1" applyAlignment="1">
      <alignment horizontal="center"/>
    </xf>
    <xf numFmtId="0" fontId="21" fillId="14" borderId="0" xfId="0" applyFont="1" applyFill="1" applyAlignment="1">
      <alignment horizontal="center" vertical="center"/>
    </xf>
    <xf numFmtId="0" fontId="21" fillId="13" borderId="0" xfId="0" applyFont="1" applyFill="1" applyAlignment="1">
      <alignment horizontal="center" vertical="center"/>
    </xf>
    <xf numFmtId="0" fontId="29" fillId="14" borderId="48" xfId="0" applyFont="1" applyFill="1" applyBorder="1" applyAlignment="1">
      <alignment horizontal="center"/>
    </xf>
    <xf numFmtId="0" fontId="29" fillId="14" borderId="49" xfId="0" applyFont="1" applyFill="1" applyBorder="1" applyAlignment="1">
      <alignment horizontal="center"/>
    </xf>
    <xf numFmtId="0" fontId="29" fillId="14" borderId="53" xfId="0" applyFont="1" applyFill="1" applyBorder="1" applyAlignment="1">
      <alignment horizontal="center"/>
    </xf>
    <xf numFmtId="0" fontId="67" fillId="17" borderId="0" xfId="0" applyFont="1" applyFill="1" applyAlignment="1">
      <alignment horizontal="center" vertical="center"/>
    </xf>
    <xf numFmtId="0" fontId="68" fillId="17" borderId="0" xfId="0" applyFont="1" applyFill="1" applyAlignment="1">
      <alignment horizontal="center" vertical="center"/>
    </xf>
    <xf numFmtId="0" fontId="66" fillId="13" borderId="0" xfId="0" applyFont="1" applyFill="1" applyAlignment="1">
      <alignment horizontal="center" wrapText="1"/>
    </xf>
    <xf numFmtId="0" fontId="66" fillId="13" borderId="59" xfId="0" applyFont="1" applyFill="1" applyBorder="1" applyAlignment="1">
      <alignment horizontal="center" wrapText="1"/>
    </xf>
    <xf numFmtId="0" fontId="53" fillId="30" borderId="38" xfId="0" applyFont="1" applyFill="1" applyBorder="1" applyAlignment="1">
      <alignment horizontal="center" vertical="center"/>
    </xf>
    <xf numFmtId="0" fontId="117" fillId="13" borderId="0" xfId="0" applyFont="1" applyFill="1" applyAlignment="1">
      <alignment horizontal="center" vertical="center" wrapText="1"/>
    </xf>
    <xf numFmtId="0" fontId="19" fillId="13" borderId="0" xfId="0" quotePrefix="1" applyFont="1" applyFill="1" applyAlignment="1">
      <alignment horizontal="left" vertical="top" wrapText="1"/>
    </xf>
    <xf numFmtId="0" fontId="19" fillId="13" borderId="17" xfId="0" applyFont="1" applyFill="1" applyBorder="1" applyAlignment="1">
      <alignment horizontal="left" vertical="center" wrapText="1" indent="1"/>
    </xf>
    <xf numFmtId="0" fontId="19" fillId="13" borderId="0" xfId="0" applyFont="1" applyFill="1" applyAlignment="1">
      <alignment horizontal="left" vertical="center" wrapText="1" indent="1"/>
    </xf>
    <xf numFmtId="0" fontId="111" fillId="13" borderId="0" xfId="0" quotePrefix="1" applyFont="1" applyFill="1" applyAlignment="1">
      <alignment horizontal="left" vertical="center" wrapText="1"/>
    </xf>
    <xf numFmtId="0" fontId="35" fillId="13" borderId="0" xfId="0" quotePrefix="1" applyFont="1" applyFill="1" applyAlignment="1">
      <alignment horizontal="left" vertical="center" wrapText="1"/>
    </xf>
    <xf numFmtId="0" fontId="35" fillId="13" borderId="59" xfId="0" quotePrefix="1" applyFont="1" applyFill="1" applyBorder="1" applyAlignment="1">
      <alignment horizontal="left" vertical="center" wrapText="1"/>
    </xf>
    <xf numFmtId="0" fontId="112" fillId="13" borderId="17" xfId="0" applyFont="1" applyFill="1" applyBorder="1" applyAlignment="1">
      <alignment horizontal="left" vertical="top" wrapText="1" indent="1"/>
    </xf>
    <xf numFmtId="0" fontId="19" fillId="13" borderId="0" xfId="0" applyFont="1" applyFill="1" applyAlignment="1">
      <alignment horizontal="left" vertical="top" wrapText="1" indent="1"/>
    </xf>
    <xf numFmtId="0" fontId="19" fillId="13" borderId="17" xfId="0" applyFont="1" applyFill="1" applyBorder="1" applyAlignment="1">
      <alignment horizontal="left" vertical="top" wrapText="1" indent="1"/>
    </xf>
    <xf numFmtId="0" fontId="57" fillId="0" borderId="0" xfId="0" applyFont="1" applyAlignment="1">
      <alignment horizontal="center"/>
    </xf>
    <xf numFmtId="0" fontId="57" fillId="0" borderId="79" xfId="0" applyFont="1" applyBorder="1" applyAlignment="1">
      <alignment horizontal="center"/>
    </xf>
    <xf numFmtId="0" fontId="57" fillId="0" borderId="50" xfId="0" applyFont="1" applyBorder="1" applyAlignment="1">
      <alignment horizontal="center" vertical="center"/>
    </xf>
    <xf numFmtId="0" fontId="57" fillId="0" borderId="37" xfId="0" applyFont="1" applyBorder="1" applyAlignment="1">
      <alignment horizontal="center" vertical="center"/>
    </xf>
    <xf numFmtId="0" fontId="57" fillId="0" borderId="1" xfId="0" applyFont="1" applyBorder="1" applyAlignment="1">
      <alignment horizontal="center" vertical="center"/>
    </xf>
    <xf numFmtId="0" fontId="57" fillId="0" borderId="47" xfId="0" applyFont="1" applyBorder="1" applyAlignment="1">
      <alignment horizontal="center" vertical="center"/>
    </xf>
    <xf numFmtId="0" fontId="57" fillId="0" borderId="59" xfId="0" applyFont="1" applyBorder="1" applyAlignment="1">
      <alignment horizontal="center" vertical="center"/>
    </xf>
    <xf numFmtId="0" fontId="57" fillId="0" borderId="3" xfId="0" applyFont="1" applyBorder="1" applyAlignment="1">
      <alignment horizontal="center" vertical="center"/>
    </xf>
    <xf numFmtId="0" fontId="14" fillId="0" borderId="60" xfId="0" applyFont="1" applyBorder="1" applyAlignment="1">
      <alignment horizontal="center" vertical="center"/>
    </xf>
    <xf numFmtId="0" fontId="14" fillId="0" borderId="61" xfId="0" applyFont="1" applyBorder="1" applyAlignment="1">
      <alignment horizontal="center" vertical="center"/>
    </xf>
    <xf numFmtId="0" fontId="14" fillId="0" borderId="64" xfId="0" applyFont="1" applyBorder="1" applyAlignment="1">
      <alignment horizontal="center" vertical="center"/>
    </xf>
    <xf numFmtId="0" fontId="14" fillId="0" borderId="65" xfId="0" applyFont="1" applyBorder="1" applyAlignment="1">
      <alignment horizontal="center" vertical="center"/>
    </xf>
    <xf numFmtId="0" fontId="0" fillId="6" borderId="0" xfId="0" applyFill="1" applyAlignment="1">
      <alignment horizontal="center"/>
    </xf>
  </cellXfs>
  <cellStyles count="9">
    <cellStyle name="Comma" xfId="2" builtinId="3"/>
    <cellStyle name="Comma 2" xfId="6" xr:uid="{8B3754D8-5990-4146-BDA8-A0D342AF0129}"/>
    <cellStyle name="Comma 3" xfId="8" xr:uid="{1422C618-29FE-44C0-B36F-E4AD0152C03B}"/>
    <cellStyle name="Currency" xfId="3" builtinId="4"/>
    <cellStyle name="Currency 2" xfId="5" xr:uid="{B986EF25-212C-4ADB-BC31-A13786B5ADF7}"/>
    <cellStyle name="Input" xfId="4" builtinId="20"/>
    <cellStyle name="Normal" xfId="0" builtinId="0"/>
    <cellStyle name="Per cent" xfId="1" builtinId="5"/>
    <cellStyle name="Percent 2" xfId="7" xr:uid="{5E3B7B5D-F396-4A72-9620-901B2BA61495}"/>
  </cellStyles>
  <dxfs count="249">
    <dxf>
      <font>
        <color theme="0" tint="-4.9989318521683403E-2"/>
      </font>
    </dxf>
    <dxf>
      <font>
        <b/>
        <i val="0"/>
        <color theme="0"/>
      </font>
      <fill>
        <patternFill>
          <bgColor rgb="FFFF0000"/>
        </patternFill>
      </fill>
    </dxf>
    <dxf>
      <font>
        <color theme="0"/>
      </font>
      <fill>
        <patternFill>
          <bgColor rgb="FFFF0000"/>
        </patternFill>
      </fill>
    </dxf>
    <dxf>
      <font>
        <color theme="0" tint="-4.9989318521683403E-2"/>
      </font>
    </dxf>
    <dxf>
      <font>
        <color theme="0" tint="-4.9989318521683403E-2"/>
      </font>
    </dxf>
    <dxf>
      <font>
        <color theme="0"/>
      </font>
      <fill>
        <patternFill>
          <bgColor rgb="FFFF0000"/>
        </patternFill>
      </fill>
    </dxf>
    <dxf>
      <font>
        <color theme="0" tint="-4.9989318521683403E-2"/>
      </font>
    </dxf>
    <dxf>
      <font>
        <color theme="0"/>
      </font>
      <fill>
        <patternFill>
          <bgColor rgb="FFFF0000"/>
        </patternFill>
      </fill>
    </dxf>
    <dxf>
      <fill>
        <patternFill>
          <bgColor rgb="FFFF6969"/>
        </patternFill>
      </fill>
    </dxf>
    <dxf>
      <fill>
        <patternFill>
          <bgColor rgb="FFFF6969"/>
        </patternFill>
      </fill>
    </dxf>
    <dxf>
      <font>
        <color theme="0"/>
      </font>
      <fill>
        <patternFill>
          <bgColor theme="0"/>
        </patternFill>
      </fill>
      <border>
        <left style="thin">
          <color theme="0"/>
        </left>
        <right style="thin">
          <color theme="0"/>
        </right>
        <top style="thin">
          <color theme="0"/>
        </top>
        <bottom style="thin">
          <color theme="0"/>
        </bottom>
      </border>
    </dxf>
    <dxf>
      <fill>
        <patternFill>
          <bgColor rgb="FFFF5353"/>
        </patternFill>
      </fill>
    </dxf>
    <dxf>
      <fill>
        <patternFill>
          <bgColor rgb="FFFF5353"/>
        </patternFill>
      </fill>
    </dxf>
    <dxf>
      <fill>
        <patternFill>
          <bgColor rgb="FFFF5353"/>
        </patternFill>
      </fill>
    </dxf>
    <dxf>
      <fill>
        <patternFill>
          <bgColor rgb="FFFF5757"/>
        </patternFill>
      </fill>
    </dxf>
    <dxf>
      <fill>
        <patternFill>
          <bgColor rgb="FFFF5757"/>
        </patternFill>
      </fill>
    </dxf>
    <dxf>
      <fill>
        <patternFill>
          <bgColor rgb="FFFF5353"/>
        </patternFill>
      </fill>
    </dxf>
    <dxf>
      <fill>
        <patternFill>
          <bgColor rgb="FFFF6969"/>
        </patternFill>
      </fill>
    </dxf>
    <dxf>
      <fill>
        <patternFill>
          <bgColor rgb="FFFF6969"/>
        </patternFill>
      </fill>
    </dxf>
    <dxf>
      <font>
        <color theme="0"/>
      </font>
      <fill>
        <patternFill>
          <bgColor theme="0"/>
        </patternFill>
      </fill>
      <border>
        <left style="thin">
          <color theme="0"/>
        </left>
        <right style="thin">
          <color theme="0"/>
        </right>
        <top style="thin">
          <color theme="0"/>
        </top>
        <bottom style="thin">
          <color theme="0"/>
        </bottom>
      </border>
    </dxf>
    <dxf>
      <fill>
        <patternFill>
          <bgColor rgb="FFFF5353"/>
        </patternFill>
      </fill>
    </dxf>
    <dxf>
      <fill>
        <patternFill>
          <bgColor rgb="FFFF5353"/>
        </patternFill>
      </fill>
    </dxf>
    <dxf>
      <fill>
        <patternFill>
          <bgColor rgb="FFFF5353"/>
        </patternFill>
      </fill>
    </dxf>
    <dxf>
      <fill>
        <patternFill>
          <bgColor rgb="FFFF5757"/>
        </patternFill>
      </fill>
    </dxf>
    <dxf>
      <fill>
        <patternFill>
          <bgColor rgb="FFFF5757"/>
        </patternFill>
      </fill>
    </dxf>
    <dxf>
      <fill>
        <patternFill>
          <bgColor rgb="FFFF5353"/>
        </patternFill>
      </fill>
    </dxf>
    <dxf>
      <font>
        <color theme="0"/>
      </font>
    </dxf>
    <dxf>
      <font>
        <color theme="0" tint="-4.9989318521683403E-2"/>
      </font>
    </dxf>
    <dxf>
      <font>
        <color theme="0"/>
      </font>
      <fill>
        <patternFill>
          <bgColor theme="0"/>
        </patternFill>
      </fill>
      <border>
        <left style="thin">
          <color theme="0"/>
        </left>
        <right style="thin">
          <color theme="0"/>
        </right>
        <top style="thin">
          <color theme="0"/>
        </top>
        <bottom style="thin">
          <color theme="0"/>
        </bottom>
      </border>
    </dxf>
    <dxf>
      <font>
        <color theme="0"/>
      </font>
      <fill>
        <patternFill>
          <bgColor theme="0"/>
        </patternFill>
      </fill>
      <border>
        <left style="thin">
          <color theme="0"/>
        </left>
        <right style="thin">
          <color theme="0"/>
        </right>
        <top style="thin">
          <color theme="0"/>
        </top>
        <bottom style="thin">
          <color theme="0"/>
        </bottom>
      </border>
    </dxf>
    <dxf>
      <font>
        <color theme="0"/>
      </font>
      <fill>
        <patternFill>
          <bgColor theme="0"/>
        </patternFill>
      </fill>
      <border>
        <left style="thin">
          <color theme="0"/>
        </left>
        <right style="thin">
          <color theme="0"/>
        </right>
        <top style="thin">
          <color theme="0"/>
        </top>
        <bottom style="thin">
          <color theme="0"/>
        </bottom>
      </border>
    </dxf>
    <dxf>
      <font>
        <color theme="0"/>
      </font>
    </dxf>
    <dxf>
      <font>
        <color theme="0" tint="-4.9989318521683403E-2"/>
      </font>
    </dxf>
    <dxf>
      <fill>
        <patternFill>
          <bgColor rgb="FFFF6969"/>
        </patternFill>
      </fill>
    </dxf>
    <dxf>
      <fill>
        <patternFill>
          <bgColor rgb="FFFF6969"/>
        </patternFill>
      </fill>
    </dxf>
    <dxf>
      <font>
        <color theme="0"/>
      </font>
      <fill>
        <patternFill>
          <bgColor theme="0"/>
        </patternFill>
      </fill>
      <border>
        <left style="thin">
          <color theme="0"/>
        </left>
        <right style="thin">
          <color theme="0"/>
        </right>
        <top style="thin">
          <color theme="0"/>
        </top>
        <bottom style="thin">
          <color theme="0"/>
        </bottom>
      </border>
    </dxf>
    <dxf>
      <fill>
        <patternFill>
          <bgColor rgb="FFFF5353"/>
        </patternFill>
      </fill>
    </dxf>
    <dxf>
      <fill>
        <patternFill>
          <bgColor rgb="FFFF5353"/>
        </patternFill>
      </fill>
    </dxf>
    <dxf>
      <fill>
        <patternFill>
          <bgColor rgb="FFFF5353"/>
        </patternFill>
      </fill>
    </dxf>
    <dxf>
      <fill>
        <patternFill>
          <bgColor rgb="FFFF5757"/>
        </patternFill>
      </fill>
    </dxf>
    <dxf>
      <fill>
        <patternFill>
          <bgColor rgb="FFFF5757"/>
        </patternFill>
      </fill>
    </dxf>
    <dxf>
      <fill>
        <patternFill>
          <bgColor rgb="FFFF5353"/>
        </patternFill>
      </fill>
    </dxf>
    <dxf>
      <fill>
        <patternFill>
          <bgColor rgb="FFFF6969"/>
        </patternFill>
      </fill>
    </dxf>
    <dxf>
      <fill>
        <patternFill>
          <bgColor rgb="FFFF6969"/>
        </patternFill>
      </fill>
    </dxf>
    <dxf>
      <font>
        <color theme="0"/>
      </font>
      <fill>
        <patternFill>
          <bgColor theme="0"/>
        </patternFill>
      </fill>
      <border>
        <left style="thin">
          <color theme="0"/>
        </left>
        <right style="thin">
          <color theme="0"/>
        </right>
        <top style="thin">
          <color theme="0"/>
        </top>
        <bottom style="thin">
          <color theme="0"/>
        </bottom>
      </border>
    </dxf>
    <dxf>
      <fill>
        <patternFill>
          <bgColor rgb="FFFF5353"/>
        </patternFill>
      </fill>
    </dxf>
    <dxf>
      <fill>
        <patternFill>
          <bgColor rgb="FFFF5353"/>
        </patternFill>
      </fill>
    </dxf>
    <dxf>
      <fill>
        <patternFill>
          <bgColor rgb="FFFF5353"/>
        </patternFill>
      </fill>
    </dxf>
    <dxf>
      <fill>
        <patternFill>
          <bgColor rgb="FFFF5757"/>
        </patternFill>
      </fill>
    </dxf>
    <dxf>
      <fill>
        <patternFill>
          <bgColor rgb="FFFF5757"/>
        </patternFill>
      </fill>
    </dxf>
    <dxf>
      <fill>
        <patternFill>
          <bgColor rgb="FFFF5353"/>
        </patternFill>
      </fill>
    </dxf>
    <dxf>
      <fill>
        <patternFill>
          <bgColor rgb="FFFF6969"/>
        </patternFill>
      </fill>
    </dxf>
    <dxf>
      <fill>
        <patternFill>
          <bgColor rgb="FFFF6969"/>
        </patternFill>
      </fill>
    </dxf>
    <dxf>
      <font>
        <color theme="0"/>
      </font>
      <fill>
        <patternFill>
          <bgColor theme="0"/>
        </patternFill>
      </fill>
      <border>
        <left style="thin">
          <color theme="0"/>
        </left>
        <right style="thin">
          <color theme="0"/>
        </right>
        <top style="thin">
          <color theme="0"/>
        </top>
        <bottom style="thin">
          <color theme="0"/>
        </bottom>
      </border>
    </dxf>
    <dxf>
      <fill>
        <patternFill>
          <bgColor rgb="FFFF4747"/>
        </patternFill>
      </fill>
    </dxf>
    <dxf>
      <font>
        <color theme="0"/>
      </font>
      <fill>
        <patternFill>
          <bgColor theme="0"/>
        </patternFill>
      </fill>
    </dxf>
    <dxf>
      <font>
        <color theme="0"/>
      </font>
      <fill>
        <patternFill>
          <bgColor theme="0"/>
        </patternFill>
      </fill>
      <border>
        <left style="thin">
          <color theme="0"/>
        </left>
        <right style="thin">
          <color theme="0"/>
        </right>
        <top style="thin">
          <color theme="0"/>
        </top>
        <bottom style="thin">
          <color theme="0"/>
        </bottom>
      </border>
    </dxf>
    <dxf>
      <fill>
        <patternFill>
          <bgColor theme="8" tint="0.79998168889431442"/>
        </patternFill>
      </fill>
    </dxf>
    <dxf>
      <fill>
        <patternFill>
          <bgColor theme="7" tint="0.79998168889431442"/>
        </patternFill>
      </fill>
    </dxf>
    <dxf>
      <fill>
        <patternFill>
          <bgColor theme="8" tint="0.79998168889431442"/>
        </patternFill>
      </fill>
    </dxf>
    <dxf>
      <fill>
        <patternFill>
          <bgColor theme="7" tint="0.79998168889431442"/>
        </patternFill>
      </fill>
    </dxf>
    <dxf>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font>
        <color theme="3" tint="0.79998168889431442"/>
      </font>
    </dxf>
    <dxf>
      <fill>
        <patternFill>
          <bgColor theme="5" tint="0.39994506668294322"/>
        </patternFill>
      </fill>
    </dxf>
    <dxf>
      <font>
        <b/>
        <i val="0"/>
        <color theme="0"/>
      </font>
      <fill>
        <patternFill>
          <bgColor rgb="FFFF0000"/>
        </patternFill>
      </fill>
    </dxf>
    <dxf>
      <font>
        <color theme="0"/>
      </font>
    </dxf>
    <dxf>
      <font>
        <color theme="0"/>
      </font>
    </dxf>
    <dxf>
      <font>
        <color theme="0"/>
      </font>
      <fill>
        <patternFill>
          <bgColor theme="0"/>
        </patternFill>
      </fill>
      <border>
        <left/>
        <right/>
        <top/>
        <bottom/>
      </border>
    </dxf>
    <dxf>
      <font>
        <b/>
        <i val="0"/>
        <color theme="0"/>
      </font>
      <fill>
        <patternFill>
          <bgColor rgb="FFFF0000"/>
        </patternFill>
      </fill>
    </dxf>
    <dxf>
      <font>
        <color theme="0"/>
      </font>
    </dxf>
    <dxf>
      <font>
        <color theme="0"/>
      </font>
    </dxf>
    <dxf>
      <fill>
        <patternFill>
          <bgColor theme="0"/>
        </patternFill>
      </fill>
    </dxf>
    <dxf>
      <font>
        <color theme="0"/>
      </font>
    </dxf>
    <dxf>
      <font>
        <color theme="0"/>
      </font>
    </dxf>
    <dxf>
      <font>
        <color theme="0"/>
      </font>
      <fill>
        <patternFill>
          <bgColor theme="0"/>
        </patternFill>
      </fill>
    </dxf>
    <dxf>
      <fill>
        <patternFill>
          <bgColor theme="0"/>
        </patternFill>
      </fill>
      <border>
        <left/>
        <right/>
        <top/>
        <bottom/>
        <vertical/>
        <horizontal/>
      </border>
    </dxf>
    <dxf>
      <font>
        <color theme="0"/>
      </font>
      <fill>
        <patternFill>
          <fgColor theme="0"/>
          <bgColor rgb="FFFF0000"/>
        </patternFill>
      </fill>
    </dxf>
    <dxf>
      <font>
        <color theme="0"/>
      </font>
      <fill>
        <patternFill patternType="solid">
          <bgColor theme="0"/>
        </patternFill>
      </fill>
    </dxf>
    <dxf>
      <font>
        <color theme="0"/>
      </font>
    </dxf>
    <dxf>
      <font>
        <strike/>
        <color theme="0"/>
      </font>
      <fill>
        <patternFill>
          <bgColor rgb="FFFF0000"/>
        </patternFill>
      </fill>
    </dxf>
    <dxf>
      <font>
        <color theme="0"/>
      </font>
      <fill>
        <patternFill>
          <bgColor rgb="FFFF0000"/>
        </patternFill>
      </fill>
    </dxf>
    <dxf>
      <font>
        <color theme="0"/>
      </font>
    </dxf>
    <dxf>
      <font>
        <color theme="0"/>
      </font>
    </dxf>
    <dxf>
      <font>
        <b/>
        <i val="0"/>
        <color theme="0"/>
      </font>
      <fill>
        <patternFill>
          <bgColor rgb="FFFF0000"/>
        </patternFill>
      </fill>
    </dxf>
    <dxf>
      <font>
        <color theme="0"/>
      </font>
      <fill>
        <patternFill>
          <bgColor theme="0"/>
        </patternFill>
      </fill>
      <border>
        <left/>
        <right/>
        <top/>
        <bottom/>
      </border>
    </dxf>
    <dxf>
      <font>
        <b/>
        <i val="0"/>
        <color theme="0"/>
      </font>
      <fill>
        <patternFill>
          <bgColor rgb="FFFF0000"/>
        </patternFill>
      </fill>
    </dxf>
    <dxf>
      <font>
        <b/>
        <i val="0"/>
        <color theme="0"/>
      </font>
      <fill>
        <patternFill>
          <bgColor rgb="FFFF0000"/>
        </patternFill>
      </fill>
    </dxf>
    <dxf>
      <font>
        <color theme="0"/>
      </font>
    </dxf>
    <dxf>
      <font>
        <b/>
        <i val="0"/>
        <color theme="0"/>
      </font>
      <fill>
        <patternFill>
          <bgColor rgb="FFFF0000"/>
        </patternFill>
      </fill>
    </dxf>
    <dxf>
      <font>
        <color theme="0"/>
      </font>
    </dxf>
    <dxf>
      <font>
        <color theme="0"/>
      </font>
      <fill>
        <patternFill>
          <bgColor theme="0"/>
        </patternFill>
      </fill>
    </dxf>
    <dxf>
      <fill>
        <patternFill>
          <bgColor theme="0"/>
        </patternFill>
      </fill>
    </dxf>
    <dxf>
      <font>
        <color theme="0"/>
      </font>
    </dxf>
    <dxf>
      <font>
        <color theme="0"/>
      </font>
    </dxf>
    <dxf>
      <font>
        <color theme="0"/>
      </font>
      <fill>
        <patternFill>
          <bgColor theme="0"/>
        </patternFill>
      </fill>
    </dxf>
    <dxf>
      <font>
        <color theme="0"/>
      </font>
      <fill>
        <patternFill patternType="solid">
          <bgColor theme="0"/>
        </patternFill>
      </fill>
    </dxf>
    <dxf>
      <font>
        <color theme="0"/>
      </font>
    </dxf>
    <dxf>
      <font>
        <color theme="0"/>
      </font>
    </dxf>
    <dxf>
      <font>
        <color theme="0"/>
      </font>
      <fill>
        <patternFill>
          <bgColor rgb="FFFF0000"/>
        </patternFill>
      </fill>
    </dxf>
    <dxf>
      <font>
        <color theme="0"/>
      </font>
      <fill>
        <patternFill>
          <bgColor theme="0"/>
        </patternFill>
      </fill>
      <border>
        <bottom/>
        <vertical/>
        <horizontal/>
      </border>
    </dxf>
    <dxf>
      <font>
        <color theme="0"/>
      </font>
      <fill>
        <patternFill>
          <bgColor theme="0"/>
        </patternFill>
      </fill>
      <border>
        <left/>
        <right/>
        <top/>
        <bottom/>
        <vertical/>
        <horizontal/>
      </border>
    </dxf>
    <dxf>
      <font>
        <b/>
        <i val="0"/>
        <color theme="0"/>
      </font>
      <fill>
        <patternFill>
          <bgColor rgb="FF002060"/>
        </patternFill>
      </fill>
      <border>
        <left style="thin">
          <color auto="1"/>
        </left>
        <right style="thin">
          <color auto="1"/>
        </right>
        <top style="thin">
          <color auto="1"/>
        </top>
        <bottom style="thin">
          <color auto="1"/>
        </bottom>
      </border>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fill>
        <patternFill>
          <bgColor theme="8"/>
        </patternFill>
      </fill>
    </dxf>
    <dxf>
      <font>
        <b/>
        <i val="0"/>
        <color theme="0"/>
      </font>
      <fill>
        <patternFill>
          <bgColor theme="3" tint="-0.24994659260841701"/>
        </patternFill>
      </fill>
    </dxf>
    <dxf>
      <font>
        <b/>
        <i val="0"/>
        <color theme="0"/>
      </font>
      <fill>
        <patternFill>
          <bgColor theme="9"/>
        </patternFill>
      </fill>
    </dxf>
    <dxf>
      <font>
        <b/>
        <i val="0"/>
        <color theme="0"/>
      </font>
      <fill>
        <patternFill>
          <bgColor theme="9"/>
        </patternFill>
      </fill>
    </dxf>
    <dxf>
      <fill>
        <patternFill>
          <bgColor theme="8"/>
        </patternFill>
      </fill>
    </dxf>
    <dxf>
      <font>
        <b/>
        <i val="0"/>
        <color theme="0"/>
      </font>
      <fill>
        <patternFill>
          <bgColor theme="9"/>
        </patternFill>
      </fill>
    </dxf>
    <dxf>
      <font>
        <color theme="0"/>
      </font>
      <fill>
        <patternFill>
          <bgColor theme="0"/>
        </patternFill>
      </fill>
      <border>
        <bottom/>
        <vertical/>
        <horizontal/>
      </border>
    </dxf>
    <dxf>
      <font>
        <color theme="0"/>
      </font>
      <fill>
        <patternFill>
          <bgColor theme="0"/>
        </patternFill>
      </fill>
      <border>
        <left/>
        <right/>
        <top/>
        <bottom/>
        <vertical/>
        <horizontal/>
      </border>
    </dxf>
    <dxf>
      <font>
        <b/>
        <i val="0"/>
        <color theme="0"/>
      </font>
      <fill>
        <patternFill>
          <bgColor rgb="FF002060"/>
        </patternFill>
      </fill>
      <border>
        <left style="thin">
          <color auto="1"/>
        </left>
        <right style="thin">
          <color auto="1"/>
        </right>
        <top style="thin">
          <color auto="1"/>
        </top>
        <bottom style="thin">
          <color auto="1"/>
        </bottom>
      </border>
    </dxf>
    <dxf>
      <font>
        <color theme="0"/>
      </font>
    </dxf>
    <dxf>
      <font>
        <color theme="0"/>
      </font>
    </dxf>
    <dxf>
      <font>
        <color theme="0"/>
      </font>
    </dxf>
    <dxf>
      <font>
        <color theme="0"/>
      </font>
      <fill>
        <patternFill>
          <bgColor rgb="FFFFFFFF"/>
        </patternFill>
      </fill>
    </dxf>
    <dxf>
      <font>
        <color theme="0"/>
      </font>
      <fill>
        <patternFill>
          <bgColor rgb="FFFFFFFF"/>
        </patternFill>
      </fill>
    </dxf>
    <dxf>
      <font>
        <color theme="8" tint="0.79998168889431442"/>
      </font>
    </dxf>
    <dxf>
      <font>
        <color theme="1"/>
      </font>
      <border>
        <left style="thin">
          <color auto="1"/>
        </left>
        <right style="thin">
          <color auto="1"/>
        </right>
        <top style="thin">
          <color auto="1"/>
        </top>
        <bottom style="thin">
          <color auto="1"/>
        </bottom>
        <vertical/>
        <horizontal/>
      </border>
    </dxf>
    <dxf>
      <fill>
        <patternFill>
          <bgColor theme="8"/>
        </patternFill>
      </fill>
    </dxf>
    <dxf>
      <font>
        <b/>
        <i val="0"/>
        <color theme="0"/>
      </font>
      <fill>
        <patternFill>
          <bgColor theme="3" tint="-0.24994659260841701"/>
        </patternFill>
      </fill>
    </dxf>
    <dxf>
      <fill>
        <patternFill>
          <bgColor theme="8"/>
        </patternFill>
      </fill>
    </dxf>
    <dxf>
      <font>
        <color theme="0"/>
      </font>
    </dxf>
    <dxf>
      <font>
        <color theme="0"/>
      </font>
      <fill>
        <patternFill>
          <bgColor rgb="FFFFFFFF"/>
        </patternFill>
      </fill>
    </dxf>
    <dxf>
      <font>
        <color theme="0"/>
      </font>
      <fill>
        <patternFill>
          <bgColor rgb="FFFFFFFF"/>
        </patternFill>
      </fill>
    </dxf>
    <dxf>
      <font>
        <color theme="8" tint="0.79998168889431442"/>
      </font>
    </dxf>
    <dxf>
      <font>
        <b/>
        <i val="0"/>
        <color theme="0"/>
      </font>
      <fill>
        <patternFill>
          <bgColor theme="9"/>
        </patternFill>
      </fill>
    </dxf>
    <dxf>
      <font>
        <b/>
        <i val="0"/>
        <color theme="0"/>
      </font>
      <fill>
        <patternFill>
          <bgColor theme="9"/>
        </patternFill>
      </fill>
    </dxf>
    <dxf>
      <font>
        <b/>
        <i val="0"/>
        <color theme="0"/>
      </font>
      <fill>
        <patternFill>
          <bgColor theme="9"/>
        </patternFill>
      </fill>
    </dxf>
    <dxf>
      <font>
        <color theme="0"/>
      </font>
      <fill>
        <patternFill>
          <bgColor theme="0"/>
        </patternFill>
      </fill>
      <border>
        <bottom/>
        <vertical/>
        <horizontal/>
      </border>
    </dxf>
    <dxf>
      <font>
        <color theme="0"/>
      </font>
      <fill>
        <patternFill>
          <bgColor theme="0"/>
        </patternFill>
      </fill>
      <border>
        <left/>
        <right/>
        <top/>
        <bottom/>
        <vertical/>
        <horizontal/>
      </border>
    </dxf>
    <dxf>
      <font>
        <b/>
        <i val="0"/>
        <color theme="0"/>
      </font>
      <fill>
        <patternFill>
          <bgColor rgb="FF002060"/>
        </patternFill>
      </fill>
      <border>
        <left style="thin">
          <color auto="1"/>
        </left>
        <right style="thin">
          <color auto="1"/>
        </right>
        <top style="thin">
          <color auto="1"/>
        </top>
        <bottom style="thin">
          <color auto="1"/>
        </bottom>
      </border>
    </dxf>
    <dxf>
      <font>
        <color theme="0"/>
      </font>
    </dxf>
    <dxf>
      <font>
        <color theme="0"/>
      </font>
    </dxf>
    <dxf>
      <font>
        <color theme="8" tint="0.79998168889431442"/>
      </font>
    </dxf>
    <dxf>
      <font>
        <color theme="1"/>
      </font>
      <border>
        <left style="thin">
          <color auto="1"/>
        </left>
        <right style="thin">
          <color auto="1"/>
        </right>
        <top style="thin">
          <color auto="1"/>
        </top>
        <bottom style="thin">
          <color auto="1"/>
        </bottom>
        <vertical/>
        <horizontal/>
      </border>
    </dxf>
    <dxf>
      <font>
        <color theme="0"/>
      </font>
      <fill>
        <patternFill>
          <bgColor rgb="FFFFFFFF"/>
        </patternFill>
      </fill>
    </dxf>
    <dxf>
      <font>
        <color theme="0"/>
      </font>
    </dxf>
    <dxf>
      <font>
        <color theme="0"/>
      </font>
    </dxf>
    <dxf>
      <font>
        <color theme="0"/>
      </font>
      <fill>
        <patternFill>
          <bgColor rgb="FFFFFFFF"/>
        </patternFill>
      </fill>
    </dxf>
    <dxf>
      <font>
        <color theme="0"/>
      </font>
    </dxf>
    <dxf>
      <font>
        <b val="0"/>
        <i val="0"/>
        <color theme="0"/>
      </font>
    </dxf>
    <dxf>
      <font>
        <color theme="0"/>
      </font>
      <fill>
        <patternFill>
          <bgColor rgb="FFFFFFFF"/>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dxf>
    <dxf>
      <font>
        <color theme="0"/>
      </font>
      <fill>
        <patternFill>
          <bgColor theme="0"/>
        </patternFill>
      </fill>
    </dxf>
    <dxf>
      <font>
        <color theme="1"/>
      </font>
      <fill>
        <patternFill>
          <bgColor theme="0"/>
        </patternFill>
      </fill>
      <border>
        <left/>
        <right/>
        <top/>
        <bottom style="thin">
          <color theme="4" tint="0.39994506668294322"/>
        </bottom>
        <vertical/>
        <horizontal/>
      </border>
    </dxf>
    <dxf>
      <font>
        <b/>
        <i val="0"/>
        <color theme="0"/>
      </font>
      <fill>
        <patternFill>
          <bgColor rgb="FFFF000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b/>
        <i val="0"/>
        <color theme="0"/>
      </font>
      <fill>
        <patternFill>
          <bgColor rgb="FFFF0000"/>
        </patternFill>
      </fill>
    </dxf>
    <dxf>
      <font>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theme="0"/>
        </patternFill>
      </fill>
    </dxf>
    <dxf>
      <font>
        <color auto="1"/>
      </font>
      <fill>
        <patternFill>
          <bgColor theme="9"/>
        </patternFill>
      </fill>
    </dxf>
    <dxf>
      <font>
        <color theme="0"/>
      </font>
      <fill>
        <patternFill>
          <bgColor rgb="FFFF0000"/>
        </patternFill>
      </fill>
    </dxf>
    <dxf>
      <font>
        <color theme="0"/>
      </font>
      <fill>
        <patternFill>
          <bgColor theme="0"/>
        </patternFill>
      </fill>
    </dxf>
    <dxf>
      <font>
        <color theme="0"/>
      </font>
      <fill>
        <patternFill>
          <bgColor theme="0"/>
        </patternFill>
      </fill>
    </dxf>
    <dxf>
      <font>
        <b/>
        <i val="0"/>
        <color theme="0"/>
      </font>
      <fill>
        <patternFill>
          <bgColor rgb="FFFF0000"/>
        </patternFill>
      </fill>
    </dxf>
    <dxf>
      <font>
        <b/>
        <i val="0"/>
        <color theme="0"/>
      </font>
      <fill>
        <patternFill>
          <bgColor rgb="FFFF0000"/>
        </patternFill>
      </fill>
    </dxf>
    <dxf>
      <font>
        <color theme="0"/>
      </font>
      <fill>
        <patternFill>
          <bgColor theme="0"/>
        </patternFill>
      </fill>
    </dxf>
    <dxf>
      <font>
        <color theme="0"/>
      </font>
      <fill>
        <patternFill>
          <bgColor theme="0"/>
        </patternFill>
      </fill>
    </dxf>
    <dxf>
      <font>
        <color theme="0"/>
      </font>
      <fill>
        <patternFill>
          <bgColor theme="0"/>
        </patternFill>
      </fill>
    </dxf>
    <dxf>
      <font>
        <b/>
        <i val="0"/>
        <color theme="0"/>
      </font>
      <fill>
        <patternFill>
          <bgColor rgb="FFFF0000"/>
        </patternFill>
      </fill>
    </dxf>
    <dxf>
      <font>
        <b/>
        <i val="0"/>
        <color theme="0"/>
      </font>
      <fill>
        <patternFill>
          <bgColor rgb="FFFF0000"/>
        </patternFill>
      </fill>
    </dxf>
    <dxf>
      <fill>
        <patternFill>
          <bgColor rgb="FFFF0000"/>
        </patternFill>
      </fill>
    </dxf>
    <dxf>
      <font>
        <color theme="0"/>
      </font>
      <fill>
        <patternFill>
          <fgColor theme="0"/>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dxf>
    <dxf>
      <font>
        <color theme="0"/>
      </font>
      <fill>
        <patternFill>
          <bgColor theme="0"/>
        </patternFill>
      </fill>
    </dxf>
    <dxf>
      <font>
        <b/>
        <i val="0"/>
        <color theme="0"/>
      </font>
      <fill>
        <patternFill>
          <bgColor rgb="FFFF0000"/>
        </patternFill>
      </fill>
    </dxf>
    <dxf>
      <font>
        <color theme="0"/>
      </font>
      <fill>
        <patternFill>
          <fgColor theme="0"/>
          <bgColor theme="0"/>
        </patternFill>
      </fill>
      <border>
        <left/>
        <right/>
        <top/>
        <bottom/>
        <vertical/>
        <horizontal/>
      </border>
    </dxf>
    <dxf>
      <font>
        <color theme="0"/>
      </font>
      <fill>
        <patternFill>
          <bgColor theme="0"/>
        </patternFill>
      </fill>
      <border>
        <left/>
        <right/>
        <top/>
        <bottom/>
      </border>
    </dxf>
    <dxf>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b/>
        <i val="0"/>
        <color theme="0"/>
      </font>
      <fill>
        <patternFill>
          <bgColor rgb="FFFF0000"/>
        </patternFill>
      </fill>
    </dxf>
    <dxf>
      <fill>
        <patternFill>
          <bgColor rgb="FFFF0000"/>
        </patternFill>
      </fill>
    </dxf>
    <dxf>
      <fill>
        <patternFill>
          <bgColor rgb="FFFF0000"/>
        </patternFill>
      </fill>
    </dxf>
    <dxf>
      <font>
        <color theme="0"/>
      </font>
      <fill>
        <patternFill>
          <bgColor theme="0"/>
        </patternFill>
      </fill>
    </dxf>
    <dxf>
      <font>
        <b/>
        <i val="0"/>
        <color theme="0"/>
      </font>
      <fill>
        <patternFill>
          <bgColor rgb="FFFF0000"/>
        </patternFill>
      </fill>
    </dxf>
    <dxf>
      <font>
        <b/>
        <i val="0"/>
        <color theme="0"/>
      </font>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ont>
        <b/>
        <i val="0"/>
        <color theme="0"/>
      </font>
      <fill>
        <patternFill>
          <bgColor rgb="FFFF0000"/>
        </patternFill>
      </fill>
    </dxf>
    <dxf>
      <font>
        <b/>
        <i val="0"/>
        <color theme="0"/>
      </font>
      <fill>
        <patternFill>
          <bgColor rgb="FFFF0000"/>
        </patternFill>
      </fill>
    </dxf>
    <dxf>
      <fill>
        <patternFill>
          <bgColor rgb="FFFF0000"/>
        </patternFill>
      </fill>
    </dxf>
    <dxf>
      <font>
        <color auto="1"/>
      </font>
      <fill>
        <patternFill>
          <bgColor theme="9"/>
        </patternFill>
      </fill>
    </dxf>
    <dxf>
      <font>
        <color theme="0"/>
      </font>
      <fill>
        <patternFill>
          <bgColor rgb="FFFF0000"/>
        </patternFill>
      </fill>
    </dxf>
    <dxf>
      <font>
        <b/>
        <i val="0"/>
        <color theme="0"/>
      </font>
      <fill>
        <patternFill>
          <bgColor rgb="FFFF0000"/>
        </patternFill>
      </fill>
    </dxf>
    <dxf>
      <font>
        <color theme="0"/>
      </font>
      <fill>
        <patternFill>
          <bgColor theme="0"/>
        </patternFill>
      </fill>
    </dxf>
    <dxf>
      <font>
        <b/>
        <i val="0"/>
        <color theme="0"/>
      </font>
      <fill>
        <patternFill>
          <fgColor rgb="FFFF0000"/>
          <bgColor rgb="FFFF0000"/>
        </patternFill>
      </fill>
    </dxf>
    <dxf>
      <font>
        <b/>
        <i val="0"/>
        <color theme="0"/>
      </font>
      <fill>
        <patternFill>
          <bgColor rgb="FFFF0000"/>
        </patternFill>
      </fill>
    </dxf>
    <dxf>
      <fill>
        <patternFill>
          <bgColor theme="9"/>
        </patternFill>
      </fill>
    </dxf>
    <dxf>
      <fill>
        <patternFill>
          <bgColor theme="9"/>
        </patternFill>
      </fill>
    </dxf>
    <dxf>
      <font>
        <color theme="0"/>
      </font>
      <fill>
        <patternFill>
          <fgColor theme="0"/>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dxf>
    <dxf>
      <font>
        <b/>
        <i val="0"/>
        <color theme="0"/>
      </font>
      <fill>
        <patternFill>
          <bgColor rgb="FFFF0000"/>
        </patternFill>
      </fill>
    </dxf>
    <dxf>
      <font>
        <color theme="0"/>
      </font>
      <fill>
        <patternFill>
          <fgColor theme="0"/>
          <bgColor theme="0"/>
        </patternFill>
      </fill>
    </dxf>
    <dxf>
      <font>
        <color theme="0"/>
      </font>
      <fill>
        <patternFill>
          <bgColor theme="0"/>
        </patternFill>
      </fill>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style="thin">
          <color theme="0"/>
        </left>
        <right style="thin">
          <color theme="0"/>
        </right>
        <top style="thin">
          <color theme="0"/>
        </top>
        <bottom style="thin">
          <color theme="0"/>
        </bottom>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fgColor theme="0"/>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dxf>
    <dxf>
      <fill>
        <patternFill>
          <bgColor rgb="FFFF4747"/>
        </patternFill>
      </fill>
    </dxf>
    <dxf>
      <font>
        <color theme="0"/>
      </font>
      <fill>
        <patternFill>
          <bgColor theme="0"/>
        </patternFill>
      </fill>
      <border>
        <left style="thin">
          <color theme="0"/>
        </left>
        <right style="thin">
          <color theme="0"/>
        </right>
        <top style="thin">
          <color theme="0"/>
        </top>
        <bottom style="thin">
          <color theme="0"/>
        </bottom>
      </border>
    </dxf>
    <dxf>
      <font>
        <color theme="0"/>
      </font>
      <fill>
        <patternFill>
          <bgColor theme="0"/>
        </patternFill>
      </fill>
      <border>
        <left style="thin">
          <color theme="0"/>
        </left>
        <right style="thin">
          <color theme="0"/>
        </right>
        <top style="thin">
          <color theme="0"/>
        </top>
        <bottom style="thin">
          <color theme="0"/>
        </bottom>
      </border>
    </dxf>
    <dxf>
      <font>
        <color theme="0"/>
      </font>
      <fill>
        <patternFill>
          <bgColor theme="0"/>
        </patternFill>
      </fill>
    </dxf>
    <dxf>
      <font>
        <color theme="0"/>
      </font>
      <fill>
        <patternFill>
          <bgColor theme="0"/>
        </patternFill>
      </fill>
      <border>
        <left style="thin">
          <color theme="0"/>
        </left>
        <right style="thin">
          <color theme="0"/>
        </right>
        <top style="thin">
          <color theme="0"/>
        </top>
        <bottom style="thin">
          <color theme="0"/>
        </bottom>
      </border>
    </dxf>
    <dxf>
      <font>
        <color theme="0"/>
      </font>
      <fill>
        <patternFill>
          <bgColor theme="0"/>
        </patternFill>
      </fill>
    </dxf>
    <dxf>
      <font>
        <color theme="0"/>
      </font>
      <fill>
        <patternFill>
          <bgColor theme="0"/>
        </patternFill>
      </fill>
    </dxf>
    <dxf>
      <font>
        <b/>
        <i val="0"/>
        <color theme="0"/>
      </font>
      <fill>
        <patternFill>
          <fgColor rgb="FFFF0000"/>
          <bgColor rgb="FFFF000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border>
        <left style="thin">
          <color theme="0"/>
        </left>
        <right style="thin">
          <color theme="0"/>
        </right>
        <top style="thin">
          <color theme="0"/>
        </top>
        <bottom style="thin">
          <color theme="0"/>
        </bottom>
      </border>
    </dxf>
    <dxf>
      <font>
        <color theme="0"/>
      </font>
      <fill>
        <patternFill>
          <bgColor theme="0"/>
        </patternFill>
      </fill>
    </dxf>
  </dxfs>
  <tableStyles count="0" defaultTableStyle="TableStyleMedium2" defaultPivotStyle="PivotStyleLight16"/>
  <colors>
    <mruColors>
      <color rgb="FFFFFFE1"/>
      <color rgb="FFFFFFCC"/>
      <color rgb="FFFFFF99"/>
      <color rgb="FFFFDDFF"/>
      <color rgb="FFFCEDD0"/>
      <color rgb="FFFFFFFF"/>
      <color rgb="FFE99251"/>
      <color rgb="FF60497A"/>
      <color rgb="FFFFE7FF"/>
      <color rgb="FFFF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ctrlProps/ctrlProp1.xml><?xml version="1.0" encoding="utf-8"?>
<formControlPr xmlns="http://schemas.microsoft.com/office/spreadsheetml/2009/9/main" objectType="CheckBox" checked="Checked" fmlaLink="$E$2" lockText="1" noThreeD="1"/>
</file>

<file path=xl/ctrlProps/ctrlProp2.xml><?xml version="1.0" encoding="utf-8"?>
<formControlPr xmlns="http://schemas.microsoft.com/office/spreadsheetml/2009/9/main" objectType="CheckBox" checked="Checked" fmlaLink="$H$2" lockText="1" noThreeD="1"/>
</file>

<file path=xl/ctrlProps/ctrlProp3.xml><?xml version="1.0" encoding="utf-8"?>
<formControlPr xmlns="http://schemas.microsoft.com/office/spreadsheetml/2009/9/main" objectType="CheckBox" checked="Checked" fmlaLink="$K$2" lockText="1" noThreeD="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168089</xdr:colOff>
      <xdr:row>0</xdr:row>
      <xdr:rowOff>112058</xdr:rowOff>
    </xdr:from>
    <xdr:to>
      <xdr:col>1</xdr:col>
      <xdr:colOff>1143000</xdr:colOff>
      <xdr:row>3</xdr:row>
      <xdr:rowOff>66867</xdr:rowOff>
    </xdr:to>
    <xdr:pic>
      <xdr:nvPicPr>
        <xdr:cNvPr id="4" name="Picture 3">
          <a:extLst>
            <a:ext uri="{FF2B5EF4-FFF2-40B4-BE49-F238E27FC236}">
              <a16:creationId xmlns:a16="http://schemas.microsoft.com/office/drawing/2014/main" id="{C854C22A-DD37-E6AC-7CA1-31432A3CAA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354" y="112058"/>
          <a:ext cx="974911" cy="12995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209550</xdr:colOff>
          <xdr:row>1</xdr:row>
          <xdr:rowOff>9525</xdr:rowOff>
        </xdr:from>
        <xdr:to>
          <xdr:col>5</xdr:col>
          <xdr:colOff>1066800</xdr:colOff>
          <xdr:row>2</xdr:row>
          <xdr:rowOff>9525</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 Indicative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209550</xdr:colOff>
          <xdr:row>1</xdr:row>
          <xdr:rowOff>9525</xdr:rowOff>
        </xdr:from>
        <xdr:to>
          <xdr:col>8</xdr:col>
          <xdr:colOff>1066800</xdr:colOff>
          <xdr:row>2</xdr:row>
          <xdr:rowOff>9525</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 Indicative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457200</xdr:colOff>
          <xdr:row>1</xdr:row>
          <xdr:rowOff>28575</xdr:rowOff>
        </xdr:from>
        <xdr:to>
          <xdr:col>12</xdr:col>
          <xdr:colOff>19050</xdr:colOff>
          <xdr:row>1</xdr:row>
          <xdr:rowOff>295275</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 Indicative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xdr:colOff>
          <xdr:row>1</xdr:row>
          <xdr:rowOff>47625</xdr:rowOff>
        </xdr:from>
        <xdr:to>
          <xdr:col>13</xdr:col>
          <xdr:colOff>1428750</xdr:colOff>
          <xdr:row>2</xdr:row>
          <xdr:rowOff>66675</xdr:rowOff>
        </xdr:to>
        <xdr:sp macro="" textlink="">
          <xdr:nvSpPr>
            <xdr:cNvPr id="2063" name="CommandButton1"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1419225</xdr:colOff>
          <xdr:row>1</xdr:row>
          <xdr:rowOff>47625</xdr:rowOff>
        </xdr:from>
        <xdr:to>
          <xdr:col>15</xdr:col>
          <xdr:colOff>790575</xdr:colOff>
          <xdr:row>2</xdr:row>
          <xdr:rowOff>66675</xdr:rowOff>
        </xdr:to>
        <xdr:sp macro="" textlink="">
          <xdr:nvSpPr>
            <xdr:cNvPr id="2065" name="CommandButton2"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263770</xdr:colOff>
      <xdr:row>0</xdr:row>
      <xdr:rowOff>102578</xdr:rowOff>
    </xdr:from>
    <xdr:to>
      <xdr:col>1</xdr:col>
      <xdr:colOff>725796</xdr:colOff>
      <xdr:row>3</xdr:row>
      <xdr:rowOff>461890</xdr:rowOff>
    </xdr:to>
    <xdr:pic>
      <xdr:nvPicPr>
        <xdr:cNvPr id="2" name="Picture 1">
          <a:extLst>
            <a:ext uri="{FF2B5EF4-FFF2-40B4-BE49-F238E27FC236}">
              <a16:creationId xmlns:a16="http://schemas.microsoft.com/office/drawing/2014/main" id="{46D42E9D-585F-43D4-8C7C-E9ABBFE368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3770" y="102578"/>
          <a:ext cx="747776" cy="9974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263769</xdr:colOff>
      <xdr:row>1</xdr:row>
      <xdr:rowOff>0</xdr:rowOff>
    </xdr:from>
    <xdr:to>
      <xdr:col>1</xdr:col>
      <xdr:colOff>725795</xdr:colOff>
      <xdr:row>3</xdr:row>
      <xdr:rowOff>464087</xdr:rowOff>
    </xdr:to>
    <xdr:pic>
      <xdr:nvPicPr>
        <xdr:cNvPr id="2" name="Picture 1">
          <a:extLst>
            <a:ext uri="{FF2B5EF4-FFF2-40B4-BE49-F238E27FC236}">
              <a16:creationId xmlns:a16="http://schemas.microsoft.com/office/drawing/2014/main" id="{FE7F5D83-D9EE-44E8-AC01-A9AC30AF4C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3769" y="146539"/>
          <a:ext cx="747776" cy="9974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263769</xdr:colOff>
      <xdr:row>1</xdr:row>
      <xdr:rowOff>0</xdr:rowOff>
    </xdr:from>
    <xdr:to>
      <xdr:col>1</xdr:col>
      <xdr:colOff>725795</xdr:colOff>
      <xdr:row>3</xdr:row>
      <xdr:rowOff>464087</xdr:rowOff>
    </xdr:to>
    <xdr:pic>
      <xdr:nvPicPr>
        <xdr:cNvPr id="2" name="Picture 1">
          <a:extLst>
            <a:ext uri="{FF2B5EF4-FFF2-40B4-BE49-F238E27FC236}">
              <a16:creationId xmlns:a16="http://schemas.microsoft.com/office/drawing/2014/main" id="{5AB19F7A-0448-45FE-8F34-77B2BB157D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3769" y="146539"/>
          <a:ext cx="747776" cy="9974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142875</xdr:colOff>
          <xdr:row>7</xdr:row>
          <xdr:rowOff>228600</xdr:rowOff>
        </xdr:from>
        <xdr:to>
          <xdr:col>6</xdr:col>
          <xdr:colOff>695325</xdr:colOff>
          <xdr:row>7</xdr:row>
          <xdr:rowOff>733425</xdr:rowOff>
        </xdr:to>
        <xdr:sp macro="" textlink="">
          <xdr:nvSpPr>
            <xdr:cNvPr id="7179" name="Button 11"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Print Preview</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13</xdr:col>
      <xdr:colOff>661147</xdr:colOff>
      <xdr:row>0</xdr:row>
      <xdr:rowOff>182097</xdr:rowOff>
    </xdr:from>
    <xdr:to>
      <xdr:col>13</xdr:col>
      <xdr:colOff>952500</xdr:colOff>
      <xdr:row>1</xdr:row>
      <xdr:rowOff>0</xdr:rowOff>
    </xdr:to>
    <xdr:sp macro="" textlink="">
      <xdr:nvSpPr>
        <xdr:cNvPr id="2" name="Arrow: Down 1">
          <a:extLst>
            <a:ext uri="{FF2B5EF4-FFF2-40B4-BE49-F238E27FC236}">
              <a16:creationId xmlns:a16="http://schemas.microsoft.com/office/drawing/2014/main" id="{68F5D4B9-C7AC-4F01-8D42-5DAC4B3CE3A4}"/>
            </a:ext>
          </a:extLst>
        </xdr:cNvPr>
        <xdr:cNvSpPr/>
      </xdr:nvSpPr>
      <xdr:spPr>
        <a:xfrm>
          <a:off x="18539572" y="182097"/>
          <a:ext cx="291353" cy="26557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661147</xdr:colOff>
      <xdr:row>0</xdr:row>
      <xdr:rowOff>182097</xdr:rowOff>
    </xdr:from>
    <xdr:to>
      <xdr:col>13</xdr:col>
      <xdr:colOff>952500</xdr:colOff>
      <xdr:row>1</xdr:row>
      <xdr:rowOff>0</xdr:rowOff>
    </xdr:to>
    <xdr:sp macro="" textlink="">
      <xdr:nvSpPr>
        <xdr:cNvPr id="3" name="Arrow: Down 2">
          <a:extLst>
            <a:ext uri="{FF2B5EF4-FFF2-40B4-BE49-F238E27FC236}">
              <a16:creationId xmlns:a16="http://schemas.microsoft.com/office/drawing/2014/main" id="{F123ADAF-A183-4C72-B578-C151DA34BC51}"/>
            </a:ext>
          </a:extLst>
        </xdr:cNvPr>
        <xdr:cNvSpPr/>
      </xdr:nvSpPr>
      <xdr:spPr>
        <a:xfrm>
          <a:off x="18539572" y="182097"/>
          <a:ext cx="291353" cy="26557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xdr:from>
          <xdr:col>5</xdr:col>
          <xdr:colOff>266700</xdr:colOff>
          <xdr:row>7</xdr:row>
          <xdr:rowOff>333375</xdr:rowOff>
        </xdr:from>
        <xdr:to>
          <xdr:col>6</xdr:col>
          <xdr:colOff>819150</xdr:colOff>
          <xdr:row>7</xdr:row>
          <xdr:rowOff>838200</xdr:rowOff>
        </xdr:to>
        <xdr:sp macro="" textlink="">
          <xdr:nvSpPr>
            <xdr:cNvPr id="14341" name="Button 5" hidden="1">
              <a:extLst>
                <a:ext uri="{63B3BB69-23CF-44E3-9099-C40C66FF867C}">
                  <a14:compatExt spid="_x0000_s14341"/>
                </a:ext>
                <a:ext uri="{FF2B5EF4-FFF2-40B4-BE49-F238E27FC236}">
                  <a16:creationId xmlns:a16="http://schemas.microsoft.com/office/drawing/2014/main" id="{00000000-0008-0000-0700-0000053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Print Preview</a:t>
              </a:r>
            </a:p>
          </xdr:txBody>
        </xdr:sp>
        <xdr:clientData fPrint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vmlDrawing" Target="../drawings/vmlDrawing1.vml"/><Relationship Id="rId7" Type="http://schemas.openxmlformats.org/officeDocument/2006/relationships/control" Target="../activeX/activeX2.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image" Target="../media/image1.emf"/><Relationship Id="rId11" Type="http://schemas.openxmlformats.org/officeDocument/2006/relationships/ctrlProp" Target="../ctrlProps/ctrlProp3.xml"/><Relationship Id="rId5" Type="http://schemas.openxmlformats.org/officeDocument/2006/relationships/control" Target="../activeX/activeX1.xml"/><Relationship Id="rId10" Type="http://schemas.openxmlformats.org/officeDocument/2006/relationships/ctrlProp" Target="../ctrlProps/ctrlProp2.xml"/><Relationship Id="rId4" Type="http://schemas.openxmlformats.org/officeDocument/2006/relationships/vmlDrawing" Target="../drawings/vmlDrawing2.vml"/><Relationship Id="rId9"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5" Type="http://schemas.openxmlformats.org/officeDocument/2006/relationships/ctrlProp" Target="../ctrlProps/ctrlProp4.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 Id="rId5" Type="http://schemas.openxmlformats.org/officeDocument/2006/relationships/ctrlProp" Target="../ctrlProps/ctrlProp5.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67F50-8A8E-408E-B489-45FB77CC9F11}">
  <sheetPr codeName="Sheet1">
    <pageSetUpPr fitToPage="1"/>
  </sheetPr>
  <dimension ref="A1:XEX79"/>
  <sheetViews>
    <sheetView showGridLines="0" topLeftCell="A19" zoomScale="85" zoomScaleNormal="85" workbookViewId="0">
      <selection activeCell="D45" sqref="D45"/>
    </sheetView>
  </sheetViews>
  <sheetFormatPr defaultColWidth="9.140625" defaultRowHeight="15" x14ac:dyDescent="0.25"/>
  <cols>
    <col min="1" max="1" width="15.42578125" customWidth="1"/>
    <col min="2" max="2" width="20.7109375" customWidth="1"/>
    <col min="3" max="3" width="31.42578125" bestFit="1" customWidth="1"/>
    <col min="4" max="9" width="23.28515625" bestFit="1" customWidth="1"/>
    <col min="10" max="10" width="15" bestFit="1" customWidth="1"/>
    <col min="11" max="12" width="12.7109375" style="155" customWidth="1"/>
    <col min="13" max="13" width="11.140625" customWidth="1"/>
    <col min="14" max="14" width="13.140625" customWidth="1"/>
    <col min="15" max="15" width="16.140625" customWidth="1"/>
    <col min="16" max="16" width="13.140625" customWidth="1"/>
    <col min="17" max="18" width="11.28515625" bestFit="1" customWidth="1"/>
    <col min="19" max="19" width="15" customWidth="1"/>
    <col min="20" max="22" width="11.28515625" bestFit="1" customWidth="1"/>
    <col min="23" max="24" width="11.140625" bestFit="1" customWidth="1"/>
    <col min="25" max="26" width="10.140625" bestFit="1" customWidth="1"/>
    <col min="16376" max="16376" width="5.28515625" bestFit="1" customWidth="1"/>
    <col min="16377" max="16377" width="4.7109375" bestFit="1" customWidth="1"/>
    <col min="16378" max="16378" width="15.42578125" bestFit="1" customWidth="1"/>
  </cols>
  <sheetData>
    <row r="1" spans="1:35 16376:16378" ht="18" hidden="1" customHeight="1" x14ac:dyDescent="0.35">
      <c r="XEV1" s="72" t="s">
        <v>40</v>
      </c>
      <c r="XEW1" s="72" t="s">
        <v>41</v>
      </c>
      <c r="XEX1" s="72" t="s">
        <v>42</v>
      </c>
    </row>
    <row r="2" spans="1:35 16376:16378" ht="15.75" customHeight="1" x14ac:dyDescent="0.25">
      <c r="A2" s="144"/>
      <c r="B2" s="144"/>
      <c r="C2" s="144"/>
      <c r="D2" s="144"/>
      <c r="E2" s="224"/>
      <c r="F2" s="225"/>
      <c r="P2" s="83"/>
      <c r="Q2" s="83"/>
      <c r="R2" s="83"/>
      <c r="S2" s="83"/>
      <c r="T2" s="83"/>
      <c r="U2" s="83"/>
      <c r="V2" s="83"/>
      <c r="W2" s="83"/>
      <c r="X2" s="83"/>
      <c r="Y2" s="83"/>
      <c r="Z2" s="83"/>
      <c r="AA2" s="83"/>
      <c r="AB2" s="83"/>
      <c r="AC2" s="83"/>
      <c r="AD2" s="83"/>
      <c r="AE2" s="83"/>
      <c r="AF2" s="83"/>
      <c r="AG2" s="83"/>
      <c r="AH2" s="83"/>
      <c r="AI2" s="83"/>
    </row>
    <row r="3" spans="1:35 16376:16378" ht="24" customHeight="1" x14ac:dyDescent="0.25">
      <c r="A3" s="91"/>
      <c r="B3" s="91"/>
      <c r="C3" s="91"/>
      <c r="D3" s="265"/>
      <c r="E3" s="916" t="s">
        <v>260</v>
      </c>
      <c r="F3" s="916"/>
      <c r="G3" s="916"/>
      <c r="H3" s="916"/>
      <c r="I3" s="91"/>
      <c r="J3" s="91"/>
      <c r="K3" s="229"/>
      <c r="L3" s="229"/>
      <c r="M3" s="91"/>
      <c r="N3" s="91"/>
      <c r="O3" s="91"/>
      <c r="P3" s="203"/>
      <c r="Q3" s="203"/>
      <c r="R3" s="203"/>
      <c r="S3" s="203"/>
      <c r="T3" s="203"/>
      <c r="U3" s="203"/>
      <c r="V3" s="203"/>
      <c r="W3" s="203"/>
      <c r="X3" s="203"/>
      <c r="Y3" s="203"/>
      <c r="Z3" s="203"/>
      <c r="AA3" s="203"/>
      <c r="AB3" s="203"/>
      <c r="AC3" s="203"/>
      <c r="AD3" s="203"/>
      <c r="AE3" s="83"/>
      <c r="AF3" s="83"/>
      <c r="AG3" s="83"/>
      <c r="AH3" s="83"/>
      <c r="AI3" s="83"/>
    </row>
    <row r="4" spans="1:35 16376:16378" ht="15.75" customHeight="1" x14ac:dyDescent="0.25">
      <c r="A4" s="91"/>
      <c r="B4" s="91"/>
      <c r="C4" s="91"/>
      <c r="D4" s="91"/>
      <c r="E4" s="916"/>
      <c r="F4" s="916"/>
      <c r="G4" s="916"/>
      <c r="H4" s="916"/>
      <c r="K4" s="156"/>
      <c r="L4" s="156"/>
      <c r="P4" s="83"/>
      <c r="Q4" s="83"/>
      <c r="R4" s="83"/>
      <c r="S4" s="83"/>
      <c r="T4" s="83"/>
      <c r="U4" s="83"/>
      <c r="V4" s="83"/>
      <c r="W4" s="83"/>
      <c r="X4" s="83"/>
      <c r="Y4" s="83"/>
      <c r="Z4" s="83"/>
      <c r="AA4" s="83"/>
      <c r="AB4" s="83"/>
      <c r="AC4" s="83"/>
      <c r="AD4" s="83"/>
      <c r="AE4" s="83"/>
      <c r="AF4" s="83"/>
      <c r="AG4" s="83"/>
      <c r="AH4" s="83"/>
      <c r="AI4" s="83"/>
    </row>
    <row r="5" spans="1:35 16376:16378" ht="15.75" customHeight="1" x14ac:dyDescent="0.25">
      <c r="A5" s="228"/>
      <c r="B5" s="130"/>
      <c r="C5" s="227"/>
      <c r="D5" s="227"/>
      <c r="G5" s="75"/>
      <c r="J5" s="91"/>
      <c r="K5" s="229"/>
      <c r="L5" s="229"/>
      <c r="M5" s="91"/>
      <c r="N5" s="230"/>
      <c r="O5" s="91"/>
      <c r="P5" s="203"/>
      <c r="Q5" s="203"/>
      <c r="R5" s="203"/>
      <c r="S5" s="203"/>
      <c r="T5" s="203"/>
      <c r="U5" s="203"/>
      <c r="V5" s="203"/>
      <c r="W5" s="203"/>
      <c r="X5" s="203"/>
      <c r="Y5" s="203"/>
      <c r="Z5" s="203"/>
      <c r="AA5" s="203"/>
      <c r="AB5" s="83"/>
      <c r="AC5" s="83"/>
      <c r="AD5" s="83"/>
      <c r="AE5" s="83"/>
      <c r="AF5" s="83"/>
      <c r="AG5" s="83"/>
      <c r="AH5" s="83"/>
      <c r="AI5" s="83"/>
    </row>
    <row r="6" spans="1:35 16376:16378" ht="15.75" customHeight="1" x14ac:dyDescent="0.25">
      <c r="A6" s="228"/>
      <c r="B6" s="91"/>
      <c r="C6" s="91"/>
      <c r="D6" s="160"/>
      <c r="G6" s="75"/>
      <c r="J6" s="91"/>
      <c r="K6" s="229"/>
      <c r="L6" s="229"/>
      <c r="M6" s="226"/>
      <c r="N6" s="226"/>
      <c r="O6" s="91"/>
      <c r="P6" s="203"/>
      <c r="Q6" s="203"/>
      <c r="R6" s="203"/>
      <c r="S6" s="203"/>
      <c r="T6" s="203"/>
      <c r="U6" s="203"/>
      <c r="V6" s="203"/>
      <c r="W6" s="203"/>
      <c r="X6" s="203"/>
      <c r="Y6" s="203"/>
      <c r="Z6" s="203"/>
      <c r="AA6" s="203"/>
      <c r="AB6" s="83"/>
      <c r="AC6" s="83"/>
      <c r="AD6" s="83"/>
      <c r="AE6" s="83"/>
      <c r="AF6" s="83"/>
      <c r="AG6" s="83"/>
      <c r="AH6" s="83"/>
      <c r="AI6" s="83"/>
    </row>
    <row r="7" spans="1:35 16376:16378" ht="18" customHeight="1" x14ac:dyDescent="0.3">
      <c r="B7" s="91"/>
      <c r="D7" s="917" t="s">
        <v>69</v>
      </c>
      <c r="E7" s="917"/>
      <c r="F7" s="918" t="s">
        <v>70</v>
      </c>
      <c r="G7" s="918"/>
      <c r="H7" s="919" t="s">
        <v>71</v>
      </c>
      <c r="I7" s="919"/>
      <c r="J7" s="91"/>
      <c r="K7" s="229"/>
      <c r="L7" s="229"/>
      <c r="M7" s="91"/>
      <c r="N7" s="91"/>
      <c r="O7" s="91"/>
      <c r="P7" s="203"/>
      <c r="Q7" s="203"/>
      <c r="R7" s="203"/>
      <c r="S7" s="203"/>
      <c r="T7" s="203"/>
      <c r="U7" s="203"/>
      <c r="V7" s="203"/>
      <c r="W7" s="203"/>
      <c r="X7" s="203"/>
      <c r="Y7" s="203"/>
      <c r="Z7" s="203"/>
      <c r="AA7" s="203"/>
      <c r="AB7" s="83"/>
      <c r="AC7" s="83"/>
      <c r="AD7" s="83"/>
      <c r="AE7" s="83"/>
      <c r="AF7" s="83"/>
      <c r="AG7" s="83"/>
      <c r="AH7" s="83"/>
      <c r="AI7" s="83"/>
    </row>
    <row r="8" spans="1:35 16376:16378" ht="18" customHeight="1" x14ac:dyDescent="0.25">
      <c r="A8" s="81"/>
      <c r="B8" s="268"/>
      <c r="D8" s="331" t="s">
        <v>133</v>
      </c>
      <c r="E8" s="331" t="s">
        <v>194</v>
      </c>
      <c r="F8" s="329" t="s">
        <v>133</v>
      </c>
      <c r="G8" s="329" t="s">
        <v>194</v>
      </c>
      <c r="H8" s="330" t="s">
        <v>133</v>
      </c>
      <c r="I8" s="330" t="s">
        <v>194</v>
      </c>
      <c r="J8" s="91"/>
      <c r="K8" s="231"/>
      <c r="L8" s="231"/>
      <c r="M8" s="91"/>
      <c r="N8" s="91"/>
      <c r="O8" s="91"/>
      <c r="P8" s="203"/>
      <c r="Q8" s="232"/>
      <c r="R8" s="203"/>
      <c r="S8" s="203"/>
      <c r="T8" s="203"/>
      <c r="U8" s="203"/>
      <c r="V8" s="203"/>
      <c r="W8" s="203"/>
      <c r="X8" s="203"/>
      <c r="Y8" s="203"/>
      <c r="Z8" s="203"/>
      <c r="AA8" s="203"/>
      <c r="AB8" s="83"/>
      <c r="AC8" s="83"/>
      <c r="AD8" s="83"/>
      <c r="AE8" s="83"/>
      <c r="AF8" s="83"/>
      <c r="AG8" s="83"/>
      <c r="AH8" s="83"/>
      <c r="AI8" s="83"/>
    </row>
    <row r="9" spans="1:35 16376:16378" ht="15.75" x14ac:dyDescent="0.25">
      <c r="A9" s="79"/>
      <c r="B9" s="91"/>
      <c r="C9" s="270" t="s">
        <v>20</v>
      </c>
      <c r="D9" s="277" t="e">
        <f>CEILING(MIN(D36/(1-D13-(D30/12*24)-(D56*(D29-D41))),'Input Sheet'!$C$28,1000000000),1000)</f>
        <v>#VALUE!</v>
      </c>
      <c r="E9" s="278"/>
      <c r="F9" s="277" t="e">
        <f>CEILING(MIN((F36/(1-F13-(F30/12*24)-(F56*(F29-F41)))),F10),1000)</f>
        <v>#N/A</v>
      </c>
      <c r="G9" s="278"/>
      <c r="H9" s="277" t="e">
        <f>CEILING(MIN((H36/(1-H13-(H30/12*24)-(H56*(H29-H41)))),H10),1000)</f>
        <v>#N/A</v>
      </c>
      <c r="I9" s="278"/>
      <c r="J9" s="91"/>
      <c r="K9" s="233"/>
      <c r="L9" s="231"/>
      <c r="M9" s="234"/>
      <c r="N9" s="91"/>
      <c r="O9" s="91"/>
      <c r="P9" s="203"/>
      <c r="Q9" s="232"/>
      <c r="R9" s="203"/>
      <c r="S9" s="203"/>
      <c r="T9" s="203"/>
      <c r="U9" s="203"/>
      <c r="V9" s="203"/>
      <c r="W9" s="203"/>
      <c r="X9" s="203"/>
      <c r="Y9" s="203"/>
      <c r="Z9" s="203"/>
      <c r="AA9" s="203"/>
      <c r="AB9" s="83"/>
      <c r="AC9" s="83"/>
      <c r="AD9" s="83"/>
      <c r="AE9" s="83"/>
      <c r="AF9" s="83"/>
      <c r="AG9" s="83"/>
      <c r="AH9" s="83"/>
      <c r="AI9" s="83"/>
    </row>
    <row r="10" spans="1:35 16376:16378" ht="15" customHeight="1" x14ac:dyDescent="0.25">
      <c r="B10" s="266"/>
      <c r="C10" s="270" t="str">
        <f>'Input Sheet'!$B$27</f>
        <v>Purchase Price</v>
      </c>
      <c r="D10" s="277">
        <f>'Input Sheet'!$C$28</f>
        <v>0</v>
      </c>
      <c r="E10" s="279">
        <f>'Input Sheet'!$C$28</f>
        <v>0</v>
      </c>
      <c r="F10" s="279">
        <f>'Input Sheet'!$C$28</f>
        <v>0</v>
      </c>
      <c r="G10" s="279">
        <f>'Input Sheet'!$C$28</f>
        <v>0</v>
      </c>
      <c r="H10" s="279">
        <f>'Input Sheet'!$C$28</f>
        <v>0</v>
      </c>
      <c r="I10" s="279">
        <f>'Input Sheet'!$C$28</f>
        <v>0</v>
      </c>
      <c r="J10" s="91"/>
      <c r="K10" s="231"/>
      <c r="L10" s="231"/>
      <c r="M10" s="122"/>
      <c r="N10" s="122"/>
      <c r="O10" s="235"/>
      <c r="P10" s="914"/>
      <c r="Q10" s="236"/>
      <c r="R10" s="236"/>
      <c r="S10" s="237"/>
      <c r="T10" s="203"/>
      <c r="U10" s="238"/>
      <c r="V10" s="238"/>
      <c r="W10" s="238"/>
      <c r="X10" s="239"/>
      <c r="Y10" s="203"/>
      <c r="Z10" s="203"/>
      <c r="AA10" s="203"/>
      <c r="AB10" s="83"/>
      <c r="AC10" s="83"/>
      <c r="AD10" s="83"/>
      <c r="AE10" s="83"/>
      <c r="AF10" s="83"/>
      <c r="AG10" s="83"/>
      <c r="AH10" s="83"/>
      <c r="AI10" s="83"/>
    </row>
    <row r="11" spans="1:35 16376:16378" ht="15.75" customHeight="1" x14ac:dyDescent="0.25">
      <c r="C11" s="270" t="s">
        <v>85</v>
      </c>
      <c r="D11" s="280">
        <f>'Input Sheet'!$C$29</f>
        <v>0</v>
      </c>
      <c r="E11" s="281">
        <f>'Input Sheet'!$C$29</f>
        <v>0</v>
      </c>
      <c r="F11" s="282"/>
      <c r="G11" s="282"/>
      <c r="H11" s="282"/>
      <c r="I11" s="282"/>
      <c r="J11" s="91"/>
      <c r="K11" s="231"/>
      <c r="L11" s="231"/>
      <c r="M11" s="240"/>
      <c r="N11" s="122"/>
      <c r="O11" s="241"/>
      <c r="P11" s="914"/>
      <c r="Q11" s="242"/>
      <c r="R11" s="238"/>
      <c r="S11" s="243"/>
      <c r="T11" s="203"/>
      <c r="U11" s="238"/>
      <c r="V11" s="238"/>
      <c r="W11" s="238"/>
      <c r="X11" s="239"/>
      <c r="Y11" s="203"/>
      <c r="Z11" s="203"/>
      <c r="AA11" s="203"/>
      <c r="AB11" s="83"/>
      <c r="AC11" s="83"/>
      <c r="AD11" s="83"/>
      <c r="AE11" s="83"/>
      <c r="AF11" s="83"/>
      <c r="AG11" s="83"/>
      <c r="AH11" s="83"/>
      <c r="AI11" s="83"/>
    </row>
    <row r="12" spans="1:35 16376:16378" ht="15" customHeight="1" x14ac:dyDescent="0.25">
      <c r="C12" s="271" t="s">
        <v>84</v>
      </c>
      <c r="D12" s="280">
        <f>'Input Sheet'!$C$31</f>
        <v>0</v>
      </c>
      <c r="E12" s="281">
        <f>'Input Sheet'!$C$31</f>
        <v>0</v>
      </c>
      <c r="F12" s="282"/>
      <c r="G12" s="282"/>
      <c r="H12" s="282"/>
      <c r="I12" s="282"/>
      <c r="J12" s="91"/>
      <c r="K12" s="231"/>
      <c r="L12" s="231"/>
      <c r="M12" s="240"/>
      <c r="N12" s="122"/>
      <c r="O12" s="241"/>
      <c r="P12" s="914"/>
      <c r="Q12" s="203"/>
      <c r="R12" s="203"/>
      <c r="S12" s="203"/>
      <c r="T12" s="203"/>
      <c r="U12" s="238"/>
      <c r="V12" s="238"/>
      <c r="W12" s="238"/>
      <c r="X12" s="239"/>
      <c r="Y12" s="203"/>
      <c r="Z12" s="203"/>
      <c r="AA12" s="203"/>
      <c r="AB12" s="83"/>
      <c r="AC12" s="83"/>
      <c r="AD12" s="83"/>
      <c r="AE12" s="83"/>
      <c r="AF12" s="83"/>
      <c r="AG12" s="83"/>
      <c r="AH12" s="83"/>
      <c r="AI12" s="83"/>
    </row>
    <row r="13" spans="1:35 16376:16378" ht="15" customHeight="1" x14ac:dyDescent="0.25">
      <c r="A13" s="79"/>
      <c r="C13" s="270" t="s">
        <v>82</v>
      </c>
      <c r="D13" s="283">
        <f>IF('Input Sheet'!$C$34="",Rates!$E$37,'Input Sheet'!$C$34)</f>
        <v>0.02</v>
      </c>
      <c r="E13" s="283">
        <f>IF('Input Sheet'!$C$34="",Rates!$E$37,'Input Sheet'!$C$34)</f>
        <v>0.02</v>
      </c>
      <c r="F13" s="284" t="e">
        <f>IF('Input Sheet'!C34&gt;0,'Input Sheet'!C34,CHOOSE(MATCH('Input Sheet'!I4,Rates!C7:J7,0),Rates!C13,Rates!D13,Rates!E13,Rates!G13,Rates!H13,Rates!I13,Rates!J13))</f>
        <v>#N/A</v>
      </c>
      <c r="G13" s="284" t="e">
        <f>IF('Input Sheet'!C34&gt;0,'Input Sheet'!C34,CHOOSE(MATCH('Input Sheet'!I4,Rates!C7:J7,0),Rates!C13,Rates!D13,Rates!E13,Rates!G13,Rates!H13,Rates!I13,Rates!J13))</f>
        <v>#N/A</v>
      </c>
      <c r="H13" s="284" t="e">
        <f>IF('Input Sheet'!C34&gt;0,'Input Sheet'!C34,CHOOSE(MATCH('Input Sheet'!I4,Rates!C21:J21,0),Rates!C27,Rates!D27,Rates!E27,Rates!G27,Rates!H27,Rates!I27,Rates!J27))</f>
        <v>#N/A</v>
      </c>
      <c r="I13" s="284" t="e">
        <f>IF('Input Sheet'!C34&gt;0,'Input Sheet'!C34,CHOOSE(MATCH('Input Sheet'!I4,Rates!C21:J21,0),Rates!C27,Rates!D27,Rates!E27,Rates!G27,Rates!H27,Rates!I27,Rates!J27))</f>
        <v>#N/A</v>
      </c>
      <c r="J13" s="91"/>
      <c r="K13" s="231"/>
      <c r="L13" s="231"/>
      <c r="M13" s="122"/>
      <c r="N13" s="122"/>
      <c r="O13" s="139"/>
      <c r="P13" s="244"/>
      <c r="Q13" s="245"/>
      <c r="R13" s="245"/>
      <c r="S13" s="246"/>
      <c r="T13" s="203"/>
      <c r="U13" s="245"/>
      <c r="V13" s="245"/>
      <c r="W13" s="245"/>
      <c r="X13" s="239"/>
      <c r="Y13" s="203"/>
      <c r="Z13" s="203"/>
      <c r="AA13" s="203"/>
      <c r="AB13" s="83"/>
      <c r="AC13" s="83"/>
      <c r="AD13" s="83"/>
      <c r="AE13" s="83"/>
      <c r="AF13" s="83"/>
      <c r="AG13" s="83"/>
      <c r="AH13" s="83"/>
      <c r="AI13" s="83"/>
    </row>
    <row r="14" spans="1:35 16376:16378" x14ac:dyDescent="0.25">
      <c r="C14" s="270" t="s">
        <v>83</v>
      </c>
      <c r="D14" s="283">
        <f>'Input Sheet'!$C$35</f>
        <v>0</v>
      </c>
      <c r="E14" s="284">
        <f>'Input Sheet'!$C$35</f>
        <v>0</v>
      </c>
      <c r="F14" s="284">
        <f>'Input Sheet'!$C$35</f>
        <v>0</v>
      </c>
      <c r="G14" s="284">
        <f>'Input Sheet'!$C$35</f>
        <v>0</v>
      </c>
      <c r="H14" s="284">
        <f>'Input Sheet'!$C$35</f>
        <v>0</v>
      </c>
      <c r="I14" s="284">
        <f>'Input Sheet'!$C$35</f>
        <v>0</v>
      </c>
      <c r="J14" s="91"/>
      <c r="K14" s="231"/>
      <c r="L14" s="231"/>
      <c r="M14" s="91"/>
      <c r="N14" s="91"/>
      <c r="O14" s="91"/>
      <c r="P14" s="203"/>
      <c r="Q14" s="242"/>
      <c r="R14" s="238"/>
      <c r="S14" s="246"/>
      <c r="T14" s="203"/>
      <c r="U14" s="247"/>
      <c r="V14" s="247"/>
      <c r="W14" s="247"/>
      <c r="X14" s="239"/>
      <c r="Y14" s="203"/>
      <c r="Z14" s="203"/>
      <c r="AA14" s="203"/>
      <c r="AB14" s="83"/>
      <c r="AC14" s="83"/>
      <c r="AD14" s="83"/>
      <c r="AE14" s="83"/>
      <c r="AF14" s="83"/>
      <c r="AG14" s="83"/>
      <c r="AH14" s="83"/>
      <c r="AI14" s="83"/>
    </row>
    <row r="15" spans="1:35 16376:16378" ht="15" customHeight="1" x14ac:dyDescent="0.25">
      <c r="C15" s="271" t="s">
        <v>86</v>
      </c>
      <c r="D15" s="283">
        <f>'Input Sheet'!$C$36</f>
        <v>0</v>
      </c>
      <c r="E15" s="284">
        <f>'Input Sheet'!$C$36</f>
        <v>0</v>
      </c>
      <c r="F15" s="284">
        <f>'Input Sheet'!$C$36</f>
        <v>0</v>
      </c>
      <c r="G15" s="284">
        <f>'Input Sheet'!$C$36</f>
        <v>0</v>
      </c>
      <c r="H15" s="284">
        <f>'Input Sheet'!$C$36</f>
        <v>0</v>
      </c>
      <c r="I15" s="284">
        <f>'Input Sheet'!$C$36</f>
        <v>0</v>
      </c>
      <c r="J15" s="91"/>
      <c r="K15" s="231"/>
      <c r="L15" s="231"/>
      <c r="M15" s="915"/>
      <c r="N15" s="915"/>
      <c r="O15" s="915"/>
      <c r="P15" s="203"/>
      <c r="Q15" s="248"/>
      <c r="R15" s="249"/>
      <c r="S15" s="246"/>
      <c r="T15" s="203"/>
      <c r="U15" s="250"/>
      <c r="V15" s="251"/>
      <c r="W15" s="251"/>
      <c r="X15" s="239"/>
      <c r="Y15" s="203"/>
      <c r="Z15" s="203"/>
      <c r="AA15" s="203"/>
      <c r="AB15" s="83"/>
      <c r="AC15" s="83"/>
      <c r="AD15" s="83"/>
      <c r="AE15" s="83"/>
      <c r="AF15" s="83"/>
      <c r="AG15" s="83"/>
      <c r="AH15" s="83"/>
      <c r="AI15" s="83"/>
    </row>
    <row r="16" spans="1:35 16376:16378" ht="15" customHeight="1" x14ac:dyDescent="0.25">
      <c r="C16" s="271" t="s">
        <v>92</v>
      </c>
      <c r="D16" s="277">
        <f>'Input Sheet'!$C$37</f>
        <v>0</v>
      </c>
      <c r="E16" s="279">
        <f>'Input Sheet'!$C$37</f>
        <v>0</v>
      </c>
      <c r="F16" s="279">
        <f>'Input Sheet'!$C$37</f>
        <v>0</v>
      </c>
      <c r="G16" s="279">
        <f>'Input Sheet'!$C$37</f>
        <v>0</v>
      </c>
      <c r="H16" s="279">
        <f>'Input Sheet'!$C$37</f>
        <v>0</v>
      </c>
      <c r="I16" s="279">
        <f>'Input Sheet'!$C$37</f>
        <v>0</v>
      </c>
      <c r="J16" s="91"/>
      <c r="K16" s="231"/>
      <c r="L16" s="231"/>
      <c r="M16" s="915"/>
      <c r="N16" s="915"/>
      <c r="O16" s="915"/>
      <c r="P16" s="203"/>
      <c r="Q16" s="242"/>
      <c r="R16" s="238"/>
      <c r="S16" s="246"/>
      <c r="T16" s="203"/>
      <c r="U16" s="247"/>
      <c r="V16" s="253"/>
      <c r="W16" s="253"/>
      <c r="X16" s="239"/>
      <c r="Y16" s="203"/>
      <c r="Z16" s="203"/>
      <c r="AA16" s="203"/>
      <c r="AB16" s="83"/>
      <c r="AC16" s="83"/>
      <c r="AD16" s="83"/>
      <c r="AE16" s="83"/>
      <c r="AF16" s="83"/>
      <c r="AG16" s="83"/>
      <c r="AH16" s="83"/>
      <c r="AI16" s="83"/>
    </row>
    <row r="17" spans="1:35" x14ac:dyDescent="0.25">
      <c r="C17" s="270" t="s">
        <v>178</v>
      </c>
      <c r="D17" s="285"/>
      <c r="E17" s="286"/>
      <c r="F17" s="287">
        <f>'Input Sheet'!$C$38</f>
        <v>0</v>
      </c>
      <c r="G17" s="287">
        <f>'Input Sheet'!$C$38</f>
        <v>0</v>
      </c>
      <c r="H17" s="287">
        <f>'Input Sheet'!$C$38</f>
        <v>0</v>
      </c>
      <c r="I17" s="287">
        <f>'Input Sheet'!$C$38</f>
        <v>0</v>
      </c>
      <c r="J17" s="91"/>
      <c r="K17" s="231"/>
      <c r="L17" s="231"/>
      <c r="M17" s="915"/>
      <c r="N17" s="915"/>
      <c r="O17" s="915"/>
      <c r="P17" s="203"/>
      <c r="Q17" s="245"/>
      <c r="R17" s="245"/>
      <c r="S17" s="246"/>
      <c r="T17" s="203"/>
      <c r="U17" s="252"/>
      <c r="V17" s="252"/>
      <c r="W17" s="252"/>
      <c r="X17" s="239"/>
      <c r="Y17" s="203"/>
      <c r="Z17" s="203"/>
      <c r="AA17" s="203"/>
      <c r="AB17" s="83"/>
      <c r="AC17" s="83"/>
      <c r="AD17" s="83"/>
      <c r="AE17" s="83"/>
      <c r="AF17" s="83"/>
      <c r="AG17" s="83"/>
      <c r="AH17" s="83"/>
      <c r="AI17" s="83"/>
    </row>
    <row r="18" spans="1:35" x14ac:dyDescent="0.25">
      <c r="C18" s="270" t="s">
        <v>124</v>
      </c>
      <c r="D18" s="277">
        <f>'Input Sheet'!$C$39</f>
        <v>0</v>
      </c>
      <c r="E18" s="279">
        <f>'Input Sheet'!$C$39</f>
        <v>0</v>
      </c>
      <c r="F18" s="279">
        <f>'Input Sheet'!$C$39</f>
        <v>0</v>
      </c>
      <c r="G18" s="279">
        <f>'Input Sheet'!$C$39</f>
        <v>0</v>
      </c>
      <c r="H18" s="279">
        <f>'Input Sheet'!$C$39</f>
        <v>0</v>
      </c>
      <c r="I18" s="279">
        <f>'Input Sheet'!$C$39</f>
        <v>0</v>
      </c>
      <c r="J18" s="91"/>
      <c r="K18" s="231"/>
      <c r="L18" s="231"/>
      <c r="M18" s="915"/>
      <c r="N18" s="915"/>
      <c r="O18" s="915"/>
      <c r="P18" s="203"/>
      <c r="Q18" s="247"/>
      <c r="R18" s="253"/>
      <c r="S18" s="246"/>
      <c r="T18" s="203"/>
      <c r="U18" s="254"/>
      <c r="V18" s="255"/>
      <c r="W18" s="255"/>
      <c r="X18" s="256"/>
      <c r="Y18" s="203"/>
      <c r="Z18" s="203"/>
      <c r="AA18" s="203"/>
      <c r="AB18" s="83"/>
      <c r="AC18" s="83"/>
      <c r="AD18" s="83"/>
      <c r="AE18" s="83"/>
      <c r="AF18" s="83"/>
      <c r="AG18" s="83"/>
      <c r="AH18" s="83"/>
      <c r="AI18" s="83"/>
    </row>
    <row r="19" spans="1:35" x14ac:dyDescent="0.25">
      <c r="C19" s="270" t="s">
        <v>47</v>
      </c>
      <c r="D19" s="277">
        <f>'Input Sheet'!$D$17</f>
        <v>0</v>
      </c>
      <c r="E19" s="279">
        <f>'Input Sheet'!$D$17</f>
        <v>0</v>
      </c>
      <c r="F19" s="279">
        <f>'Input Sheet'!$D$17</f>
        <v>0</v>
      </c>
      <c r="G19" s="279">
        <f>'Input Sheet'!$D$17</f>
        <v>0</v>
      </c>
      <c r="H19" s="279">
        <f>'Input Sheet'!$D$17</f>
        <v>0</v>
      </c>
      <c r="I19" s="279">
        <f>'Input Sheet'!$D$17</f>
        <v>0</v>
      </c>
      <c r="J19" s="91"/>
      <c r="K19" s="231"/>
      <c r="L19" s="231"/>
      <c r="M19" s="915"/>
      <c r="N19" s="915"/>
      <c r="O19" s="915"/>
      <c r="P19" s="203"/>
      <c r="Q19" s="250"/>
      <c r="R19" s="251"/>
      <c r="S19" s="246"/>
      <c r="T19" s="203"/>
      <c r="U19" s="257"/>
      <c r="V19" s="257"/>
      <c r="W19" s="257"/>
      <c r="X19" s="256"/>
      <c r="Y19" s="203"/>
      <c r="Z19" s="203"/>
      <c r="AA19" s="203"/>
      <c r="AB19" s="83"/>
      <c r="AC19" s="83"/>
      <c r="AD19" s="83"/>
      <c r="AE19" s="83"/>
      <c r="AF19" s="83"/>
      <c r="AG19" s="83"/>
      <c r="AH19" s="83"/>
      <c r="AI19" s="83"/>
    </row>
    <row r="20" spans="1:35" x14ac:dyDescent="0.25">
      <c r="C20" s="270" t="s">
        <v>74</v>
      </c>
      <c r="D20" s="273">
        <f>'Input Sheet'!$C$41</f>
        <v>0.04</v>
      </c>
      <c r="E20" s="274">
        <f>'Input Sheet'!$C$41</f>
        <v>0.04</v>
      </c>
      <c r="F20" s="274">
        <f>'Input Sheet'!$C$41</f>
        <v>0.04</v>
      </c>
      <c r="G20" s="274">
        <f>'Input Sheet'!$C$41</f>
        <v>0.04</v>
      </c>
      <c r="H20" s="274">
        <f>'Input Sheet'!$C$41</f>
        <v>0.04</v>
      </c>
      <c r="I20" s="274">
        <f>'Input Sheet'!$C$41</f>
        <v>0.04</v>
      </c>
      <c r="J20" s="91"/>
      <c r="K20" s="231"/>
      <c r="L20" s="231"/>
      <c r="M20" s="915"/>
      <c r="N20" s="915"/>
      <c r="O20" s="915"/>
      <c r="P20" s="203"/>
      <c r="Q20" s="203"/>
      <c r="R20" s="203"/>
      <c r="S20" s="203"/>
      <c r="T20" s="203"/>
      <c r="U20" s="258"/>
      <c r="V20" s="258"/>
      <c r="W20" s="258"/>
      <c r="X20" s="259"/>
      <c r="Y20" s="203"/>
      <c r="Z20" s="203"/>
      <c r="AA20" s="203"/>
      <c r="AB20" s="83"/>
      <c r="AC20" s="83"/>
      <c r="AD20" s="83"/>
      <c r="AE20" s="83"/>
      <c r="AF20" s="83"/>
      <c r="AG20" s="83"/>
      <c r="AH20" s="83"/>
      <c r="AI20" s="83"/>
    </row>
    <row r="21" spans="1:35" x14ac:dyDescent="0.25">
      <c r="C21" s="270" t="s">
        <v>259</v>
      </c>
      <c r="D21" s="273">
        <f>$D$20/12</f>
        <v>3.3333333333333335E-3</v>
      </c>
      <c r="E21" s="274">
        <f t="shared" ref="E21:I21" si="0">$D$20/12</f>
        <v>3.3333333333333335E-3</v>
      </c>
      <c r="F21" s="274">
        <f t="shared" si="0"/>
        <v>3.3333333333333335E-3</v>
      </c>
      <c r="G21" s="274">
        <f t="shared" si="0"/>
        <v>3.3333333333333335E-3</v>
      </c>
      <c r="H21" s="274">
        <f t="shared" si="0"/>
        <v>3.3333333333333335E-3</v>
      </c>
      <c r="I21" s="274">
        <f t="shared" si="0"/>
        <v>3.3333333333333335E-3</v>
      </c>
      <c r="J21" s="91"/>
      <c r="K21" s="231"/>
      <c r="L21" s="231"/>
      <c r="M21" s="915"/>
      <c r="N21" s="915"/>
      <c r="O21" s="915"/>
      <c r="P21" s="203"/>
      <c r="Q21" s="260"/>
      <c r="R21" s="261"/>
      <c r="S21" s="246"/>
      <c r="T21" s="203"/>
      <c r="U21" s="262"/>
      <c r="V21" s="258"/>
      <c r="W21" s="258"/>
      <c r="X21" s="263"/>
      <c r="Y21" s="203"/>
      <c r="Z21" s="203"/>
      <c r="AA21" s="203"/>
      <c r="AB21" s="83"/>
      <c r="AC21" s="83"/>
      <c r="AD21" s="83"/>
      <c r="AE21" s="83"/>
      <c r="AF21" s="83"/>
      <c r="AG21" s="83"/>
      <c r="AH21" s="83"/>
      <c r="AI21" s="83"/>
    </row>
    <row r="22" spans="1:35" x14ac:dyDescent="0.25">
      <c r="C22" s="270" t="s">
        <v>256</v>
      </c>
      <c r="D22" s="485" t="e">
        <f>D20*D9*'Input Sheet'!$F$8/12</f>
        <v>#VALUE!</v>
      </c>
      <c r="E22" s="486">
        <f>E20*E32*'Input Sheet'!$F$8/12</f>
        <v>0</v>
      </c>
      <c r="F22" s="486" t="e">
        <f>F20*F9*'Input Sheet'!$I$8/12</f>
        <v>#N/A</v>
      </c>
      <c r="G22" s="486">
        <f>G20*G32*'Input Sheet'!$I$8/12</f>
        <v>0</v>
      </c>
      <c r="H22" s="484"/>
      <c r="I22" s="484"/>
      <c r="J22" s="91"/>
      <c r="K22" s="231"/>
      <c r="L22" s="231"/>
      <c r="M22" s="915"/>
      <c r="N22" s="915"/>
      <c r="O22" s="915"/>
      <c r="P22" s="203"/>
      <c r="Q22" s="253"/>
      <c r="R22" s="247"/>
      <c r="S22" s="246"/>
      <c r="T22" s="203"/>
      <c r="U22" s="262"/>
      <c r="V22" s="258"/>
      <c r="W22" s="258"/>
      <c r="X22" s="263"/>
      <c r="Y22" s="203"/>
      <c r="Z22" s="203"/>
      <c r="AA22" s="203"/>
      <c r="AB22" s="83"/>
      <c r="AC22" s="83"/>
      <c r="AD22" s="83"/>
      <c r="AE22" s="83"/>
      <c r="AF22" s="83"/>
      <c r="AG22" s="83"/>
      <c r="AH22" s="83"/>
      <c r="AI22" s="83"/>
    </row>
    <row r="23" spans="1:35" x14ac:dyDescent="0.25">
      <c r="C23" s="270" t="s">
        <v>58</v>
      </c>
      <c r="D23" s="288">
        <f>'Input Sheet'!$C$13</f>
        <v>0</v>
      </c>
      <c r="E23" s="289">
        <f>'Input Sheet'!$C$13</f>
        <v>0</v>
      </c>
      <c r="F23" s="289">
        <f>'Input Sheet'!$C$13</f>
        <v>0</v>
      </c>
      <c r="G23" s="289">
        <f>'Input Sheet'!$C$13</f>
        <v>0</v>
      </c>
      <c r="H23" s="289">
        <f>'Input Sheet'!$C$13</f>
        <v>0</v>
      </c>
      <c r="I23" s="289">
        <f>'Input Sheet'!$C$13</f>
        <v>0</v>
      </c>
      <c r="J23" s="91"/>
      <c r="K23" s="231"/>
      <c r="L23" s="231"/>
      <c r="M23" s="915"/>
      <c r="N23" s="915"/>
      <c r="O23" s="915"/>
      <c r="P23" s="203"/>
      <c r="Q23" s="247"/>
      <c r="R23" s="247"/>
      <c r="S23" s="239"/>
      <c r="T23" s="203"/>
      <c r="U23" s="262"/>
      <c r="V23" s="258"/>
      <c r="W23" s="258"/>
      <c r="X23" s="264"/>
      <c r="Y23" s="203"/>
      <c r="Z23" s="203"/>
      <c r="AA23" s="203"/>
      <c r="AB23" s="83"/>
      <c r="AC23" s="83"/>
      <c r="AD23" s="83"/>
      <c r="AE23" s="83"/>
      <c r="AF23" s="83"/>
      <c r="AG23" s="83"/>
      <c r="AH23" s="83"/>
      <c r="AI23" s="83"/>
    </row>
    <row r="24" spans="1:35" x14ac:dyDescent="0.25">
      <c r="A24" s="80"/>
      <c r="C24" s="270" t="s">
        <v>75</v>
      </c>
      <c r="D24" s="318" t="str">
        <f>'Input Sheet'!$F$5</f>
        <v/>
      </c>
      <c r="E24" s="318" t="str">
        <f>'Input Sheet'!$F$5</f>
        <v/>
      </c>
      <c r="F24" s="289">
        <f>'Input Sheet'!$C$14</f>
        <v>0</v>
      </c>
      <c r="G24" s="289">
        <f>'Input Sheet'!$C$14</f>
        <v>0</v>
      </c>
      <c r="H24" s="289">
        <f>'Input Sheet'!$C$14</f>
        <v>0</v>
      </c>
      <c r="I24" s="289">
        <f>'Input Sheet'!$C$14</f>
        <v>0</v>
      </c>
      <c r="J24" s="91"/>
      <c r="K24" s="231"/>
      <c r="L24" s="231"/>
      <c r="M24" s="915"/>
      <c r="N24" s="915"/>
      <c r="O24" s="915"/>
      <c r="P24" s="203"/>
      <c r="Q24" s="203"/>
      <c r="R24" s="203"/>
      <c r="S24" s="203"/>
      <c r="T24" s="203"/>
      <c r="U24" s="203"/>
      <c r="V24" s="203"/>
      <c r="W24" s="203"/>
      <c r="X24" s="203"/>
      <c r="Y24" s="203"/>
      <c r="Z24" s="203"/>
      <c r="AA24" s="203"/>
      <c r="AB24" s="83"/>
      <c r="AC24" s="83"/>
      <c r="AD24" s="83"/>
      <c r="AE24" s="83"/>
      <c r="AF24" s="83"/>
      <c r="AG24" s="83"/>
      <c r="AH24" s="83"/>
      <c r="AI24" s="83"/>
    </row>
    <row r="25" spans="1:35" x14ac:dyDescent="0.25">
      <c r="A25" s="80"/>
      <c r="C25" s="270" t="s">
        <v>59</v>
      </c>
      <c r="D25" s="275" t="str" cm="1">
        <f t="array" ref="D25">IF('Input Sheet'!$F$6&gt;0,'Input Sheet'!$F$6+BBR,"")</f>
        <v/>
      </c>
      <c r="E25" s="276" t="str" cm="1">
        <f t="array" ref="E25">IF('Input Sheet'!$F$6&gt;0,'Input Sheet'!$F$6+BBR,"")</f>
        <v/>
      </c>
      <c r="F25" s="284">
        <f>'Input Sheet'!I6</f>
        <v>0</v>
      </c>
      <c r="G25" s="284">
        <f>'Input Sheet'!I6</f>
        <v>0</v>
      </c>
      <c r="H25" s="284">
        <f>'Input Sheet'!L6</f>
        <v>0</v>
      </c>
      <c r="I25" s="284">
        <f>'Input Sheet'!L6</f>
        <v>0</v>
      </c>
      <c r="J25" s="91"/>
      <c r="K25" s="231"/>
      <c r="L25" s="231"/>
      <c r="M25" s="78"/>
      <c r="N25" s="78"/>
      <c r="O25" s="78"/>
      <c r="P25" s="203"/>
      <c r="Q25" s="203"/>
      <c r="R25" s="203"/>
      <c r="S25" s="203"/>
      <c r="T25" s="203"/>
      <c r="U25" s="203"/>
      <c r="V25" s="203"/>
      <c r="W25" s="203"/>
      <c r="X25" s="203"/>
      <c r="Y25" s="203"/>
      <c r="Z25" s="203"/>
      <c r="AA25" s="203"/>
      <c r="AB25" s="83"/>
      <c r="AC25" s="83"/>
      <c r="AD25" s="83"/>
      <c r="AE25" s="83"/>
      <c r="AF25" s="83"/>
      <c r="AG25" s="83"/>
      <c r="AH25" s="83"/>
      <c r="AI25" s="83"/>
    </row>
    <row r="26" spans="1:35" x14ac:dyDescent="0.25">
      <c r="A26" s="80"/>
      <c r="C26" s="270" t="s">
        <v>255</v>
      </c>
      <c r="D26" s="275" t="str">
        <f>IF($D$25&lt;&gt;"",$D$25,
IF(AND('Input Sheet'!$C$15="Yes",'Input Sheet'!$C$13="Residential"),Rates!$E$42,
IF($D$23="Residential",
IF($D$9&lt;=Rates!E36,Rates!E33,
IF($D$9&lt;=Rates!F36,Rates!F33,
Rates!G33)),
IF($D$23="Semi &amp; Full Commercial",
IF($D$9&lt;=Rates!E36,Rates!E34,
IF($D$9&lt;=Rates!F36,Rates!F34,
Rates!G34)),
""))))</f>
        <v/>
      </c>
      <c r="E26" s="276" t="str">
        <f>IF($E$25&lt;&gt;"",$E$25,
IF(AND('Input Sheet'!$C$15="Yes",'Input Sheet'!$C$13="Residential"),Rates!$E$42,
IF($E$23="Residential",
IF(E32&lt;=Rates!E36,Rates!E33,
IF(E32&lt;=Rates!F36,Rates!F33,
Rates!G33)),
IF($E$23="Semi &amp; Full Commercial",
IF(E32&lt;=Rates!E36,Rates!E34,
IF(E32&lt;=Rates!F36,Rates!F34,
Rates!G34)),
""))))</f>
        <v/>
      </c>
      <c r="F26" s="284" t="str">
        <f>'Input Sheet'!$I$5</f>
        <v/>
      </c>
      <c r="G26" s="284" t="str">
        <f>'Input Sheet'!$I$5</f>
        <v/>
      </c>
      <c r="H26" s="284" t="str">
        <f>'Input Sheet'!$L$5</f>
        <v/>
      </c>
      <c r="I26" s="284" t="str">
        <f>'Input Sheet'!$L$5</f>
        <v/>
      </c>
      <c r="J26" s="91"/>
      <c r="K26" s="231"/>
      <c r="L26" s="231"/>
      <c r="M26" s="78"/>
      <c r="N26" s="78"/>
      <c r="O26" s="78"/>
      <c r="P26" s="203"/>
      <c r="Q26" s="203"/>
      <c r="R26" s="203"/>
      <c r="S26" s="203"/>
      <c r="T26" s="203"/>
      <c r="U26" s="203"/>
      <c r="V26" s="203"/>
      <c r="W26" s="203"/>
      <c r="X26" s="203"/>
      <c r="Y26" s="203"/>
      <c r="Z26" s="203"/>
      <c r="AA26" s="203"/>
      <c r="AB26" s="83"/>
      <c r="AC26" s="83"/>
      <c r="AD26" s="83"/>
      <c r="AE26" s="83"/>
      <c r="AF26" s="83"/>
      <c r="AG26" s="83"/>
      <c r="AH26" s="83"/>
      <c r="AI26" s="83"/>
    </row>
    <row r="27" spans="1:35" x14ac:dyDescent="0.25">
      <c r="A27" s="80"/>
      <c r="C27" s="270" t="s">
        <v>254</v>
      </c>
      <c r="D27" s="487" t="e">
        <f>D26*D9*'Input Sheet'!$F$8/12</f>
        <v>#VALUE!</v>
      </c>
      <c r="E27" s="488" t="e">
        <f>E26*E32*'Input Sheet'!$F$8/12</f>
        <v>#VALUE!</v>
      </c>
      <c r="F27" s="279" t="e">
        <f>F26*F9*'Input Sheet'!$I$8</f>
        <v>#VALUE!</v>
      </c>
      <c r="G27" s="279" t="e">
        <f>G26*G32*'Input Sheet'!$I$8</f>
        <v>#VALUE!</v>
      </c>
      <c r="H27" s="483"/>
      <c r="I27" s="483"/>
      <c r="J27" s="91"/>
      <c r="K27" s="231"/>
      <c r="L27" s="231"/>
      <c r="M27" s="78"/>
      <c r="N27" s="78"/>
      <c r="O27" s="78"/>
      <c r="P27" s="203"/>
      <c r="Q27" s="203"/>
      <c r="R27" s="203"/>
      <c r="S27" s="203"/>
      <c r="T27" s="203"/>
      <c r="U27" s="203"/>
      <c r="V27" s="203"/>
      <c r="W27" s="203"/>
      <c r="X27" s="203"/>
      <c r="Y27" s="203"/>
      <c r="Z27" s="203"/>
      <c r="AA27" s="203"/>
      <c r="AB27" s="83"/>
      <c r="AC27" s="83"/>
      <c r="AD27" s="83"/>
      <c r="AE27" s="83"/>
      <c r="AF27" s="83"/>
      <c r="AG27" s="83"/>
      <c r="AH27" s="83"/>
      <c r="AI27" s="83"/>
    </row>
    <row r="28" spans="1:35" x14ac:dyDescent="0.25">
      <c r="C28" s="270" t="s">
        <v>95</v>
      </c>
      <c r="D28" s="318">
        <f>'Input Sheet'!$F$7</f>
        <v>6</v>
      </c>
      <c r="E28" s="319">
        <f>'Input Sheet'!$F$7</f>
        <v>6</v>
      </c>
      <c r="F28" s="291">
        <f>'Input Sheet'!$I$7</f>
        <v>3</v>
      </c>
      <c r="G28" s="291">
        <f>'Input Sheet'!$I$7</f>
        <v>3</v>
      </c>
      <c r="H28" s="291">
        <f>'Input Sheet'!$L$7</f>
        <v>3</v>
      </c>
      <c r="I28" s="291">
        <f>'Input Sheet'!$L$7</f>
        <v>3</v>
      </c>
      <c r="P28" s="83"/>
      <c r="Q28" s="83"/>
      <c r="R28" s="83"/>
      <c r="S28" s="83"/>
      <c r="T28" s="83"/>
      <c r="U28" s="83"/>
      <c r="V28" s="83"/>
      <c r="W28" s="83"/>
      <c r="X28" s="83"/>
      <c r="Y28" s="83"/>
      <c r="Z28" s="83"/>
      <c r="AA28" s="83"/>
      <c r="AB28" s="83"/>
      <c r="AC28" s="83"/>
      <c r="AD28" s="83"/>
      <c r="AE28" s="83"/>
      <c r="AF28" s="83"/>
      <c r="AG28" s="83"/>
      <c r="AH28" s="83"/>
      <c r="AI28" s="83"/>
    </row>
    <row r="29" spans="1:35" x14ac:dyDescent="0.25">
      <c r="A29" s="80"/>
      <c r="C29" s="270" t="s">
        <v>45</v>
      </c>
      <c r="D29" s="318">
        <f>'Input Sheet'!$F$8</f>
        <v>24</v>
      </c>
      <c r="E29" s="319">
        <f>'Input Sheet'!$F$8</f>
        <v>24</v>
      </c>
      <c r="F29" s="291">
        <f>'Input Sheet'!$I$8</f>
        <v>12</v>
      </c>
      <c r="G29" s="291">
        <f>'Input Sheet'!$I$8</f>
        <v>12</v>
      </c>
      <c r="H29" s="291">
        <f>'Input Sheet'!$L$8</f>
        <v>12</v>
      </c>
      <c r="I29" s="291">
        <f>'Input Sheet'!$L$8</f>
        <v>12</v>
      </c>
      <c r="K29" s="157"/>
      <c r="N29" s="82"/>
      <c r="O29" s="82"/>
      <c r="P29" s="83"/>
      <c r="Q29" s="83"/>
      <c r="R29" s="83"/>
      <c r="S29" s="83"/>
      <c r="T29" s="83"/>
      <c r="U29" s="83"/>
      <c r="V29" s="83"/>
      <c r="W29" s="83"/>
      <c r="X29" s="83"/>
      <c r="Y29" s="83"/>
      <c r="Z29" s="83"/>
      <c r="AA29" s="83"/>
      <c r="AB29" s="83"/>
      <c r="AC29" s="83"/>
      <c r="AD29" s="83"/>
      <c r="AE29" s="83"/>
      <c r="AF29" s="83"/>
      <c r="AG29" s="83"/>
      <c r="AH29" s="83"/>
      <c r="AI29" s="83"/>
    </row>
    <row r="30" spans="1:35" x14ac:dyDescent="0.25">
      <c r="C30" s="271" t="s">
        <v>183</v>
      </c>
      <c r="D30" s="320">
        <f>'Input Sheet'!$F$9</f>
        <v>0</v>
      </c>
      <c r="E30" s="321">
        <f>'Input Sheet'!$F$9</f>
        <v>0</v>
      </c>
      <c r="F30" s="282"/>
      <c r="G30" s="292"/>
      <c r="H30" s="282"/>
      <c r="I30" s="282"/>
      <c r="K30" s="157"/>
      <c r="P30" s="83"/>
      <c r="Q30" s="83"/>
      <c r="R30" s="83"/>
      <c r="S30" s="83"/>
      <c r="T30" s="83"/>
      <c r="U30" s="83"/>
      <c r="V30" s="83"/>
      <c r="W30" s="83"/>
      <c r="X30" s="83"/>
      <c r="Y30" s="83"/>
      <c r="Z30" s="83"/>
      <c r="AA30" s="83"/>
      <c r="AB30" s="83"/>
      <c r="AC30" s="83"/>
      <c r="AD30" s="83"/>
      <c r="AE30" s="83"/>
      <c r="AF30" s="83"/>
      <c r="AG30" s="83"/>
      <c r="AH30" s="83"/>
      <c r="AI30" s="83"/>
    </row>
    <row r="31" spans="1:35" x14ac:dyDescent="0.25">
      <c r="C31" s="270" t="s">
        <v>195</v>
      </c>
      <c r="D31" s="273" t="e">
        <f>IF($D$25="",D26+BBR,$D$25)</f>
        <v>#VALUE!</v>
      </c>
      <c r="E31" s="274" t="e">
        <f>IF($E$25="",E26+BBR,$E$25)</f>
        <v>#VALUE!</v>
      </c>
      <c r="F31" s="284" t="e">
        <f>(F26*12)+F20</f>
        <v>#VALUE!</v>
      </c>
      <c r="G31" s="284" t="e">
        <f>(G26*12)+G20</f>
        <v>#VALUE!</v>
      </c>
      <c r="H31" s="284" t="e">
        <f>H26*12</f>
        <v>#VALUE!</v>
      </c>
      <c r="I31" s="284" t="e">
        <f>I26*12</f>
        <v>#VALUE!</v>
      </c>
      <c r="K31" s="170"/>
      <c r="L31" s="157"/>
      <c r="P31" s="83"/>
      <c r="Q31" s="83"/>
      <c r="R31" s="83"/>
      <c r="S31" s="83"/>
      <c r="T31" s="83"/>
      <c r="U31" s="83"/>
      <c r="V31" s="83"/>
      <c r="W31" s="83"/>
      <c r="X31" s="83"/>
      <c r="Y31" s="83"/>
      <c r="Z31" s="83"/>
      <c r="AA31" s="83"/>
      <c r="AB31" s="83"/>
      <c r="AC31" s="83"/>
      <c r="AD31" s="83"/>
      <c r="AE31" s="83"/>
      <c r="AF31" s="83"/>
      <c r="AG31" s="83"/>
      <c r="AH31" s="83"/>
      <c r="AI31" s="83"/>
    </row>
    <row r="32" spans="1:35" x14ac:dyDescent="0.25">
      <c r="C32" s="270" t="s">
        <v>20</v>
      </c>
      <c r="D32" s="290"/>
      <c r="E32" s="279">
        <f>IF('Input Sheet'!$C$11&gt;'Input Sheet'!$C$28,'Input Sheet'!$C$28,'Input Sheet'!$C$11)</f>
        <v>0</v>
      </c>
      <c r="F32" s="293"/>
      <c r="G32" s="279">
        <f>IF('Input Sheet'!$C$11&gt;'Input Sheet'!$C$28,'Input Sheet'!$C$28,'Input Sheet'!$C$11)</f>
        <v>0</v>
      </c>
      <c r="H32" s="293"/>
      <c r="I32" s="279">
        <f>IF('Input Sheet'!$C$11&gt;'Input Sheet'!$C$28,'Input Sheet'!$C$28,'Input Sheet'!$C$11)</f>
        <v>0</v>
      </c>
      <c r="K32" s="157"/>
      <c r="L32" s="157"/>
      <c r="P32" s="83"/>
      <c r="Q32" s="83"/>
      <c r="R32" s="83"/>
      <c r="S32" s="83"/>
      <c r="T32" s="83"/>
      <c r="U32" s="83"/>
      <c r="V32" s="83"/>
      <c r="W32" s="83"/>
      <c r="X32" s="83"/>
      <c r="Y32" s="83"/>
      <c r="Z32" s="83"/>
      <c r="AA32" s="83"/>
      <c r="AB32" s="83"/>
      <c r="AC32" s="83"/>
      <c r="AD32" s="83"/>
      <c r="AE32" s="83"/>
      <c r="AF32" s="83"/>
      <c r="AG32" s="83"/>
      <c r="AH32" s="83"/>
      <c r="AI32" s="83"/>
    </row>
    <row r="33" spans="1:143" x14ac:dyDescent="0.25">
      <c r="C33" s="270" t="s">
        <v>87</v>
      </c>
      <c r="D33" s="283">
        <f>IFERROR((D9+D19)/D10,0)</f>
        <v>0</v>
      </c>
      <c r="E33" s="284">
        <f>IFERROR((E32+E19)/E10,0)</f>
        <v>0</v>
      </c>
      <c r="F33" s="284">
        <f>IFERROR((F9+F19)/F10,0)</f>
        <v>0</v>
      </c>
      <c r="G33" s="284">
        <f>IFERROR((G32+G19)/G10,0)</f>
        <v>0</v>
      </c>
      <c r="H33" s="284">
        <f>IFERROR((H9+H19)/H10,0)</f>
        <v>0</v>
      </c>
      <c r="I33" s="284">
        <f>IFERROR((I32+I19)/I10,0)</f>
        <v>0</v>
      </c>
      <c r="L33" s="157"/>
      <c r="P33" s="83"/>
      <c r="Q33" s="83"/>
      <c r="R33" s="83"/>
      <c r="S33" s="83"/>
      <c r="T33" s="83"/>
      <c r="U33" s="83"/>
      <c r="V33" s="83"/>
      <c r="W33" s="83"/>
      <c r="X33" s="83"/>
      <c r="Y33" s="83"/>
      <c r="Z33" s="83"/>
      <c r="AA33" s="83"/>
      <c r="AB33" s="83"/>
      <c r="AC33" s="83"/>
      <c r="AD33" s="83"/>
      <c r="AE33" s="83"/>
      <c r="AF33" s="83"/>
      <c r="AG33" s="83"/>
      <c r="AH33" s="83"/>
      <c r="AI33" s="83"/>
    </row>
    <row r="34" spans="1:143" x14ac:dyDescent="0.25">
      <c r="A34" s="80"/>
      <c r="C34" s="270" t="s">
        <v>88</v>
      </c>
      <c r="D34" s="277" t="e">
        <f t="shared" ref="D34:I34" si="1">D35+D38</f>
        <v>#VALUE!</v>
      </c>
      <c r="E34" s="279" t="e">
        <f t="shared" si="1"/>
        <v>#VALUE!</v>
      </c>
      <c r="F34" s="279" t="e">
        <f t="shared" si="1"/>
        <v>#N/A</v>
      </c>
      <c r="G34" s="279" t="e">
        <f t="shared" si="1"/>
        <v>#N/A</v>
      </c>
      <c r="H34" s="279" t="e">
        <f t="shared" si="1"/>
        <v>#N/A</v>
      </c>
      <c r="I34" s="279" t="e">
        <f t="shared" si="1"/>
        <v>#N/A</v>
      </c>
      <c r="K34" s="157"/>
      <c r="L34" s="157"/>
      <c r="P34" s="83"/>
      <c r="Q34" s="83"/>
      <c r="R34" s="83"/>
      <c r="S34" s="83"/>
      <c r="T34" s="83"/>
      <c r="U34" s="83"/>
      <c r="V34" s="83"/>
      <c r="W34" s="83"/>
      <c r="X34" s="83"/>
      <c r="Y34" s="83"/>
      <c r="Z34" s="83"/>
      <c r="AA34" s="83"/>
      <c r="AB34" s="83"/>
      <c r="AC34" s="83"/>
      <c r="AD34" s="83"/>
      <c r="AE34" s="83"/>
      <c r="AF34" s="83"/>
      <c r="AG34" s="83"/>
      <c r="AH34" s="83"/>
      <c r="AI34" s="83"/>
    </row>
    <row r="35" spans="1:143" x14ac:dyDescent="0.25">
      <c r="A35" s="80"/>
      <c r="C35" s="270" t="s">
        <v>89</v>
      </c>
      <c r="D35" s="277" t="e">
        <f>D9-D44-D38-D43</f>
        <v>#VALUE!</v>
      </c>
      <c r="E35" s="279" t="e">
        <f>E32-E44-E38-E43</f>
        <v>#VALUE!</v>
      </c>
      <c r="F35" s="279" t="e">
        <f>F9-F38-F43</f>
        <v>#N/A</v>
      </c>
      <c r="G35" s="279" t="e">
        <f>G32-G38-G43</f>
        <v>#N/A</v>
      </c>
      <c r="H35" s="279" t="e">
        <f>H9-H38-H43</f>
        <v>#N/A</v>
      </c>
      <c r="I35" s="279" t="e">
        <f>I32-I38-I43</f>
        <v>#N/A</v>
      </c>
      <c r="K35" s="157"/>
      <c r="L35" s="157"/>
      <c r="P35" s="83"/>
      <c r="Q35" s="83"/>
      <c r="R35" s="83"/>
      <c r="S35" s="83"/>
      <c r="T35" s="83"/>
      <c r="U35" s="83"/>
      <c r="V35" s="83"/>
      <c r="W35" s="83"/>
      <c r="X35" s="83"/>
      <c r="Y35" s="83"/>
      <c r="Z35" s="83"/>
      <c r="AA35" s="83"/>
      <c r="AB35" s="83"/>
      <c r="AC35" s="83"/>
      <c r="AD35" s="83"/>
      <c r="AE35" s="83"/>
      <c r="AF35" s="83"/>
      <c r="AG35" s="83"/>
      <c r="AH35" s="83"/>
      <c r="AI35" s="83"/>
    </row>
    <row r="36" spans="1:143" x14ac:dyDescent="0.25">
      <c r="A36" s="83"/>
      <c r="C36" s="270" t="s">
        <v>133</v>
      </c>
      <c r="D36" s="277">
        <f>IF('Input Sheet'!$D$15&gt;'Input Sheet'!$C$28,'Input Sheet'!$C$28,'Input Sheet'!$D$15)</f>
        <v>0</v>
      </c>
      <c r="E36" s="293"/>
      <c r="F36" s="279">
        <f>IF('Input Sheet'!$D$15&gt;'Input Sheet'!$C$28,'Input Sheet'!$C$28,'Input Sheet'!$D$15)</f>
        <v>0</v>
      </c>
      <c r="G36" s="293"/>
      <c r="H36" s="279">
        <f>IF('Input Sheet'!$D$15&gt;'Input Sheet'!$C$28,'Input Sheet'!$C$28,'Input Sheet'!$D$15)</f>
        <v>0</v>
      </c>
      <c r="I36" s="29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row>
    <row r="37" spans="1:143" x14ac:dyDescent="0.25">
      <c r="B37" s="91"/>
      <c r="C37" s="270" t="s">
        <v>91</v>
      </c>
      <c r="D37" s="283">
        <f>IFERROR(D35/D10,0)</f>
        <v>0</v>
      </c>
      <c r="E37" s="284">
        <f t="shared" ref="E37" si="2">IFERROR(E35/E10,0)</f>
        <v>0</v>
      </c>
      <c r="F37" s="284">
        <f>IFERROR((F35+IF('Input Sheet'!$C$17="Yes",F19,0))/F10,0)</f>
        <v>0</v>
      </c>
      <c r="G37" s="284">
        <f>IFERROR((G35+IF('Input Sheet'!$C$17="Yes",G19,0))/G10,0)</f>
        <v>0</v>
      </c>
      <c r="H37" s="284">
        <f>IFERROR((H35+IF('Input Sheet'!$C$17="Yes",H19,0))/H10,0)</f>
        <v>0</v>
      </c>
      <c r="I37" s="284">
        <f>IFERROR((I35+IF('Input Sheet'!$C$17="Yes",I19,0))/I10,0)</f>
        <v>0</v>
      </c>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row>
    <row r="38" spans="1:143" x14ac:dyDescent="0.25">
      <c r="B38" s="267"/>
      <c r="C38" s="270" t="s">
        <v>90</v>
      </c>
      <c r="D38" s="277" t="e">
        <f>D9*D13</f>
        <v>#VALUE!</v>
      </c>
      <c r="E38" s="279">
        <f>E32*E13</f>
        <v>0</v>
      </c>
      <c r="F38" s="279" t="e">
        <f>F9*F13</f>
        <v>#N/A</v>
      </c>
      <c r="G38" s="279" t="e">
        <f>G32*G13</f>
        <v>#N/A</v>
      </c>
      <c r="H38" s="279" t="e">
        <f t="shared" ref="H38" si="3">H9*H13</f>
        <v>#N/A</v>
      </c>
      <c r="I38" s="279" t="e">
        <f t="shared" ref="I38" si="4">I32*I13</f>
        <v>#N/A</v>
      </c>
      <c r="K38"/>
      <c r="L38"/>
    </row>
    <row r="39" spans="1:143" x14ac:dyDescent="0.25">
      <c r="B39" s="266"/>
      <c r="C39" s="270" t="s">
        <v>96</v>
      </c>
      <c r="D39" s="277" t="e">
        <f>D9*D14</f>
        <v>#VALUE!</v>
      </c>
      <c r="E39" s="279">
        <f>E32*E14</f>
        <v>0</v>
      </c>
      <c r="F39" s="279" t="e">
        <f>F9*F14</f>
        <v>#N/A</v>
      </c>
      <c r="G39" s="279">
        <f>G32*G14</f>
        <v>0</v>
      </c>
      <c r="H39" s="279" t="e">
        <f>H9*H14</f>
        <v>#N/A</v>
      </c>
      <c r="I39" s="279">
        <f>I32*I14</f>
        <v>0</v>
      </c>
      <c r="J39" s="83"/>
      <c r="K39"/>
      <c r="L39"/>
    </row>
    <row r="40" spans="1:143" x14ac:dyDescent="0.25">
      <c r="B40" s="266"/>
      <c r="C40" s="271" t="s">
        <v>92</v>
      </c>
      <c r="D40" s="277" t="e">
        <f>IF('Input Sheet'!$C$37&gt;0,'Input Sheet'!$C$37,D9*D15)</f>
        <v>#VALUE!</v>
      </c>
      <c r="E40" s="279">
        <f>IF('Input Sheet'!$C$37&gt;0,'Input Sheet'!$C$37,E32*E15)</f>
        <v>0</v>
      </c>
      <c r="F40" s="279" t="e">
        <f>IF('Input Sheet'!$C$37&gt;0,'Input Sheet'!$C$37,F9*F15)</f>
        <v>#N/A</v>
      </c>
      <c r="G40" s="279">
        <f>IF('Input Sheet'!$C$37&gt;0,'Input Sheet'!$C$37,G32*G15)</f>
        <v>0</v>
      </c>
      <c r="H40" s="279" t="e">
        <f>IF('Input Sheet'!$C$37&gt;0,'Input Sheet'!$C$37,H9*H15)</f>
        <v>#N/A</v>
      </c>
      <c r="I40" s="279">
        <f>IF('Input Sheet'!$C$37&gt;0,'Input Sheet'!$C$37,I32*I15)</f>
        <v>0</v>
      </c>
      <c r="L40"/>
    </row>
    <row r="41" spans="1:143" x14ac:dyDescent="0.25">
      <c r="B41" s="91"/>
      <c r="C41" s="270" t="s">
        <v>76</v>
      </c>
      <c r="D41" s="288">
        <f>IF(D29-D28&lt;0,0,D29-D28)</f>
        <v>18</v>
      </c>
      <c r="E41" s="289">
        <f t="shared" ref="E41:I41" si="5">IF(E29-E28&lt;0,0,E29-E28)</f>
        <v>18</v>
      </c>
      <c r="F41" s="289">
        <f t="shared" si="5"/>
        <v>9</v>
      </c>
      <c r="G41" s="289">
        <f t="shared" si="5"/>
        <v>9</v>
      </c>
      <c r="H41" s="289">
        <f t="shared" si="5"/>
        <v>9</v>
      </c>
      <c r="I41" s="289">
        <f t="shared" si="5"/>
        <v>9</v>
      </c>
      <c r="L41"/>
    </row>
    <row r="42" spans="1:143" x14ac:dyDescent="0.25">
      <c r="B42" s="91"/>
      <c r="C42" s="270" t="s">
        <v>196</v>
      </c>
      <c r="D42" s="277" t="e">
        <f>D9*(D29-D28)*(D31-D30)/12</f>
        <v>#VALUE!</v>
      </c>
      <c r="E42" s="277" t="e">
        <f>E32*(E29-E28)*(E31-E30)/12</f>
        <v>#VALUE!</v>
      </c>
      <c r="F42" s="279" t="e">
        <f t="shared" ref="F42" si="6">F9*(F29-F28)*F31/12</f>
        <v>#N/A</v>
      </c>
      <c r="G42" s="279" t="e">
        <f>G32*(G29-G28)*G31/12</f>
        <v>#VALUE!</v>
      </c>
      <c r="H42" s="279" t="e">
        <f t="shared" ref="H42" si="7">H9*(H29-H28)*H31/12</f>
        <v>#N/A</v>
      </c>
      <c r="I42" s="279" t="e">
        <f t="shared" ref="I42" si="8">I32*(I29-I28)*I31/12</f>
        <v>#VALUE!</v>
      </c>
      <c r="L42"/>
    </row>
    <row r="43" spans="1:143" x14ac:dyDescent="0.25">
      <c r="B43" s="266"/>
      <c r="C43" s="270" t="s">
        <v>97</v>
      </c>
      <c r="D43" s="277" t="e">
        <f>D9*(D31-D30)*D28/12</f>
        <v>#VALUE!</v>
      </c>
      <c r="E43" s="277" t="e">
        <f>E32*(E31-E30)*E28/12</f>
        <v>#VALUE!</v>
      </c>
      <c r="F43" s="279" t="e">
        <f>F9*F56*F28</f>
        <v>#N/A</v>
      </c>
      <c r="G43" s="279" t="e">
        <f>G32*G31*G28/12</f>
        <v>#VALUE!</v>
      </c>
      <c r="H43" s="279" t="e">
        <f>H9*H56*H28</f>
        <v>#N/A</v>
      </c>
      <c r="I43" s="279" t="e">
        <f>I32*I31*I28/12</f>
        <v>#VALUE!</v>
      </c>
      <c r="J43" s="155"/>
      <c r="L43"/>
    </row>
    <row r="44" spans="1:143" x14ac:dyDescent="0.25">
      <c r="B44" s="91"/>
      <c r="C44" s="270" t="s">
        <v>93</v>
      </c>
      <c r="D44" s="277" t="e">
        <f>(D9*D30/12)*24</f>
        <v>#VALUE!</v>
      </c>
      <c r="E44" s="279">
        <f>(E32*E30/12)*24</f>
        <v>0</v>
      </c>
      <c r="F44" s="282"/>
      <c r="G44" s="282"/>
      <c r="H44" s="282"/>
      <c r="I44" s="282"/>
      <c r="J44" s="155"/>
      <c r="L44"/>
    </row>
    <row r="45" spans="1:143" ht="24" x14ac:dyDescent="0.25">
      <c r="C45" s="271" t="s">
        <v>110</v>
      </c>
      <c r="D45" s="277" t="e">
        <f>SUM(D42:D44)</f>
        <v>#VALUE!</v>
      </c>
      <c r="E45" s="279" t="e">
        <f>SUM(E42:E44)</f>
        <v>#VALUE!</v>
      </c>
      <c r="F45" s="279" t="e">
        <f>SUM(F42:F43)</f>
        <v>#N/A</v>
      </c>
      <c r="G45" s="279" t="e">
        <f>SUM(G42:G43)</f>
        <v>#VALUE!</v>
      </c>
      <c r="H45" s="279" t="e">
        <f>SUM(H42:H43)</f>
        <v>#N/A</v>
      </c>
      <c r="I45" s="279" t="e">
        <f>SUM(I42:I43)</f>
        <v>#VALUE!</v>
      </c>
      <c r="J45" s="155"/>
      <c r="L45"/>
    </row>
    <row r="46" spans="1:143" x14ac:dyDescent="0.25">
      <c r="C46" s="271" t="s">
        <v>134</v>
      </c>
      <c r="D46" s="277" t="e">
        <f>D9*D31*D29/12</f>
        <v>#VALUE!</v>
      </c>
      <c r="E46" s="279" t="e">
        <f>E32*E31*E29/12</f>
        <v>#VALUE!</v>
      </c>
      <c r="F46" s="279" t="e">
        <f t="shared" ref="F46" si="9">F9*F31*F29/12</f>
        <v>#N/A</v>
      </c>
      <c r="G46" s="279" t="e">
        <f>G32*G31*G29/12</f>
        <v>#VALUE!</v>
      </c>
      <c r="H46" s="279" t="e">
        <f t="shared" ref="H46" si="10">H9*H31*H29/12</f>
        <v>#N/A</v>
      </c>
      <c r="I46" s="279" t="e">
        <f t="shared" ref="I46" si="11">I32*I31*I29/12</f>
        <v>#VALUE!</v>
      </c>
      <c r="J46" s="155"/>
      <c r="L46"/>
    </row>
    <row r="47" spans="1:143" x14ac:dyDescent="0.25">
      <c r="C47" s="270" t="s">
        <v>51</v>
      </c>
      <c r="D47" s="273">
        <f>IFERROR((D40+D38+D46)/D35/D29*12,0)</f>
        <v>0</v>
      </c>
      <c r="E47" s="274">
        <f t="shared" ref="E47:I47" si="12">IFERROR((E40+E38+E46)/E35/E29*12,0)</f>
        <v>0</v>
      </c>
      <c r="F47" s="274">
        <f t="shared" si="12"/>
        <v>0</v>
      </c>
      <c r="G47" s="274">
        <f>IFERROR((G40+G38+G46)/G35/G29*12,0)</f>
        <v>0</v>
      </c>
      <c r="H47" s="274">
        <f t="shared" si="12"/>
        <v>0</v>
      </c>
      <c r="I47" s="274">
        <f t="shared" si="12"/>
        <v>0</v>
      </c>
      <c r="J47" s="155"/>
      <c r="L47"/>
    </row>
    <row r="48" spans="1:143" x14ac:dyDescent="0.25">
      <c r="C48" s="270" t="s">
        <v>187</v>
      </c>
      <c r="D48" s="273">
        <f>IFERROR(D47/12,0)</f>
        <v>0</v>
      </c>
      <c r="E48" s="274">
        <f t="shared" ref="E48:I48" si="13">IFERROR(E47/12,0)</f>
        <v>0</v>
      </c>
      <c r="F48" s="274">
        <f t="shared" si="13"/>
        <v>0</v>
      </c>
      <c r="G48" s="274">
        <f t="shared" si="13"/>
        <v>0</v>
      </c>
      <c r="H48" s="274">
        <f t="shared" si="13"/>
        <v>0</v>
      </c>
      <c r="I48" s="274">
        <f t="shared" si="13"/>
        <v>0</v>
      </c>
      <c r="J48" s="155"/>
      <c r="L48"/>
    </row>
    <row r="49" spans="3:12" x14ac:dyDescent="0.25">
      <c r="C49" s="270" t="s">
        <v>99</v>
      </c>
      <c r="D49" s="277" t="e">
        <f>D9*(D31-D30)/12</f>
        <v>#VALUE!</v>
      </c>
      <c r="E49" s="279" t="e">
        <f>E32*(E31-E30)/12</f>
        <v>#VALUE!</v>
      </c>
      <c r="F49" s="279" t="e">
        <f>IF('Input Sheet'!$I$22=0,0,F9*F56)</f>
        <v>#N/A</v>
      </c>
      <c r="G49" s="279" t="e">
        <f>IF('Input Sheet'!$I$22=0,0,G32*G56)</f>
        <v>#VALUE!</v>
      </c>
      <c r="H49" s="279" t="e">
        <f>IF('Input Sheet'!$L$22=0,0,H9*H56)</f>
        <v>#N/A</v>
      </c>
      <c r="I49" s="279" t="e">
        <f>IF('Input Sheet'!$L$22=0,0,I32*I56)</f>
        <v>#VALUE!</v>
      </c>
      <c r="J49" s="155"/>
      <c r="L49"/>
    </row>
    <row r="50" spans="3:12" x14ac:dyDescent="0.25">
      <c r="C50" s="270" t="s">
        <v>445</v>
      </c>
      <c r="D50" s="294" t="e">
        <f>D9*75%*3%</f>
        <v>#VALUE!</v>
      </c>
      <c r="E50" s="295">
        <f>E32*75%*3%</f>
        <v>0</v>
      </c>
      <c r="F50" s="279" t="e">
        <f>F9*F17</f>
        <v>#N/A</v>
      </c>
      <c r="G50" s="279">
        <f>G32*G17</f>
        <v>0</v>
      </c>
      <c r="H50" s="279" t="e">
        <f t="shared" ref="H50" si="14">H9*H17</f>
        <v>#N/A</v>
      </c>
      <c r="I50" s="279">
        <f>I32*I17</f>
        <v>0</v>
      </c>
      <c r="J50" s="155"/>
      <c r="L50"/>
    </row>
    <row r="51" spans="3:12" x14ac:dyDescent="0.25">
      <c r="C51" s="270" t="s">
        <v>468</v>
      </c>
      <c r="D51" s="294" t="e">
        <f>D9*75%*1.5%</f>
        <v>#VALUE!</v>
      </c>
      <c r="E51" s="295">
        <f>E32*75%*1.5%</f>
        <v>0</v>
      </c>
      <c r="F51" s="293"/>
      <c r="G51" s="293"/>
      <c r="H51" s="293"/>
      <c r="I51" s="293"/>
      <c r="J51" s="155"/>
      <c r="L51"/>
    </row>
    <row r="52" spans="3:12" x14ac:dyDescent="0.25">
      <c r="C52" s="270" t="s">
        <v>138</v>
      </c>
      <c r="D52" s="296" t="e">
        <f>D$9*D$28*((D$31-D$20-D30)/12)</f>
        <v>#VALUE!</v>
      </c>
      <c r="E52" s="297" t="e">
        <f>E$32*E$28*((E$31-E$20-E30)/12)</f>
        <v>#VALUE!</v>
      </c>
      <c r="F52" s="297" t="e">
        <f t="shared" ref="F52" si="15">F$9*F$28*((F$31-F$20)/12)</f>
        <v>#N/A</v>
      </c>
      <c r="G52" s="297" t="e">
        <f t="shared" ref="G52" si="16">G$32*G$28*((G$31-G$20)/12)</f>
        <v>#VALUE!</v>
      </c>
      <c r="H52" s="293"/>
      <c r="I52" s="293"/>
      <c r="J52" s="155"/>
      <c r="L52"/>
    </row>
    <row r="53" spans="3:12" x14ac:dyDescent="0.25">
      <c r="C53" s="270" t="s">
        <v>139</v>
      </c>
      <c r="D53" s="296" t="e">
        <f>D9*D28*(D20)/12</f>
        <v>#VALUE!</v>
      </c>
      <c r="E53" s="297">
        <f>E32*E28*(E20)/12</f>
        <v>0</v>
      </c>
      <c r="F53" s="297" t="e">
        <f>F9*F28*(F20)/12</f>
        <v>#N/A</v>
      </c>
      <c r="G53" s="297">
        <f>G32*G28*(G20)/12</f>
        <v>0</v>
      </c>
      <c r="H53" s="282"/>
      <c r="I53" s="282"/>
      <c r="J53" s="155"/>
      <c r="L53"/>
    </row>
    <row r="54" spans="3:12" x14ac:dyDescent="0.25">
      <c r="C54" s="270" t="s">
        <v>184</v>
      </c>
      <c r="D54" s="298" t="e">
        <f>D31/12</f>
        <v>#VALUE!</v>
      </c>
      <c r="E54" s="299" t="e">
        <f>E31/12</f>
        <v>#VALUE!</v>
      </c>
      <c r="F54" s="299" t="e">
        <f t="shared" ref="F54:I54" si="17">F31/12</f>
        <v>#VALUE!</v>
      </c>
      <c r="G54" s="299" t="e">
        <f t="shared" si="17"/>
        <v>#VALUE!</v>
      </c>
      <c r="H54" s="299" t="e">
        <f t="shared" si="17"/>
        <v>#VALUE!</v>
      </c>
      <c r="I54" s="299" t="e">
        <f t="shared" si="17"/>
        <v>#VALUE!</v>
      </c>
      <c r="J54" s="155"/>
      <c r="L54"/>
    </row>
    <row r="55" spans="3:12" x14ac:dyDescent="0.25">
      <c r="C55" s="270" t="s">
        <v>185</v>
      </c>
      <c r="D55" s="298" t="e">
        <f>(D31-D20)/12</f>
        <v>#VALUE!</v>
      </c>
      <c r="E55" s="299" t="e">
        <f t="shared" ref="E55:G55" si="18">(E31-E20)/12</f>
        <v>#VALUE!</v>
      </c>
      <c r="F55" s="299" t="e">
        <f t="shared" si="18"/>
        <v>#VALUE!</v>
      </c>
      <c r="G55" s="299" t="e">
        <f t="shared" si="18"/>
        <v>#VALUE!</v>
      </c>
      <c r="H55" s="299" t="e">
        <f>(H31)/12</f>
        <v>#VALUE!</v>
      </c>
      <c r="I55" s="299" t="e">
        <f>(I31)/12</f>
        <v>#VALUE!</v>
      </c>
      <c r="J55" s="155"/>
      <c r="L55"/>
    </row>
    <row r="56" spans="3:12" x14ac:dyDescent="0.25">
      <c r="C56" s="270" t="s">
        <v>126</v>
      </c>
      <c r="D56" s="269" t="str">
        <f>IF(D25&lt;&gt;"",D25/12,IF('Input Sheet'!$F$4="Residential",
IF(MIN(Rates!R36,Rates!S36)&lt;3000000,
(Rates!E33+BBR-D30)/12,
IF(MIN(Rates!R36,Rates!S36)&lt;10000000,
(Rates!F33+BBR-D30)/12,
(Rates!G33+BBR-D30)/12)),
IF('Input Sheet'!$F$4="Semi &amp; Full Commercial",
IF(MIN(Rates!R37,Rates!S37)&lt;3000000,
(Rates!E34+BBR-D30)/12,
IF(MIN(Rates!R37,Rates!S37)&lt;10000000,
(Rates!F34+BBR-D30)/12,
(Rates!G34+BBR-D30)/12)),
"")))</f>
        <v/>
      </c>
      <c r="E56" s="208" t="e">
        <f>(E31-E30)/12</f>
        <v>#VALUE!</v>
      </c>
      <c r="F56" s="208" t="e">
        <f>(F31)/12</f>
        <v>#VALUE!</v>
      </c>
      <c r="G56" s="208" t="e">
        <f>(G31)/12</f>
        <v>#VALUE!</v>
      </c>
      <c r="H56" s="208" t="e">
        <f>(H31)/12</f>
        <v>#VALUE!</v>
      </c>
      <c r="I56" s="208" t="e">
        <f>(I31)/12</f>
        <v>#VALUE!</v>
      </c>
      <c r="J56" s="155"/>
      <c r="L56"/>
    </row>
    <row r="57" spans="3:12" x14ac:dyDescent="0.25">
      <c r="C57" s="270" t="s">
        <v>102</v>
      </c>
      <c r="D57" s="269">
        <f>IFERROR((D11+D12)*24/(((D31-D30)*D9*2)-D43),0)</f>
        <v>0</v>
      </c>
      <c r="E57" s="269">
        <f>IFERROR((E11+E12)*24/(((E31-E30)*E32*2)-E43),0)</f>
        <v>0</v>
      </c>
      <c r="F57" s="300"/>
      <c r="G57" s="300"/>
      <c r="H57" s="300"/>
      <c r="I57" s="300"/>
      <c r="J57" s="155"/>
      <c r="L57"/>
    </row>
    <row r="58" spans="3:12" x14ac:dyDescent="0.25">
      <c r="J58" s="155"/>
      <c r="L58"/>
    </row>
    <row r="59" spans="3:12" x14ac:dyDescent="0.25">
      <c r="J59" s="155"/>
      <c r="L59"/>
    </row>
    <row r="60" spans="3:12" x14ac:dyDescent="0.25">
      <c r="J60" s="155"/>
      <c r="L60"/>
    </row>
    <row r="61" spans="3:12" x14ac:dyDescent="0.25">
      <c r="J61" s="155"/>
      <c r="L61"/>
    </row>
    <row r="62" spans="3:12" x14ac:dyDescent="0.25">
      <c r="J62" s="155"/>
      <c r="L62"/>
    </row>
    <row r="63" spans="3:12" x14ac:dyDescent="0.25">
      <c r="J63" s="155"/>
      <c r="L63"/>
    </row>
    <row r="64" spans="3:12" x14ac:dyDescent="0.25">
      <c r="J64" s="155"/>
      <c r="L64"/>
    </row>
    <row r="65" spans="10:12" x14ac:dyDescent="0.25">
      <c r="J65" s="155"/>
      <c r="L65"/>
    </row>
    <row r="66" spans="10:12" x14ac:dyDescent="0.25">
      <c r="J66" s="155"/>
      <c r="L66"/>
    </row>
    <row r="67" spans="10:12" x14ac:dyDescent="0.25">
      <c r="J67" s="155"/>
      <c r="L67"/>
    </row>
    <row r="68" spans="10:12" x14ac:dyDescent="0.25">
      <c r="J68" s="155"/>
      <c r="L68"/>
    </row>
    <row r="69" spans="10:12" x14ac:dyDescent="0.25">
      <c r="J69" s="155"/>
      <c r="L69"/>
    </row>
    <row r="70" spans="10:12" x14ac:dyDescent="0.25">
      <c r="J70" s="155"/>
      <c r="L70"/>
    </row>
    <row r="71" spans="10:12" x14ac:dyDescent="0.25">
      <c r="J71" s="155"/>
      <c r="L71"/>
    </row>
    <row r="72" spans="10:12" x14ac:dyDescent="0.25">
      <c r="J72" s="155"/>
      <c r="L72"/>
    </row>
    <row r="73" spans="10:12" x14ac:dyDescent="0.25">
      <c r="J73" s="155"/>
      <c r="L73"/>
    </row>
    <row r="74" spans="10:12" x14ac:dyDescent="0.25">
      <c r="J74" s="155"/>
      <c r="L74"/>
    </row>
    <row r="75" spans="10:12" x14ac:dyDescent="0.25">
      <c r="J75" s="155"/>
      <c r="L75"/>
    </row>
    <row r="76" spans="10:12" x14ac:dyDescent="0.25">
      <c r="J76" s="155"/>
      <c r="L76"/>
    </row>
    <row r="77" spans="10:12" x14ac:dyDescent="0.25">
      <c r="J77" s="155"/>
      <c r="L77"/>
    </row>
    <row r="78" spans="10:12" x14ac:dyDescent="0.25">
      <c r="J78" s="155"/>
    </row>
    <row r="79" spans="10:12" x14ac:dyDescent="0.25">
      <c r="J79" s="155"/>
    </row>
  </sheetData>
  <mergeCells count="6">
    <mergeCell ref="P10:P12"/>
    <mergeCell ref="M15:O24"/>
    <mergeCell ref="E3:H4"/>
    <mergeCell ref="D7:E7"/>
    <mergeCell ref="F7:G7"/>
    <mergeCell ref="H7:I7"/>
  </mergeCells>
  <conditionalFormatting sqref="A10 D11:D12 D52:D55 F7 D9 E32 E52:I52 E53:G53 E55:I55 F9 D20:I22 D28:E30 A7:D7 A8:I8">
    <cfRule type="expression" dxfId="248" priority="88">
      <formula>$F$3="Loan Management"</formula>
    </cfRule>
  </conditionalFormatting>
  <conditionalFormatting sqref="Q8:X10 T11:X11 Q12:X24 P25:U27 N29:U30 K34:U35 L33:U33 K24:L27 K28:U28 K29:K31 G25 K31:U32 B39:B40 B43 G30 E56:I56 E57 D47:I48 D56:D57 D52:I52">
    <cfRule type="expression" dxfId="247" priority="85">
      <formula>$F$3="Underwriters"</formula>
    </cfRule>
  </conditionalFormatting>
  <conditionalFormatting sqref="A11:A35">
    <cfRule type="expression" dxfId="246" priority="48">
      <formula>$F$3="Loan Management"</formula>
    </cfRule>
  </conditionalFormatting>
  <conditionalFormatting sqref="A9">
    <cfRule type="expression" dxfId="245" priority="58">
      <formula>$F$3="Loan Management"</formula>
    </cfRule>
  </conditionalFormatting>
  <conditionalFormatting sqref="B38">
    <cfRule type="expression" dxfId="244" priority="39">
      <formula>$F$3="Loan Management"</formula>
    </cfRule>
  </conditionalFormatting>
  <conditionalFormatting sqref="B39:B40 B43 D56:D57 E56:I56 E57">
    <cfRule type="expression" dxfId="243" priority="41">
      <formula>#REF!="Yes"</formula>
    </cfRule>
  </conditionalFormatting>
  <conditionalFormatting sqref="D57:E57">
    <cfRule type="cellIs" dxfId="242" priority="42" operator="lessThan">
      <formula>1.1</formula>
    </cfRule>
  </conditionalFormatting>
  <conditionalFormatting sqref="K31">
    <cfRule type="expression" dxfId="241" priority="35">
      <formula>#REF!="Yes"</formula>
    </cfRule>
  </conditionalFormatting>
  <conditionalFormatting sqref="B43">
    <cfRule type="expression" dxfId="240" priority="34">
      <formula>#REF!="Yes"</formula>
    </cfRule>
  </conditionalFormatting>
  <conditionalFormatting sqref="M6:U7">
    <cfRule type="expression" dxfId="239" priority="76">
      <formula>$F$3="Underwriters"</formula>
    </cfRule>
  </conditionalFormatting>
  <conditionalFormatting sqref="Q11:S11">
    <cfRule type="expression" dxfId="238" priority="46">
      <formula>$F$3="Loan Management"</formula>
    </cfRule>
  </conditionalFormatting>
  <conditionalFormatting sqref="U10:X12">
    <cfRule type="expression" dxfId="237" priority="78">
      <formula>$F$3="Underwriters"</formula>
    </cfRule>
  </conditionalFormatting>
  <conditionalFormatting sqref="U21:X23">
    <cfRule type="expression" dxfId="236" priority="100">
      <formula>$F$3="Underwriters"</formula>
    </cfRule>
  </conditionalFormatting>
  <conditionalFormatting sqref="X23">
    <cfRule type="cellIs" dxfId="235" priority="99" operator="equal">
      <formula>"Fail"</formula>
    </cfRule>
  </conditionalFormatting>
  <conditionalFormatting sqref="C9:C10">
    <cfRule type="expression" dxfId="234" priority="25">
      <formula>#REF!="Yes"</formula>
    </cfRule>
  </conditionalFormatting>
  <conditionalFormatting sqref="C23:C49 C52:C57">
    <cfRule type="expression" dxfId="233" priority="21">
      <formula>#REF!="Yes"</formula>
    </cfRule>
  </conditionalFormatting>
  <conditionalFormatting sqref="C23:C49 C52:C57">
    <cfRule type="expression" dxfId="232" priority="20">
      <formula>#REF!="Mix Rate"</formula>
    </cfRule>
  </conditionalFormatting>
  <conditionalFormatting sqref="C33">
    <cfRule type="expression" dxfId="231" priority="22">
      <formula>#REF!="Yes"</formula>
    </cfRule>
  </conditionalFormatting>
  <conditionalFormatting sqref="E11">
    <cfRule type="expression" dxfId="230" priority="19">
      <formula>$F$3="Loan Management"</formula>
    </cfRule>
  </conditionalFormatting>
  <conditionalFormatting sqref="E12">
    <cfRule type="expression" dxfId="229" priority="18">
      <formula>$F$3="Loan Management"</formula>
    </cfRule>
  </conditionalFormatting>
  <conditionalFormatting sqref="G32">
    <cfRule type="expression" dxfId="228" priority="15">
      <formula>$F$3="Loan Management"</formula>
    </cfRule>
  </conditionalFormatting>
  <conditionalFormatting sqref="I32">
    <cfRule type="expression" dxfId="227" priority="14">
      <formula>$F$3="Loan Management"</formula>
    </cfRule>
  </conditionalFormatting>
  <conditionalFormatting sqref="H9">
    <cfRule type="expression" dxfId="226" priority="11">
      <formula>$F$3="Loan Management"</formula>
    </cfRule>
  </conditionalFormatting>
  <conditionalFormatting sqref="D50:E51">
    <cfRule type="expression" dxfId="225" priority="7">
      <formula>$F$3="Underwriters"</formula>
    </cfRule>
  </conditionalFormatting>
  <conditionalFormatting sqref="C50:C51">
    <cfRule type="expression" dxfId="224" priority="6">
      <formula>#REF!="Yes"</formula>
    </cfRule>
  </conditionalFormatting>
  <conditionalFormatting sqref="C50:C51">
    <cfRule type="expression" dxfId="223" priority="5">
      <formula>#REF!="Mix Rate"</formula>
    </cfRule>
  </conditionalFormatting>
  <dataValidations count="2">
    <dataValidation type="decimal" allowBlank="1" showInputMessage="1" showErrorMessage="1" errorTitle="Defer Interest" error="Max Defer is 2%." sqref="D30:E30" xr:uid="{7C9729CE-B3C4-44D6-A65E-0569FA5B8482}">
      <formula1>0</formula1>
      <formula2>0.02</formula2>
    </dataValidation>
    <dataValidation type="list" allowBlank="1" showInputMessage="1" showErrorMessage="1" sqref="O11:O12" xr:uid="{EF6134D4-C801-479A-8E51-BDE6928A24FB}">
      <formula1>$XEV$1:$XFD$1</formula1>
    </dataValidation>
  </dataValidations>
  <pageMargins left="0.7" right="0.7" top="0.75" bottom="0.75" header="0.3" footer="0.3"/>
  <pageSetup paperSize="9" scale="44"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2981-0CE6-4121-8804-6AFA0B8B6471}">
  <sheetPr codeName="Sheet8">
    <tabColor theme="9" tint="-0.249977111117893"/>
  </sheetPr>
  <dimension ref="B1:U56"/>
  <sheetViews>
    <sheetView tabSelected="1" zoomScale="85" zoomScaleNormal="85" zoomScalePageLayoutView="55" workbookViewId="0">
      <selection activeCell="B6" sqref="B6"/>
    </sheetView>
  </sheetViews>
  <sheetFormatPr defaultRowHeight="15" x14ac:dyDescent="0.25"/>
  <cols>
    <col min="1" max="1" width="1.85546875" style="91" customWidth="1"/>
    <col min="2" max="2" width="37.85546875" style="91" customWidth="1"/>
    <col min="3" max="3" width="23" style="91" customWidth="1"/>
    <col min="4" max="4" width="4.42578125" style="91" customWidth="1"/>
    <col min="5" max="5" width="26" style="91" customWidth="1"/>
    <col min="6" max="6" width="18.42578125" style="91" customWidth="1"/>
    <col min="7" max="7" width="2.85546875" style="91" customWidth="1"/>
    <col min="8" max="8" width="25.42578125" style="91" customWidth="1"/>
    <col min="9" max="9" width="19.42578125" style="91" customWidth="1"/>
    <col min="10" max="10" width="5.42578125" style="91" customWidth="1"/>
    <col min="11" max="11" width="25.42578125" style="91" customWidth="1"/>
    <col min="12" max="12" width="19.42578125" style="91" customWidth="1"/>
    <col min="13" max="13" width="6" style="91" customWidth="1"/>
    <col min="14" max="14" width="29.7109375" style="91" customWidth="1"/>
    <col min="15" max="15" width="0.7109375" style="91" customWidth="1"/>
    <col min="16" max="16" width="28.140625" style="91" customWidth="1"/>
    <col min="17" max="17" width="26.7109375" style="91" customWidth="1"/>
    <col min="18" max="18" width="1.140625" style="91" customWidth="1"/>
    <col min="19" max="22" width="9.140625" style="91"/>
    <col min="23" max="23" width="4" style="91" customWidth="1"/>
    <col min="24" max="16384" width="9.140625" style="91"/>
  </cols>
  <sheetData>
    <row r="1" spans="2:21" ht="37.5" customHeight="1" x14ac:dyDescent="0.25">
      <c r="C1" s="490"/>
      <c r="D1" s="491"/>
      <c r="E1" s="923"/>
      <c r="F1" s="923"/>
      <c r="G1" s="923"/>
      <c r="H1" s="923"/>
      <c r="I1" s="923"/>
      <c r="J1" s="923"/>
      <c r="K1" s="923"/>
      <c r="L1" s="923"/>
    </row>
    <row r="2" spans="2:21" ht="24" customHeight="1" thickBot="1" x14ac:dyDescent="0.3">
      <c r="E2" s="324" t="b">
        <v>1</v>
      </c>
      <c r="F2" s="324"/>
      <c r="G2" s="590" t="b">
        <f>IF(OR(C13="Mix Rate",C17="Yes"),FALSE,E2)</f>
        <v>1</v>
      </c>
      <c r="H2" s="324" t="b">
        <v>1</v>
      </c>
      <c r="I2" s="323"/>
      <c r="J2" s="322"/>
      <c r="K2" s="324" t="b">
        <v>1</v>
      </c>
      <c r="L2" s="323"/>
      <c r="M2" s="144">
        <f>COUNTIF(G2:K2,TRUE)</f>
        <v>3</v>
      </c>
      <c r="N2" s="91" t="s">
        <v>203</v>
      </c>
      <c r="P2" s="613" t="str" cm="1">
        <f t="array" ref="P2">_xlfn.IFS(
   AND(C15="Yes", E2=TRUE), "Fusion Premier",
   E2=TRUE, "Fusion",
   H2=TRUE, "Variable",
   K2=TRUE, "Fixed",
   TRUE, "None"
)</f>
        <v>Fusion</v>
      </c>
      <c r="Q2" s="144">
        <f>IF(SUM((E2=TRUE) + (H2=TRUE) + (K2=TRUE))=0,3,SUM((E2=TRUE) + (H2=TRUE) + (K2=TRUE)))</f>
        <v>3</v>
      </c>
    </row>
    <row r="3" spans="2:21" ht="44.25" customHeight="1" thickBot="1" x14ac:dyDescent="0.5">
      <c r="E3" s="934" t="s">
        <v>69</v>
      </c>
      <c r="F3" s="935"/>
      <c r="G3" s="142"/>
      <c r="H3" s="936" t="s">
        <v>70</v>
      </c>
      <c r="I3" s="937"/>
      <c r="J3" s="142"/>
      <c r="K3" s="938" t="s">
        <v>71</v>
      </c>
      <c r="L3" s="939"/>
      <c r="M3" s="144"/>
      <c r="N3" s="146" t="s">
        <v>109</v>
      </c>
      <c r="P3" s="144"/>
      <c r="Q3" s="144"/>
    </row>
    <row r="4" spans="2:21" ht="28.5" customHeight="1" x14ac:dyDescent="0.3">
      <c r="B4" s="136" t="s">
        <v>101</v>
      </c>
      <c r="C4" s="920" t="str">
        <f>IF(AND(D11&lt;&gt;"",C28&gt;0,D11&gt;C28),"Loan Amount is more than Property value", "")</f>
        <v/>
      </c>
      <c r="E4" s="129" t="s">
        <v>58</v>
      </c>
      <c r="F4" s="492" t="str">
        <f>IF(C13="","Please select product type",C13)</f>
        <v>Please select product type</v>
      </c>
      <c r="H4" s="129" t="s">
        <v>177</v>
      </c>
      <c r="I4" s="492" t="str">
        <f>IF(AND($C$13="Mix Rate",$C$17="Yes"),"Mix Rate 2nd Charge",IF($C$17="Yes","2nd Charge",IF($C$13="Mix Rate","Mix Rate",IF($C$13="","Please select product type",IF(AND($C$13&lt;&gt;"",$C$14=""),"Please select sub product",IF(AND($C$17="No",$C$14=""),"",$C$14))))))</f>
        <v>Please select product type</v>
      </c>
      <c r="J4" s="167" t="e">
        <f>IF(I13="", "",
IF(I13&lt;=60%, INDEX(Rates!C8:J8, MATCH(I4, Rates!C7:J7, 0)),
IF(I13&lt;=70%, INDEX(Rates!C9:J9, MATCH(I4, Rates!C7:J7, 0)),
IF(I13&lt;=100%, INDEX(Rates!C10:J10, MATCH(I4, Rates!C7:J7, 0)),
"Use Rate Override"))))</f>
        <v>#N/A</v>
      </c>
      <c r="K4" s="129" t="s">
        <v>177</v>
      </c>
      <c r="L4" s="492" t="str">
        <f>IF(AND($C$13="Mix Rate",$C$17="Yes"),"Mix Rate 2nd Charge",IF($C$17="Yes","2nd Charge",IF($C$13="Mix Rate","Mix Rate",IF($C$13="","Please select product type",IF(AND($C$13&lt;&gt;"",$C$14=""),"Please select sub product",IF(AND($C$17="No",$C$14=""),"",$C$14))))))</f>
        <v>Please select product type</v>
      </c>
      <c r="M4" s="152" t="e">
        <f>IF(L13="", "",
IF(L13&lt;=60%, INDEX(Rates!C22:J22, MATCH(I4, Rates!C21:J21, 0)),
IF(L13&lt;=70%, INDEX(Rates!C23:J23, MATCH(I4, Rates!C21:J21, 0)),
IF(L13&lt;=100%, INDEX(Rates!C24:J24, MATCH(I4, Rates!C21:J21, 0)),
"Use Rate Override"))))</f>
        <v>#N/A</v>
      </c>
    </row>
    <row r="5" spans="2:21" ht="15" customHeight="1" x14ac:dyDescent="0.3">
      <c r="B5" s="143" t="s">
        <v>1336</v>
      </c>
      <c r="C5" s="920"/>
      <c r="E5" s="125" t="s">
        <v>75</v>
      </c>
      <c r="F5" s="93" t="str">
        <f>IF(C15="Yes","Premier",IF(C13="","",
IF(F12&lt;=Rates!E36,"Fusion S",
IF(F12&lt;=Rates!F36,"Fusion M",
"Fusion L"))))</f>
        <v/>
      </c>
      <c r="H5" s="125" t="s">
        <v>94</v>
      </c>
      <c r="I5" s="99" t="str">
        <f>_xlfn.IFNA(IF(I6&gt;0, I6, IF(C20="Yes", J5, J4)), "")</f>
        <v/>
      </c>
      <c r="J5" s="167" t="e">
        <f>IF(I4="", "",
IF(C22&lt;=60%, INDEX(Rates!C8:J8, MATCH(I4, Rates!C7:J7, 0)),
IF(C22&lt;=70%, INDEX(Rates!C9:J9, MATCH(I4, Rates!C7:J7, 0)),
IF(C22&lt;=75%, INDEX(Rates!C10:J10, MATCH(I4, Rates!C7:J7, 0)),
"Use Rate Override"))))</f>
        <v>#N/A</v>
      </c>
      <c r="K5" s="125" t="s">
        <v>98</v>
      </c>
      <c r="L5" s="99" t="str">
        <f>_xlfn.IFNA(IF(L6&gt;0, L6, IF(C20="Yes", M5, M4)), "")</f>
        <v/>
      </c>
      <c r="M5" s="166" t="e">
        <f>IF(L4="", "",
IF(C23&lt;=60%, INDEX(Rates!C22:J22, MATCH(I4, Rates!C21:J21, 0)),
IF(C23&lt;=70%, INDEX(Rates!C23:J23, MATCH(I4, Rates!C21:J21, 0)),
IF(C23&lt;=75%, INDEX(Rates!C24:J24, MATCH(I4, Rates!C21:J21, 0)),
"Use Rate Override"))))</f>
        <v>#N/A</v>
      </c>
      <c r="P5" s="941" t="s">
        <v>122</v>
      </c>
      <c r="Q5" s="941"/>
    </row>
    <row r="6" spans="2:21" ht="15" customHeight="1" x14ac:dyDescent="0.25">
      <c r="B6" s="121" t="s">
        <v>100</v>
      </c>
      <c r="C6" s="121"/>
      <c r="D6" s="130"/>
      <c r="E6" s="125" t="s">
        <v>59</v>
      </c>
      <c r="F6" s="206"/>
      <c r="H6" s="125" t="s">
        <v>59</v>
      </c>
      <c r="I6" s="206"/>
      <c r="K6" s="125" t="s">
        <v>59</v>
      </c>
      <c r="L6" s="206"/>
      <c r="M6" s="152"/>
      <c r="N6" s="150" t="s">
        <v>173</v>
      </c>
      <c r="P6" s="125" t="s">
        <v>123</v>
      </c>
      <c r="Q6" s="73" t="str">
        <f>IF(AND(F12&gt;3000000,I12&gt;3000000,L12&gt;3000000),"No",IF(AND(C17="Yes",I12&gt;3000000,L12&gt;3000000),"No",IF(C13&lt;&gt;"Residential","No",IF(AND(Q7&lt;&gt;"",Q8&lt;&gt;"No",
Q8&lt;&gt;"No",Q8&lt;&gt;"",OR(Q7="Individual",AND(Q7="Corporate",Q9&lt;&gt;"No",Q9&lt;&gt;""))),"Yes",IF(OR(AND(Q7="Corporate",Q9="No"),AND(Q7="Corporate",Q9="")),"No",IF(Q8="No","No","No"))))))</f>
        <v>No</v>
      </c>
      <c r="S6" s="924" t="s">
        <v>125</v>
      </c>
      <c r="T6" s="925"/>
      <c r="U6" s="926"/>
    </row>
    <row r="7" spans="2:21" ht="15" customHeight="1" x14ac:dyDescent="0.25">
      <c r="B7" s="125" t="s">
        <v>180</v>
      </c>
      <c r="C7" s="131" t="s">
        <v>189</v>
      </c>
      <c r="E7" s="125" t="s">
        <v>95</v>
      </c>
      <c r="F7" s="134">
        <v>6</v>
      </c>
      <c r="H7" s="125" t="s">
        <v>95</v>
      </c>
      <c r="I7" s="135">
        <v>3</v>
      </c>
      <c r="J7" s="203"/>
      <c r="K7" s="125" t="s">
        <v>95</v>
      </c>
      <c r="L7" s="135">
        <v>3</v>
      </c>
      <c r="M7" s="144"/>
      <c r="N7" s="150" t="s">
        <v>130</v>
      </c>
      <c r="P7" s="125" t="s">
        <v>166</v>
      </c>
      <c r="Q7" s="135"/>
      <c r="S7" s="927"/>
      <c r="T7" s="928"/>
      <c r="U7" s="929"/>
    </row>
    <row r="8" spans="2:21" ht="15" customHeight="1" x14ac:dyDescent="0.25">
      <c r="B8" s="125" t="s">
        <v>120</v>
      </c>
      <c r="C8" s="131" t="s">
        <v>450</v>
      </c>
      <c r="E8" s="125" t="s">
        <v>45</v>
      </c>
      <c r="F8" s="93">
        <v>24</v>
      </c>
      <c r="H8" s="125" t="s">
        <v>45</v>
      </c>
      <c r="I8" s="135">
        <v>12</v>
      </c>
      <c r="J8" s="203"/>
      <c r="K8" s="125" t="s">
        <v>45</v>
      </c>
      <c r="L8" s="135">
        <v>12</v>
      </c>
      <c r="M8" s="124"/>
      <c r="P8" s="125" t="s">
        <v>104</v>
      </c>
      <c r="Q8" s="135"/>
      <c r="S8" s="927"/>
      <c r="T8" s="928"/>
      <c r="U8" s="929"/>
    </row>
    <row r="9" spans="2:21" ht="15" customHeight="1" x14ac:dyDescent="0.25">
      <c r="B9" s="125" t="s">
        <v>121</v>
      </c>
      <c r="C9" s="654" t="s">
        <v>450</v>
      </c>
      <c r="D9" s="203"/>
      <c r="E9" s="126" t="s">
        <v>183</v>
      </c>
      <c r="F9" s="206"/>
      <c r="J9" s="203"/>
      <c r="M9" s="124"/>
      <c r="P9" s="125" t="s">
        <v>191</v>
      </c>
      <c r="Q9" s="135"/>
      <c r="S9" s="927"/>
      <c r="T9" s="928"/>
      <c r="U9" s="929"/>
    </row>
    <row r="10" spans="2:21" ht="15" customHeight="1" x14ac:dyDescent="0.25">
      <c r="B10" s="125" t="s">
        <v>44</v>
      </c>
      <c r="C10" s="161"/>
      <c r="D10" s="203"/>
      <c r="E10" s="122"/>
      <c r="F10" s="123"/>
      <c r="H10" s="122"/>
      <c r="I10" s="124"/>
      <c r="K10" s="122"/>
      <c r="L10" s="124"/>
      <c r="M10" s="124"/>
      <c r="P10" s="132"/>
      <c r="Q10" s="124"/>
      <c r="S10" s="927"/>
      <c r="T10" s="928"/>
      <c r="U10" s="929"/>
    </row>
    <row r="11" spans="2:21" ht="15" customHeight="1" x14ac:dyDescent="0.25">
      <c r="B11" s="125" t="s">
        <v>20</v>
      </c>
      <c r="C11" s="204"/>
      <c r="D11" s="196" t="str">
        <f>IF(C20="Yes","",IF(C11="","",C11))</f>
        <v/>
      </c>
      <c r="E11" s="125" t="s">
        <v>182</v>
      </c>
      <c r="F11" s="175" t="str">
        <f>IF(F5="","",IF($F$6&gt;=0,IF(C20="Yes",'Main Calculations'!D31,'Main Calculations'!E31),$F$6))</f>
        <v/>
      </c>
      <c r="H11" s="125" t="s">
        <v>188</v>
      </c>
      <c r="I11" s="200" t="str">
        <f>IFERROR(IF(I5="","",IF(C20="Yes",'Main Calculations'!F31/12,'Main Calculations'!G31/12)),"")</f>
        <v/>
      </c>
      <c r="K11" s="125" t="s">
        <v>188</v>
      </c>
      <c r="L11" s="200" t="str">
        <f>IFERROR(IF(L5="","",IF(F16="Yes",'Main Calculations'!H31/12,'Main Calculations'!I31/12)),"")</f>
        <v/>
      </c>
      <c r="M11" s="124"/>
      <c r="P11" s="146" t="s">
        <v>43</v>
      </c>
      <c r="S11" s="927"/>
      <c r="T11" s="928"/>
      <c r="U11" s="929"/>
    </row>
    <row r="12" spans="2:21" ht="15" customHeight="1" x14ac:dyDescent="0.25">
      <c r="B12" s="125" t="s">
        <v>166</v>
      </c>
      <c r="C12" s="145"/>
      <c r="D12" s="205"/>
      <c r="E12" s="125" t="s">
        <v>20</v>
      </c>
      <c r="F12" s="94">
        <f>IF(C13="Mix Rate",0,IF(C17="Yes",0,IF(C13="",0,IF(C20="Yes",IF('Main Calculations'!D9&lt;0,0,'Main Calculations'!D9),IF(D11=0,0,IF('Main Calculations'!E32&lt;0,0,'Main Calculations'!E32))))))</f>
        <v>0</v>
      </c>
      <c r="H12" s="125" t="s">
        <v>20</v>
      </c>
      <c r="I12" s="94">
        <f>IF(I5="",0,IF($C$20="Yes",'Main Calculations'!F9,'Main Calculations'!G32))</f>
        <v>0</v>
      </c>
      <c r="K12" s="125" t="s">
        <v>20</v>
      </c>
      <c r="L12" s="94">
        <f>IF(L5="",0,IF($C$20="Yes",'Main Calculations'!H9,'Main Calculations'!I32))</f>
        <v>0</v>
      </c>
      <c r="M12" s="138"/>
      <c r="N12" s="217" t="str">
        <f>IF(OR(AND(F12&lt;100000,F12&gt;0),AND(I12&gt;0,I12&lt;100000),AND(L12&gt;0,L12&lt;100000)),"Less than minimum loan",IF(OR(I12&gt;=50000000,L12&gt;=50000000, F12&gt;=65000000),"Maxmium Loan Achieved",""))</f>
        <v/>
      </c>
      <c r="P12" s="129" t="s">
        <v>106</v>
      </c>
      <c r="Q12" s="220" t="str">
        <f>IF(Q6&lt;&gt;"No",IF(OR(F12&lt;=0,F12&gt;3000000),"NA",IF(((F12*0.0013)+(F12*0.0013)*12%)&lt;392,392,(F12*0.0013)+(F12*0.0013)*12%)),"")</f>
        <v/>
      </c>
      <c r="S12" s="927"/>
      <c r="T12" s="928"/>
      <c r="U12" s="929"/>
    </row>
    <row r="13" spans="2:21" ht="15" customHeight="1" x14ac:dyDescent="0.3">
      <c r="B13" s="125" t="s">
        <v>58</v>
      </c>
      <c r="C13" s="145"/>
      <c r="E13" s="125" t="s">
        <v>87</v>
      </c>
      <c r="F13" s="158">
        <f>IFERROR(IF($C$17="Yes",0,IF($C$20="Yes",'Main Calculations'!D33,'Main Calculations'!E33)),0)</f>
        <v>0</v>
      </c>
      <c r="H13" s="125" t="s">
        <v>87</v>
      </c>
      <c r="I13" s="98">
        <f>IFERROR(IF($C$20="Yes",'Main Calculations'!F33,'Main Calculations'!G33),0)</f>
        <v>0</v>
      </c>
      <c r="J13" s="154"/>
      <c r="K13" s="125" t="s">
        <v>87</v>
      </c>
      <c r="L13" s="98">
        <f>IFERROR(IF($C$20="Yes",'Main Calculations'!H33,'Main Calculations'!I33),0)</f>
        <v>0</v>
      </c>
      <c r="M13" s="140"/>
      <c r="N13" s="218" t="s">
        <v>116</v>
      </c>
      <c r="P13" s="125" t="s">
        <v>70</v>
      </c>
      <c r="Q13" s="207" t="str">
        <f>IF(Q6&lt;&gt;"No",IF(OR(I12&gt;3000000,I12&lt;=0),"NA",IF(((I12*0.0013)+(I12*0.0013)*12%)&lt;392,392,(I12*0.0013)+(I12*0.0013)*12%)),"")</f>
        <v/>
      </c>
      <c r="S13" s="927"/>
      <c r="T13" s="928"/>
      <c r="U13" s="929"/>
    </row>
    <row r="14" spans="2:21" ht="15" customHeight="1" x14ac:dyDescent="0.25">
      <c r="B14" s="125" t="s">
        <v>171</v>
      </c>
      <c r="C14" s="145"/>
      <c r="D14" s="144"/>
      <c r="E14" s="125" t="s">
        <v>88</v>
      </c>
      <c r="F14" s="77">
        <f>IFERROR(IF($C$20="Yes",'Main Calculations'!D34,'Main Calculations'!E34),0)</f>
        <v>0</v>
      </c>
      <c r="H14" s="125" t="s">
        <v>88</v>
      </c>
      <c r="I14" s="77">
        <f>IFERROR(IF($C$20="Yes",'Main Calculations'!F34,'Main Calculations'!G34),0)</f>
        <v>0</v>
      </c>
      <c r="K14" s="125" t="s">
        <v>88</v>
      </c>
      <c r="L14" s="77">
        <f>IFERROR(IF($C$20="Yes",'Main Calculations'!H34,'Main Calculations'!I34),0)</f>
        <v>0</v>
      </c>
      <c r="M14" s="139"/>
      <c r="P14" s="125" t="s">
        <v>71</v>
      </c>
      <c r="Q14" s="207" t="str">
        <f>IF(Q6&lt;&gt;"No",IF(OR(L12&lt;=0,L12&gt;3000000),"NA",IF(((L12*0.0013)+(L12*0.0013)*12%)&lt;392,392,(L12*0.0013)+(L12*0.0013)*12%)),"")</f>
        <v/>
      </c>
      <c r="S14" s="927"/>
      <c r="T14" s="928"/>
      <c r="U14" s="929"/>
    </row>
    <row r="15" spans="2:21" ht="15" customHeight="1" x14ac:dyDescent="0.25">
      <c r="B15" s="125" t="s">
        <v>787</v>
      </c>
      <c r="C15" s="145" t="s">
        <v>108</v>
      </c>
      <c r="D15" s="159">
        <f>IF(C20="Yes",C21,0)</f>
        <v>0</v>
      </c>
      <c r="E15" s="125" t="s">
        <v>89</v>
      </c>
      <c r="F15" s="77">
        <f>IFERROR(IF($C$20="Yes",'Main Calculations'!D35,'Main Calculations'!E35),0)</f>
        <v>0</v>
      </c>
      <c r="H15" s="125" t="s">
        <v>89</v>
      </c>
      <c r="I15" s="77">
        <f>IFERROR(IF($C$20="Yes",'Main Calculations'!F35,'Main Calculations'!G35),0)</f>
        <v>0</v>
      </c>
      <c r="K15" s="125" t="s">
        <v>89</v>
      </c>
      <c r="L15" s="77">
        <f>IFERROR(IF($C$20="Yes",'Main Calculations'!H35,'Main Calculations'!I35),0)</f>
        <v>0</v>
      </c>
      <c r="M15" s="139"/>
      <c r="S15" s="927"/>
      <c r="T15" s="928"/>
      <c r="U15" s="929"/>
    </row>
    <row r="16" spans="2:21" ht="15" customHeight="1" x14ac:dyDescent="0.25">
      <c r="B16" s="125" t="s">
        <v>247</v>
      </c>
      <c r="C16" s="145" t="s">
        <v>108</v>
      </c>
      <c r="E16" s="125" t="s">
        <v>91</v>
      </c>
      <c r="F16" s="99">
        <f>IFERROR(IF($C$20="Yes",'Main Calculations'!D37,'Main Calculations'!E37),0)</f>
        <v>0</v>
      </c>
      <c r="H16" s="125" t="s">
        <v>91</v>
      </c>
      <c r="I16" s="98">
        <f>IFERROR(IF($C$20="Yes",'Main Calculations'!F37,'Main Calculations'!G37),0)</f>
        <v>0</v>
      </c>
      <c r="K16" s="125" t="s">
        <v>91</v>
      </c>
      <c r="L16" s="98">
        <f>IFERROR(IF($C$20="Yes",'Main Calculations'!H37,'Main Calculations'!I37),0)</f>
        <v>0</v>
      </c>
      <c r="M16" s="133"/>
      <c r="P16" s="940"/>
      <c r="Q16" s="940"/>
      <c r="S16" s="927"/>
      <c r="T16" s="928"/>
      <c r="U16" s="929"/>
    </row>
    <row r="17" spans="2:21" ht="15" customHeight="1" x14ac:dyDescent="0.25">
      <c r="B17" s="125" t="s">
        <v>135</v>
      </c>
      <c r="C17" s="162" t="s">
        <v>108</v>
      </c>
      <c r="D17" s="144">
        <f>IF(C17="Yes",C19,0)</f>
        <v>0</v>
      </c>
      <c r="E17" s="132"/>
      <c r="F17" s="133"/>
      <c r="H17" s="132"/>
      <c r="I17" s="133"/>
      <c r="K17" s="132"/>
      <c r="L17" s="133"/>
      <c r="M17" s="133"/>
      <c r="P17" s="940"/>
      <c r="Q17" s="940"/>
      <c r="S17" s="927"/>
      <c r="T17" s="928"/>
      <c r="U17" s="929"/>
    </row>
    <row r="18" spans="2:21" ht="15" customHeight="1" x14ac:dyDescent="0.25">
      <c r="B18" s="270" t="s">
        <v>132</v>
      </c>
      <c r="C18" s="128"/>
      <c r="E18" s="125" t="s">
        <v>90</v>
      </c>
      <c r="F18" s="77">
        <f>IFERROR(IF($C$20="Yes",'Main Calculations'!D38,'Main Calculations'!E38),0)</f>
        <v>0</v>
      </c>
      <c r="H18" s="125" t="s">
        <v>90</v>
      </c>
      <c r="I18" s="77">
        <f>IFERROR(IF($C$20="Yes",'Main Calculations'!F38,'Main Calculations'!G38),0)</f>
        <v>0</v>
      </c>
      <c r="K18" s="125" t="s">
        <v>90</v>
      </c>
      <c r="L18" s="77">
        <f>IFERROR(IF($C$20="Yes",'Main Calculations'!H38,'Main Calculations'!I38),0)</f>
        <v>0</v>
      </c>
      <c r="M18" s="139"/>
      <c r="S18" s="927"/>
      <c r="T18" s="928"/>
      <c r="U18" s="929"/>
    </row>
    <row r="19" spans="2:21" ht="15" customHeight="1" x14ac:dyDescent="0.25">
      <c r="B19" s="129" t="s">
        <v>132</v>
      </c>
      <c r="C19" s="384">
        <f>IF($C$16="Yes",'Multi Property Deal'!$R$64,'Input Sheet'!$C$18)</f>
        <v>0</v>
      </c>
      <c r="E19" s="125" t="s">
        <v>420</v>
      </c>
      <c r="F19" s="77">
        <f>IFERROR(IF($C$20="Yes",'Main Calculations'!D39,'Main Calculations'!E39),0)</f>
        <v>0</v>
      </c>
      <c r="H19" s="125" t="s">
        <v>420</v>
      </c>
      <c r="I19" s="77">
        <f>IFERROR(IF($C$20="Yes",'Main Calculations'!F39,'Main Calculations'!G39),0)</f>
        <v>0</v>
      </c>
      <c r="K19" s="125" t="s">
        <v>420</v>
      </c>
      <c r="L19" s="77">
        <f>IFERROR(IF($C$20="Yes",'Main Calculations'!H39,'Main Calculations'!I39),0)</f>
        <v>0</v>
      </c>
      <c r="M19" s="139"/>
      <c r="S19" s="930"/>
      <c r="T19" s="931"/>
      <c r="U19" s="932"/>
    </row>
    <row r="20" spans="2:21" ht="15" customHeight="1" x14ac:dyDescent="0.25">
      <c r="B20" s="125" t="s">
        <v>181</v>
      </c>
      <c r="C20" s="162" t="s">
        <v>108</v>
      </c>
      <c r="E20" s="125" t="s">
        <v>200</v>
      </c>
      <c r="F20" s="77">
        <f>IFERROR(IF($C$20="Yes",'Main Calculations'!D40,'Main Calculations'!E40),0)</f>
        <v>0</v>
      </c>
      <c r="H20" s="126" t="s">
        <v>200</v>
      </c>
      <c r="I20" s="77">
        <f>IFERROR(IF($C$20="Yes",'Main Calculations'!F40,'Main Calculations'!G40),0)</f>
        <v>0</v>
      </c>
      <c r="K20" s="126" t="s">
        <v>200</v>
      </c>
      <c r="L20" s="77">
        <f>IFERROR(IF($C$20="Yes",'Main Calculations'!H40,'Main Calculations'!I40),0)</f>
        <v>0</v>
      </c>
      <c r="M20" s="139"/>
    </row>
    <row r="21" spans="2:21" ht="15" customHeight="1" x14ac:dyDescent="0.25">
      <c r="B21" s="125" t="s">
        <v>176</v>
      </c>
      <c r="C21" s="145"/>
      <c r="G21" s="92"/>
    </row>
    <row r="22" spans="2:21" ht="15" customHeight="1" x14ac:dyDescent="0.25">
      <c r="B22" s="125" t="s">
        <v>461</v>
      </c>
      <c r="C22" s="195" cm="1">
        <f t="array" ref="C22">IFERROR(Rates!$S$15:$S$15,0)</f>
        <v>0</v>
      </c>
      <c r="E22" s="125" t="s">
        <v>76</v>
      </c>
      <c r="F22" s="93">
        <f>IFERROR(IF($C$20="Yes",'Main Calculations'!D41,'Main Calculations'!E41),0)</f>
        <v>18</v>
      </c>
      <c r="H22" s="125" t="s">
        <v>76</v>
      </c>
      <c r="I22" s="93">
        <f>IFERROR(IF($C$20="Yes",'Main Calculations'!F41,'Main Calculations'!G41),0)</f>
        <v>9</v>
      </c>
      <c r="K22" s="125" t="s">
        <v>76</v>
      </c>
      <c r="L22" s="93">
        <f>IFERROR(IF($C$20="Yes",'Main Calculations'!H41,'Main Calculations'!I41),0)</f>
        <v>9</v>
      </c>
      <c r="M22" s="124"/>
    </row>
    <row r="23" spans="2:21" ht="15" customHeight="1" x14ac:dyDescent="0.25">
      <c r="B23" s="125" t="s">
        <v>462</v>
      </c>
      <c r="C23" s="195">
        <f>IFERROR(Rates!$S$29,0)</f>
        <v>0</v>
      </c>
      <c r="E23" s="125" t="s">
        <v>97</v>
      </c>
      <c r="F23" s="77">
        <f>IFERROR(IF($C$20="Yes",'Main Calculations'!D43,'Main Calculations'!E43),0)</f>
        <v>0</v>
      </c>
      <c r="H23" s="125" t="s">
        <v>97</v>
      </c>
      <c r="I23" s="77">
        <f>IFERROR(IF($C$20="Yes",'Main Calculations'!F43,'Main Calculations'!G43),0)</f>
        <v>0</v>
      </c>
      <c r="K23" s="125" t="s">
        <v>97</v>
      </c>
      <c r="L23" s="77">
        <f>IFERROR(IF($C$20="Yes",'Main Calculations'!H43,'Main Calculations'!I43),0)</f>
        <v>0</v>
      </c>
      <c r="M23" s="139"/>
    </row>
    <row r="24" spans="2:21" x14ac:dyDescent="0.25">
      <c r="B24" s="144"/>
      <c r="C24" s="144"/>
      <c r="E24" s="125" t="s">
        <v>93</v>
      </c>
      <c r="F24" s="77">
        <f>IFERROR(IF($C$20="Yes",'Main Calculations'!D44,'Main Calculations'!E44),0)</f>
        <v>0</v>
      </c>
      <c r="P24" s="173"/>
    </row>
    <row r="25" spans="2:21" ht="24" x14ac:dyDescent="0.25">
      <c r="B25" s="121" t="s">
        <v>6</v>
      </c>
      <c r="C25" s="121"/>
      <c r="E25" s="126" t="s">
        <v>198</v>
      </c>
      <c r="F25" s="77">
        <f>IFERROR(IF($C$20="Yes",'Main Calculations'!D45,'Main Calculations'!E45),0)</f>
        <v>0</v>
      </c>
      <c r="H25" s="126" t="s">
        <v>197</v>
      </c>
      <c r="I25" s="77">
        <f>IFERROR(IF($C$20="Yes",'Main Calculations'!F45,'Main Calculations'!G45),0)</f>
        <v>0</v>
      </c>
      <c r="J25" s="92"/>
      <c r="K25" s="126" t="s">
        <v>197</v>
      </c>
      <c r="L25" s="77">
        <f>IFERROR(IF($C$20="Yes",'Main Calculations'!H45,'Main Calculations'!I45),0)</f>
        <v>0</v>
      </c>
      <c r="M25" s="139"/>
      <c r="P25" s="173"/>
      <c r="Q25" s="176"/>
    </row>
    <row r="26" spans="2:21" x14ac:dyDescent="0.25">
      <c r="B26" s="125" t="s">
        <v>190</v>
      </c>
      <c r="C26" s="221" t="s">
        <v>15</v>
      </c>
      <c r="Q26" s="171"/>
    </row>
    <row r="27" spans="2:21" ht="15" customHeight="1" x14ac:dyDescent="0.25">
      <c r="B27" s="125" t="str">
        <f>C26</f>
        <v>Purchase Price</v>
      </c>
      <c r="C27" s="145"/>
      <c r="E27" s="125" t="s">
        <v>51</v>
      </c>
      <c r="F27" s="99">
        <f>IFERROR(IF($C$20="Yes",'Main Calculations'!D47,'Main Calculations'!E47),"")</f>
        <v>0</v>
      </c>
      <c r="H27" s="125" t="s">
        <v>51</v>
      </c>
      <c r="I27" s="99">
        <f>IFERROR(IF($C$20="Yes",'Main Calculations'!F47,'Main Calculations'!G47),0)</f>
        <v>0</v>
      </c>
      <c r="K27" s="125" t="s">
        <v>51</v>
      </c>
      <c r="L27" s="99">
        <f>IFERROR(IF($C$20="Yes",'Main Calculations'!H47,'Main Calculations'!I47),0)</f>
        <v>0</v>
      </c>
      <c r="M27" s="141"/>
      <c r="Q27" s="172"/>
    </row>
    <row r="28" spans="2:21" ht="15" customHeight="1" x14ac:dyDescent="0.25">
      <c r="B28" s="125" t="str">
        <f>C26</f>
        <v>Purchase Price</v>
      </c>
      <c r="C28" s="385">
        <f>IF(C16="Yes",'Multi Property Deal'!$M$64,IF(AND($C$13="Residential",'Input Sheet'!$C$15="Yes"),'Fusion Portfolio'!$M$4,'Input Sheet'!$C$27))</f>
        <v>0</v>
      </c>
      <c r="E28" s="125" t="s">
        <v>187</v>
      </c>
      <c r="F28" s="99">
        <f>IFERROR(IF($C$20="Yes",'Main Calculations'!D48,'Main Calculations'!E48),"")</f>
        <v>0</v>
      </c>
      <c r="H28" s="125" t="s">
        <v>187</v>
      </c>
      <c r="I28" s="99">
        <f>IFERROR(IF($C$20="Yes",'Main Calculations'!F48,'Main Calculations'!G48),0)</f>
        <v>0</v>
      </c>
      <c r="K28" s="125" t="s">
        <v>187</v>
      </c>
      <c r="L28" s="99">
        <f>IFERROR(IF($C$20="Yes",'Main Calculations'!H48,'Main Calculations'!I48),0)</f>
        <v>0</v>
      </c>
      <c r="M28" s="141"/>
    </row>
    <row r="29" spans="2:21" ht="15" customHeight="1" x14ac:dyDescent="0.25">
      <c r="B29" s="125" t="s">
        <v>85</v>
      </c>
      <c r="C29" s="385">
        <f>IF($C$15="Yes",'Fusion Portfolio'!$N$4,'Input Sheet'!$C$30)</f>
        <v>0</v>
      </c>
      <c r="E29" s="125" t="s">
        <v>99</v>
      </c>
      <c r="F29" s="77">
        <f>IFERROR(IF($C$20="Yes",'Main Calculations'!D49,'Main Calculations'!E49),0)</f>
        <v>0</v>
      </c>
      <c r="H29" s="125" t="s">
        <v>99</v>
      </c>
      <c r="I29" s="77">
        <f>IFERROR(IF($C$20="Yes",'Main Calculations'!F49,'Main Calculations'!G49),0)</f>
        <v>0</v>
      </c>
      <c r="K29" s="125" t="s">
        <v>99</v>
      </c>
      <c r="L29" s="272">
        <f>IFERROR(IF($C$20="Yes",'Main Calculations'!H49,'Main Calculations'!I49),0)</f>
        <v>0</v>
      </c>
      <c r="M29" s="139"/>
    </row>
    <row r="30" spans="2:21" ht="15" customHeight="1" x14ac:dyDescent="0.25">
      <c r="B30" s="125" t="s">
        <v>85</v>
      </c>
      <c r="C30" s="128"/>
      <c r="E30" s="125" t="s">
        <v>446</v>
      </c>
      <c r="F30" s="77">
        <f>IFERROR(IF($C$20="Yes",'Main Calculations'!D50,'Main Calculations'!E50),0)</f>
        <v>0</v>
      </c>
      <c r="H30" s="125" t="s">
        <v>142</v>
      </c>
      <c r="I30" s="77">
        <f>IFERROR(IF($C$20="Yes",'Main Calculations'!F50,'Main Calculations'!G50),0)</f>
        <v>0</v>
      </c>
      <c r="J30" s="92"/>
      <c r="K30" s="125" t="s">
        <v>142</v>
      </c>
      <c r="L30" s="272">
        <f>IFERROR(IF($C$20="Yes",'Main Calculations'!H50,'Main Calculations'!I50),0)</f>
        <v>0</v>
      </c>
      <c r="P30" s="160"/>
    </row>
    <row r="31" spans="2:21" ht="15" customHeight="1" x14ac:dyDescent="0.25">
      <c r="B31" s="126" t="s">
        <v>84</v>
      </c>
      <c r="C31" s="128"/>
      <c r="E31" s="125" t="s">
        <v>447</v>
      </c>
      <c r="F31" s="77">
        <f>IFERROR(IF($C$20="Yes",'Main Calculations'!D51,'Main Calculations'!E51),0)</f>
        <v>0</v>
      </c>
      <c r="H31" s="92"/>
      <c r="I31" s="163"/>
      <c r="J31" s="92"/>
      <c r="K31" s="92"/>
      <c r="L31" s="92"/>
      <c r="M31" s="92"/>
    </row>
    <row r="32" spans="2:21" ht="15" customHeight="1" x14ac:dyDescent="0.25">
      <c r="H32" s="92"/>
      <c r="I32" s="163"/>
      <c r="K32" s="92"/>
      <c r="L32" s="163"/>
      <c r="M32" s="92"/>
      <c r="N32" s="153"/>
    </row>
    <row r="33" spans="2:17" ht="15" customHeight="1" x14ac:dyDescent="0.25">
      <c r="B33" s="121" t="s">
        <v>80</v>
      </c>
      <c r="C33" s="121"/>
      <c r="E33" s="125" t="s">
        <v>138</v>
      </c>
      <c r="F33" s="77">
        <f>IFERROR(IF($C$20="Yes",'Main Calculations'!D52,'Main Calculations'!E52),0)</f>
        <v>0</v>
      </c>
      <c r="H33" s="125" t="s">
        <v>138</v>
      </c>
      <c r="I33" s="77">
        <f>IFERROR(IF($C$20="Yes",'Main Calculations'!F52,'Main Calculations'!G52),0)</f>
        <v>0</v>
      </c>
    </row>
    <row r="34" spans="2:17" s="92" customFormat="1" ht="15" customHeight="1" x14ac:dyDescent="0.25">
      <c r="B34" s="125" t="s">
        <v>82</v>
      </c>
      <c r="C34" s="206"/>
      <c r="E34" s="125" t="s">
        <v>139</v>
      </c>
      <c r="F34" s="77">
        <f>IFERROR(IF($C$20="Yes",'Main Calculations'!D53,'Main Calculations'!E53),0)</f>
        <v>0</v>
      </c>
      <c r="G34" s="91"/>
      <c r="H34" s="125" t="s">
        <v>139</v>
      </c>
      <c r="I34" s="77">
        <f>IFERROR(IF($C$20="Yes",'Main Calculations'!F53,'Main Calculations'!G53),0)</f>
        <v>0</v>
      </c>
      <c r="J34" s="91"/>
      <c r="K34" s="151"/>
      <c r="L34" s="91"/>
      <c r="M34" s="91"/>
      <c r="P34" s="154"/>
      <c r="Q34" s="91"/>
    </row>
    <row r="35" spans="2:17" ht="15" customHeight="1" x14ac:dyDescent="0.25">
      <c r="B35" s="125" t="s">
        <v>420</v>
      </c>
      <c r="C35" s="148"/>
      <c r="E35" s="125" t="s">
        <v>258</v>
      </c>
      <c r="F35" s="77">
        <f>IFERROR(IF($C$20="Yes",'Main Calculations'!D27,'Main Calculations'!E27),0)</f>
        <v>0</v>
      </c>
      <c r="H35" s="125" t="s">
        <v>258</v>
      </c>
      <c r="I35" s="77">
        <f>IFERROR(IF($C$20="Yes",'Main Calculations'!F27,'Main Calculations'!G27),0)</f>
        <v>0</v>
      </c>
    </row>
    <row r="36" spans="2:17" ht="15" customHeight="1" x14ac:dyDescent="0.25">
      <c r="B36" s="126" t="s">
        <v>199</v>
      </c>
      <c r="C36" s="148"/>
      <c r="E36" s="125" t="s">
        <v>257</v>
      </c>
      <c r="F36" s="77">
        <f>IFERROR(IF($C$20="Yes",'Main Calculations'!D22,'Main Calculations'!E22),0)</f>
        <v>0</v>
      </c>
      <c r="H36" s="125" t="s">
        <v>257</v>
      </c>
      <c r="I36" s="77">
        <f>IFERROR(IF($C$20="Yes",'Main Calculations'!F22,'Main Calculations'!G22),0)</f>
        <v>0</v>
      </c>
      <c r="P36" s="92"/>
      <c r="Q36" s="92"/>
    </row>
    <row r="37" spans="2:17" ht="15" customHeight="1" x14ac:dyDescent="0.25">
      <c r="B37" s="126" t="s">
        <v>200</v>
      </c>
      <c r="C37" s="127"/>
      <c r="H37" s="151"/>
    </row>
    <row r="38" spans="2:17" x14ac:dyDescent="0.25">
      <c r="B38" s="125" t="s">
        <v>178</v>
      </c>
      <c r="C38" s="148"/>
      <c r="E38" s="125" t="s">
        <v>184</v>
      </c>
      <c r="F38" s="165" t="str">
        <f>IFERROR(IF('Input Sheet'!$C$20="Yes",'Main Calculations'!D54,'Main Calculations'!E54),"")</f>
        <v/>
      </c>
      <c r="H38" s="151"/>
    </row>
    <row r="39" spans="2:17" x14ac:dyDescent="0.25">
      <c r="B39" s="125" t="s">
        <v>124</v>
      </c>
      <c r="C39" s="127"/>
      <c r="E39" s="125" t="s">
        <v>185</v>
      </c>
      <c r="F39" s="174">
        <f>IFERROR((IF(F5="",0,IF(C20="Yes",'Main Calculations'!D55,'Main Calculations'!E55))),"")</f>
        <v>0</v>
      </c>
      <c r="H39" s="151"/>
    </row>
    <row r="40" spans="2:17" ht="15" customHeight="1" x14ac:dyDescent="0.25">
      <c r="E40" s="125" t="s">
        <v>126</v>
      </c>
      <c r="F40" s="174" t="str">
        <f>IFERROR(IF(C20="Yes",'Main Calculations'!D56,'Main Calculations'!E56),"")</f>
        <v/>
      </c>
      <c r="H40" s="151"/>
      <c r="L40" s="199"/>
    </row>
    <row r="41" spans="2:17" ht="15" customHeight="1" x14ac:dyDescent="0.25">
      <c r="B41" s="125" t="s">
        <v>74</v>
      </c>
      <c r="C41" s="149">
        <v>0.04</v>
      </c>
      <c r="E41" s="125" t="s">
        <v>102</v>
      </c>
      <c r="F41" s="174" t="str">
        <f>IF(F12=0,"",IF(C20="Yes",'Main Calculations'!D57,'Main Calculations'!E57))</f>
        <v/>
      </c>
      <c r="H41" s="933" t="s">
        <v>103</v>
      </c>
      <c r="I41" s="933"/>
      <c r="L41" s="199"/>
    </row>
    <row r="42" spans="2:17" ht="15.75" customHeight="1" x14ac:dyDescent="0.25">
      <c r="B42" s="125" t="s">
        <v>186</v>
      </c>
      <c r="C42" s="99">
        <f>C41/12</f>
        <v>3.3333333333333335E-3</v>
      </c>
      <c r="L42" s="199"/>
    </row>
    <row r="43" spans="2:17" x14ac:dyDescent="0.25">
      <c r="B43" s="144" t="s">
        <v>179</v>
      </c>
      <c r="C43" s="144" t="str">
        <f>IF(AND(C13="Mix Rate", C17 = "Yes"), "Yes", IF(AND(C17 = "Yes", C13&lt;&gt;"Mix Rate"), "Yes", IF(AND(C17 &lt;&gt;"Yes", C13="Mix Rate"), "Yes", IF(AND(C17&lt;&gt;"Yes",C13&lt;&gt;"Mix Rate"),"No", "No"))))</f>
        <v>No</v>
      </c>
      <c r="F43" s="154"/>
      <c r="H43" s="198"/>
      <c r="I43" s="198"/>
      <c r="L43" s="199"/>
    </row>
    <row r="44" spans="2:17" ht="15.75" thickBot="1" x14ac:dyDescent="0.3">
      <c r="F44" s="154"/>
      <c r="H44" s="198"/>
      <c r="I44" s="198"/>
      <c r="L44" s="199"/>
    </row>
    <row r="45" spans="2:17" x14ac:dyDescent="0.25">
      <c r="B45" s="921" t="s">
        <v>118</v>
      </c>
      <c r="H45" s="198"/>
      <c r="I45" s="198"/>
      <c r="L45" s="199"/>
    </row>
    <row r="46" spans="2:17" ht="15.75" thickBot="1" x14ac:dyDescent="0.3">
      <c r="B46" s="922"/>
      <c r="H46" s="198"/>
      <c r="I46" s="198"/>
      <c r="L46" s="199"/>
    </row>
    <row r="47" spans="2:17" ht="15.75" x14ac:dyDescent="0.25">
      <c r="B47" s="325"/>
      <c r="H47" s="198"/>
      <c r="I47" s="198"/>
      <c r="L47" s="199"/>
    </row>
    <row r="48" spans="2:17" ht="15.75" x14ac:dyDescent="0.25">
      <c r="B48" s="325"/>
      <c r="H48" s="198"/>
      <c r="I48" s="198"/>
      <c r="L48" s="199"/>
    </row>
    <row r="49" spans="2:12" x14ac:dyDescent="0.25">
      <c r="H49" s="198"/>
      <c r="I49" s="198"/>
      <c r="L49" s="199"/>
    </row>
    <row r="50" spans="2:12" x14ac:dyDescent="0.25">
      <c r="H50" s="198"/>
      <c r="I50" s="198"/>
      <c r="L50" s="199"/>
    </row>
    <row r="51" spans="2:12" x14ac:dyDescent="0.25">
      <c r="H51" s="198"/>
      <c r="I51" s="198"/>
      <c r="L51" s="199"/>
    </row>
    <row r="52" spans="2:12" x14ac:dyDescent="0.25">
      <c r="B52" s="92"/>
      <c r="C52" s="92"/>
      <c r="H52" s="198"/>
      <c r="I52" s="198"/>
      <c r="L52" s="199"/>
    </row>
    <row r="53" spans="2:12" x14ac:dyDescent="0.25">
      <c r="H53" s="198"/>
      <c r="I53" s="198"/>
      <c r="L53" s="199"/>
    </row>
    <row r="54" spans="2:12" x14ac:dyDescent="0.25">
      <c r="H54" s="198"/>
      <c r="I54" s="198"/>
      <c r="L54" s="199"/>
    </row>
    <row r="55" spans="2:12" x14ac:dyDescent="0.25">
      <c r="L55" s="199"/>
    </row>
    <row r="56" spans="2:12" x14ac:dyDescent="0.25">
      <c r="L56" s="199"/>
    </row>
  </sheetData>
  <mergeCells count="10">
    <mergeCell ref="C4:C5"/>
    <mergeCell ref="B45:B46"/>
    <mergeCell ref="E1:L1"/>
    <mergeCell ref="S6:U19"/>
    <mergeCell ref="H41:I41"/>
    <mergeCell ref="E3:F3"/>
    <mergeCell ref="H3:I3"/>
    <mergeCell ref="K3:L3"/>
    <mergeCell ref="P16:Q17"/>
    <mergeCell ref="P5:Q5"/>
  </mergeCells>
  <conditionalFormatting sqref="B18:C19">
    <cfRule type="expression" dxfId="222" priority="201">
      <formula>$C$17&lt;&gt;"Yes"</formula>
    </cfRule>
  </conditionalFormatting>
  <conditionalFormatting sqref="B21:C21">
    <cfRule type="expression" dxfId="221" priority="130">
      <formula>$C$20&lt;&gt;"Yes"</formula>
    </cfRule>
  </conditionalFormatting>
  <conditionalFormatting sqref="B36:C36">
    <cfRule type="expression" dxfId="220" priority="124">
      <formula>$C$37&gt;=0.5</formula>
    </cfRule>
  </conditionalFormatting>
  <conditionalFormatting sqref="C4:C5">
    <cfRule type="notContainsBlanks" dxfId="219" priority="75">
      <formula>LEN(TRIM(C4))&gt;0</formula>
    </cfRule>
  </conditionalFormatting>
  <conditionalFormatting sqref="C6">
    <cfRule type="expression" dxfId="218" priority="229">
      <formula>#REF!="Loan Management"</formula>
    </cfRule>
  </conditionalFormatting>
  <conditionalFormatting sqref="E3:F3 B14:C15">
    <cfRule type="expression" dxfId="217" priority="50">
      <formula>$C$13="Mix Rate"</formula>
    </cfRule>
  </conditionalFormatting>
  <conditionalFormatting sqref="B14:C15 E37:F41 F35:F36 E3:F34">
    <cfRule type="expression" dxfId="216" priority="84">
      <formula>$C$17="Yes"</formula>
    </cfRule>
  </conditionalFormatting>
  <conditionalFormatting sqref="E37:F41 F35:F36 E4:F34">
    <cfRule type="expression" dxfId="215" priority="81">
      <formula>$C$13="Mix Rate"</formula>
    </cfRule>
  </conditionalFormatting>
  <conditionalFormatting sqref="F6">
    <cfRule type="cellIs" dxfId="214" priority="100" operator="greaterThan">
      <formula>0</formula>
    </cfRule>
  </conditionalFormatting>
  <conditionalFormatting sqref="F9">
    <cfRule type="cellIs" dxfId="213" priority="99" operator="greaterThan">
      <formula>0</formula>
    </cfRule>
  </conditionalFormatting>
  <conditionalFormatting sqref="F12 I12 L12">
    <cfRule type="cellIs" dxfId="212" priority="135" operator="between">
      <formula>1</formula>
      <formula>99999</formula>
    </cfRule>
  </conditionalFormatting>
  <conditionalFormatting sqref="F41">
    <cfRule type="cellIs" dxfId="211" priority="227" operator="lessThan">
      <formula>1.1</formula>
    </cfRule>
  </conditionalFormatting>
  <conditionalFormatting sqref="B11:C11">
    <cfRule type="expression" dxfId="210" priority="149">
      <formula>$C$20="Yes"</formula>
    </cfRule>
  </conditionalFormatting>
  <conditionalFormatting sqref="I5 L5">
    <cfRule type="cellIs" dxfId="209" priority="82" operator="equal">
      <formula>"Use Rate Override"</formula>
    </cfRule>
  </conditionalFormatting>
  <conditionalFormatting sqref="I6 L6 N6">
    <cfRule type="expression" dxfId="208" priority="102">
      <formula>$C$13="Mix Rate"</formula>
    </cfRule>
  </conditionalFormatting>
  <conditionalFormatting sqref="I6 L6">
    <cfRule type="cellIs" dxfId="207" priority="101" operator="greaterThan">
      <formula>0</formula>
    </cfRule>
  </conditionalFormatting>
  <conditionalFormatting sqref="I7">
    <cfRule type="expression" dxfId="206" priority="119">
      <formula>$I$7&gt;$I$8</formula>
    </cfRule>
  </conditionalFormatting>
  <conditionalFormatting sqref="I12">
    <cfRule type="cellIs" dxfId="205" priority="215" operator="greaterThanOrEqual">
      <formula>50000000</formula>
    </cfRule>
  </conditionalFormatting>
  <conditionalFormatting sqref="I13 F13 L13">
    <cfRule type="cellIs" dxfId="204" priority="180" operator="greaterThanOrEqual">
      <formula>75%</formula>
    </cfRule>
  </conditionalFormatting>
  <conditionalFormatting sqref="I33:I36">
    <cfRule type="expression" dxfId="203" priority="148">
      <formula>$K$4="Loan Management"</formula>
    </cfRule>
  </conditionalFormatting>
  <conditionalFormatting sqref="K4">
    <cfRule type="expression" dxfId="202" priority="115">
      <formula>#REF!="Loan Management"</formula>
    </cfRule>
  </conditionalFormatting>
  <conditionalFormatting sqref="L7">
    <cfRule type="expression" dxfId="201" priority="202">
      <formula>$L$7&gt;$L$8</formula>
    </cfRule>
  </conditionalFormatting>
  <conditionalFormatting sqref="L12">
    <cfRule type="cellIs" dxfId="200" priority="214" operator="greaterThanOrEqual">
      <formula>50000000</formula>
    </cfRule>
  </conditionalFormatting>
  <conditionalFormatting sqref="L13">
    <cfRule type="cellIs" dxfId="199" priority="61" operator="greaterThanOrEqual">
      <formula>75%</formula>
    </cfRule>
  </conditionalFormatting>
  <conditionalFormatting sqref="M4">
    <cfRule type="expression" dxfId="198" priority="207">
      <formula>#REF!="Loan Management"</formula>
    </cfRule>
  </conditionalFormatting>
  <conditionalFormatting sqref="N7">
    <cfRule type="expression" dxfId="197" priority="205">
      <formula>$I$7&gt;$I$8</formula>
    </cfRule>
    <cfRule type="expression" dxfId="196" priority="206">
      <formula>$L$7&gt;$L$8</formula>
    </cfRule>
  </conditionalFormatting>
  <conditionalFormatting sqref="N12">
    <cfRule type="notContainsBlanks" dxfId="195" priority="78">
      <formula>LEN(TRIM(N12))&gt;0</formula>
    </cfRule>
  </conditionalFormatting>
  <conditionalFormatting sqref="P13:P14">
    <cfRule type="expression" dxfId="194" priority="223">
      <formula>#REF!="Loan Management"</formula>
    </cfRule>
  </conditionalFormatting>
  <conditionalFormatting sqref="P9:Q9">
    <cfRule type="expression" dxfId="193" priority="121">
      <formula>$Q$7="Individual"</formula>
    </cfRule>
  </conditionalFormatting>
  <conditionalFormatting sqref="Q13:Q14">
    <cfRule type="expression" dxfId="192" priority="222">
      <formula>#REF!="Loan Management"</formula>
    </cfRule>
  </conditionalFormatting>
  <conditionalFormatting sqref="F6 F9">
    <cfRule type="expression" dxfId="191" priority="46">
      <formula>$C$17="Yes"</formula>
    </cfRule>
  </conditionalFormatting>
  <conditionalFormatting sqref="P12:Q12">
    <cfRule type="expression" dxfId="190" priority="45">
      <formula>$C$17="Yes"</formula>
    </cfRule>
  </conditionalFormatting>
  <conditionalFormatting sqref="P12:Q12">
    <cfRule type="expression" dxfId="189" priority="44">
      <formula>$C$13="Mix Rate"</formula>
    </cfRule>
  </conditionalFormatting>
  <conditionalFormatting sqref="L12">
    <cfRule type="cellIs" dxfId="188" priority="28" operator="greaterThanOrEqual">
      <formula>50000000</formula>
    </cfRule>
  </conditionalFormatting>
  <conditionalFormatting sqref="B27:C27 B18:C18">
    <cfRule type="expression" dxfId="187" priority="21">
      <formula>$C$16="Yes"</formula>
    </cfRule>
  </conditionalFormatting>
  <conditionalFormatting sqref="B19:C19 B28:C28">
    <cfRule type="expression" dxfId="186" priority="20">
      <formula>AND($C$16&lt;&gt;"Yes",$C$15&lt;&gt;"Yes")</formula>
    </cfRule>
  </conditionalFormatting>
  <conditionalFormatting sqref="E35:E36">
    <cfRule type="expression" dxfId="185" priority="19">
      <formula>$C$17="Yes"</formula>
    </cfRule>
  </conditionalFormatting>
  <conditionalFormatting sqref="E35:E36">
    <cfRule type="expression" dxfId="184" priority="18">
      <formula>$C$13="Mix Rate"</formula>
    </cfRule>
  </conditionalFormatting>
  <conditionalFormatting sqref="C29:C30">
    <cfRule type="expression" dxfId="183" priority="543">
      <formula>AND($F$41=0,$C$13&lt;&gt;"Mix Rate",$C$17&lt;&gt;"Yes")</formula>
    </cfRule>
  </conditionalFormatting>
  <conditionalFormatting sqref="F13 N13">
    <cfRule type="expression" dxfId="182" priority="636">
      <formula>AND($C$13="Semi &amp; Full Commercial",$F$13&gt;=0.7)</formula>
    </cfRule>
    <cfRule type="expression" dxfId="181" priority="670">
      <formula>AND( OR(FusionP="Yes", $F$4="Semi &amp; Full Commercial"), $F$13&gt;=0.7, $C$20="No")</formula>
    </cfRule>
  </conditionalFormatting>
  <conditionalFormatting sqref="B22:C22">
    <cfRule type="expression" dxfId="180" priority="17">
      <formula>$C$20&lt;&gt;"Yes"</formula>
    </cfRule>
  </conditionalFormatting>
  <conditionalFormatting sqref="B23">
    <cfRule type="expression" dxfId="179" priority="14">
      <formula>$C$20&lt;&gt;"Yes"</formula>
    </cfRule>
  </conditionalFormatting>
  <conditionalFormatting sqref="C23">
    <cfRule type="expression" dxfId="178" priority="12">
      <formula>$C$20&lt;&gt;"Yes"</formula>
    </cfRule>
    <cfRule type="expression" dxfId="177" priority="13">
      <formula>AND($C$20="Yes", $C$23=0)</formula>
    </cfRule>
  </conditionalFormatting>
  <conditionalFormatting sqref="C22">
    <cfRule type="expression" dxfId="176" priority="11">
      <formula>AND($C$20="Yes", $C$22=0)</formula>
    </cfRule>
  </conditionalFormatting>
  <conditionalFormatting sqref="B17:C17">
    <cfRule type="expression" dxfId="175" priority="7">
      <formula>$C$15="Yes"</formula>
    </cfRule>
    <cfRule type="expression" dxfId="174" priority="10">
      <formula>$C$13&lt;&gt;"Residential"</formula>
    </cfRule>
  </conditionalFormatting>
  <conditionalFormatting sqref="C34">
    <cfRule type="expression" dxfId="173" priority="9">
      <formula>$C$13="Mix Rate"</formula>
    </cfRule>
  </conditionalFormatting>
  <conditionalFormatting sqref="C34">
    <cfRule type="cellIs" dxfId="172" priority="8" operator="greaterThan">
      <formula>0</formula>
    </cfRule>
  </conditionalFormatting>
  <conditionalFormatting sqref="H41:I41">
    <cfRule type="expression" dxfId="171" priority="659">
      <formula>$C$13="Mix Rate"</formula>
    </cfRule>
    <cfRule type="expression" dxfId="170" priority="660">
      <formula>AND($C$17&lt;&gt;"Yes",$F$41&lt;1.1)</formula>
    </cfRule>
  </conditionalFormatting>
  <conditionalFormatting sqref="F13 N13">
    <cfRule type="expression" dxfId="169" priority="661">
      <formula>AND($C$17="Yes",$F$13&gt;=70%)</formula>
    </cfRule>
    <cfRule type="expression" dxfId="168" priority="662">
      <formula>AND($F$4="Residential",$F$13&gt;=75%)</formula>
    </cfRule>
    <cfRule type="expression" dxfId="167" priority="663">
      <formula>AND($F$4="Semi/Full Commercial",$F$13&gt;=70%)</formula>
    </cfRule>
  </conditionalFormatting>
  <conditionalFormatting sqref="N13 I13 L13">
    <cfRule type="expression" dxfId="166" priority="667">
      <formula>AND($C$17="Yes",$I$13&gt;=70%)</formula>
    </cfRule>
  </conditionalFormatting>
  <conditionalFormatting sqref="N13">
    <cfRule type="expression" dxfId="165" priority="671">
      <formula>AND(F4="Semi &amp; Full Commercial", F13&gt;=0.7,$C$20="No")</formula>
    </cfRule>
    <cfRule type="expression" dxfId="164" priority="672">
      <formula>OR($I$13&gt;=0.75,$L$13&gt;=0.75)</formula>
    </cfRule>
  </conditionalFormatting>
  <conditionalFormatting sqref="B16:C16">
    <cfRule type="expression" dxfId="163" priority="6">
      <formula>$C$15="Yes"</formula>
    </cfRule>
  </conditionalFormatting>
  <conditionalFormatting sqref="B29:C29">
    <cfRule type="expression" dxfId="162" priority="5">
      <formula>$C$15="No"</formula>
    </cfRule>
  </conditionalFormatting>
  <conditionalFormatting sqref="B15:C15">
    <cfRule type="expression" dxfId="161" priority="4">
      <formula>$C$13&lt;&gt;"Residential"</formula>
    </cfRule>
  </conditionalFormatting>
  <conditionalFormatting sqref="B27:C27 B30:C30">
    <cfRule type="expression" dxfId="160" priority="3">
      <formula>$C$15="Yes"</formula>
    </cfRule>
  </conditionalFormatting>
  <conditionalFormatting sqref="F12">
    <cfRule type="cellIs" dxfId="159" priority="1" operator="greaterThanOrEqual">
      <formula>65000000</formula>
    </cfRule>
  </conditionalFormatting>
  <dataValidations count="10">
    <dataValidation type="decimal" allowBlank="1" showInputMessage="1" showErrorMessage="1" errorTitle="Defer Interest" error="Max Defer is 2%." sqref="F9" xr:uid="{DCBE9BE0-C13E-4842-ABB6-85EB4841430B}">
      <formula1>0</formula1>
      <formula2>0.02</formula2>
    </dataValidation>
    <dataValidation type="whole" operator="equal" allowBlank="1" showInputMessage="1" showErrorMessage="1" sqref="F8" xr:uid="{2571F901-1020-4CFF-93D6-65FE3F9FBD51}">
      <formula1>24</formula1>
    </dataValidation>
    <dataValidation type="list" allowBlank="1" showInputMessage="1" showErrorMessage="1" sqref="L8:L9 I8:I9" xr:uid="{30E548AB-1531-4CE7-B96E-9BDC5958A533}">
      <formula1>"3,4,5,6,7,8,9,10,11,12,13,14,15,16,17,18"</formula1>
    </dataValidation>
    <dataValidation type="list" allowBlank="1" showInputMessage="1" showErrorMessage="1" sqref="F8" xr:uid="{77B9B543-EA4B-457E-AF69-C28751548E40}">
      <formula1>"6,7,8,9,10,11,12,13,14,15,16,17,18,19,20,21,22,23,24"</formula1>
    </dataValidation>
    <dataValidation type="list" allowBlank="1" showInputMessage="1" showErrorMessage="1" sqref="C26" xr:uid="{1938F12A-56E1-4988-8D03-E920DF451E86}">
      <formula1>"Property Value, Purchase Price"</formula1>
    </dataValidation>
    <dataValidation type="list" allowBlank="1" showInputMessage="1" showErrorMessage="1" sqref="I7" xr:uid="{FDA357EF-1260-4789-A3CC-198CB758722F}">
      <formula1>"0,1,2,3,4,5,6,7,8,9,10,11,12,13,14,15,16,17,18"</formula1>
    </dataValidation>
    <dataValidation type="list" showInputMessage="1" showErrorMessage="1" sqref="L7" xr:uid="{76075A5D-F3EF-4886-BB47-A98FF65A749D}">
      <formula1>"0,1,2,3,4,5,6,7,8,9,10,11,12,13,14,15,16,17,18"</formula1>
    </dataValidation>
    <dataValidation type="list" allowBlank="1" showInputMessage="1" showErrorMessage="1" sqref="C16" xr:uid="{251B0790-B2CD-4C28-821C-0843FCD128E3}">
      <formula1>"Yes,No"</formula1>
    </dataValidation>
    <dataValidation type="list" allowBlank="1" showInputMessage="1" showErrorMessage="1" sqref="C12" xr:uid="{6E20E24A-12CA-4AD3-8E77-D6B7FF8462A8}">
      <formula1>"Personal,Corporate"</formula1>
    </dataValidation>
    <dataValidation type="list" allowBlank="1" showInputMessage="1" showErrorMessage="1" sqref="C15" xr:uid="{7D689F60-EC86-4F41-B6EB-00A7FEEC636D}">
      <formula1>"No,Yes"</formula1>
    </dataValidation>
  </dataValidations>
  <pageMargins left="0.7" right="0.7" top="0.75" bottom="0.75" header="0.3" footer="0.3"/>
  <pageSetup paperSize="9" orientation="portrait" r:id="rId1"/>
  <headerFooter scaleWithDoc="0" alignWithMargins="0">
    <oddHeader xml:space="preserve">&amp;C&amp;G
</oddHeader>
  </headerFooter>
  <drawing r:id="rId2"/>
  <legacyDrawing r:id="rId3"/>
  <legacyDrawingHF r:id="rId4"/>
  <controls>
    <mc:AlternateContent xmlns:mc="http://schemas.openxmlformats.org/markup-compatibility/2006">
      <mc:Choice Requires="x14">
        <control shapeId="2065" r:id="rId5" name="CommandButton2">
          <controlPr defaultSize="0" autoLine="0" r:id="rId6">
            <anchor moveWithCells="1">
              <from>
                <xdr:col>13</xdr:col>
                <xdr:colOff>1419225</xdr:colOff>
                <xdr:row>1</xdr:row>
                <xdr:rowOff>47625</xdr:rowOff>
              </from>
              <to>
                <xdr:col>15</xdr:col>
                <xdr:colOff>790575</xdr:colOff>
                <xdr:row>2</xdr:row>
                <xdr:rowOff>66675</xdr:rowOff>
              </to>
            </anchor>
          </controlPr>
        </control>
      </mc:Choice>
      <mc:Fallback>
        <control shapeId="2065" r:id="rId5" name="CommandButton2"/>
      </mc:Fallback>
    </mc:AlternateContent>
    <mc:AlternateContent xmlns:mc="http://schemas.openxmlformats.org/markup-compatibility/2006">
      <mc:Choice Requires="x14">
        <control shapeId="2063" r:id="rId7" name="CommandButton1">
          <controlPr defaultSize="0" autoLine="0" r:id="rId8">
            <anchor moveWithCells="1">
              <from>
                <xdr:col>13</xdr:col>
                <xdr:colOff>28575</xdr:colOff>
                <xdr:row>1</xdr:row>
                <xdr:rowOff>47625</xdr:rowOff>
              </from>
              <to>
                <xdr:col>13</xdr:col>
                <xdr:colOff>1428750</xdr:colOff>
                <xdr:row>2</xdr:row>
                <xdr:rowOff>66675</xdr:rowOff>
              </to>
            </anchor>
          </controlPr>
        </control>
      </mc:Choice>
      <mc:Fallback>
        <control shapeId="2063" r:id="rId7" name="CommandButton1"/>
      </mc:Fallback>
    </mc:AlternateContent>
    <mc:AlternateContent xmlns:mc="http://schemas.openxmlformats.org/markup-compatibility/2006">
      <mc:Choice Requires="x14">
        <control shapeId="2059" r:id="rId9" name="Check Box 11">
          <controlPr defaultSize="0" autoFill="0" autoLine="0" autoPict="0">
            <anchor moveWithCells="1">
              <from>
                <xdr:col>5</xdr:col>
                <xdr:colOff>209550</xdr:colOff>
                <xdr:row>1</xdr:row>
                <xdr:rowOff>9525</xdr:rowOff>
              </from>
              <to>
                <xdr:col>5</xdr:col>
                <xdr:colOff>1066800</xdr:colOff>
                <xdr:row>2</xdr:row>
                <xdr:rowOff>9525</xdr:rowOff>
              </to>
            </anchor>
          </controlPr>
        </control>
      </mc:Choice>
    </mc:AlternateContent>
    <mc:AlternateContent xmlns:mc="http://schemas.openxmlformats.org/markup-compatibility/2006">
      <mc:Choice Requires="x14">
        <control shapeId="2060" r:id="rId10" name="Check Box 12">
          <controlPr defaultSize="0" autoFill="0" autoLine="0" autoPict="0">
            <anchor moveWithCells="1">
              <from>
                <xdr:col>8</xdr:col>
                <xdr:colOff>209550</xdr:colOff>
                <xdr:row>1</xdr:row>
                <xdr:rowOff>9525</xdr:rowOff>
              </from>
              <to>
                <xdr:col>8</xdr:col>
                <xdr:colOff>1066800</xdr:colOff>
                <xdr:row>2</xdr:row>
                <xdr:rowOff>9525</xdr:rowOff>
              </to>
            </anchor>
          </controlPr>
        </control>
      </mc:Choice>
    </mc:AlternateContent>
    <mc:AlternateContent xmlns:mc="http://schemas.openxmlformats.org/markup-compatibility/2006">
      <mc:Choice Requires="x14">
        <control shapeId="2061" r:id="rId11" name="Check Box 13">
          <controlPr defaultSize="0" autoFill="0" autoLine="0" autoPict="0">
            <anchor moveWithCells="1">
              <from>
                <xdr:col>11</xdr:col>
                <xdr:colOff>457200</xdr:colOff>
                <xdr:row>1</xdr:row>
                <xdr:rowOff>28575</xdr:rowOff>
              </from>
              <to>
                <xdr:col>12</xdr:col>
                <xdr:colOff>19050</xdr:colOff>
                <xdr:row>1</xdr:row>
                <xdr:rowOff>295275</xdr:rowOff>
              </to>
            </anchor>
          </controlPr>
        </control>
      </mc:Choice>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DB2445B1-2123-4455-A15E-31522B4026AA}">
          <x14:formula1>
            <xm:f>IF($C$15="Yes",Dropdowns!$E$3:$E$12,Dropdowns!$E$9:$E$15)</xm:f>
          </x14:formula1>
          <xm:sqref>F7</xm:sqref>
        </x14:dataValidation>
        <x14:dataValidation type="list" allowBlank="1" showInputMessage="1" showErrorMessage="1" xr:uid="{5420F3FF-6FB1-43FE-B6DD-2F58A5E0E34E}">
          <x14:formula1>
            <xm:f>Dropdowns!$I$2:$I$3</xm:f>
          </x14:formula1>
          <xm:sqref>C17 C20</xm:sqref>
        </x14:dataValidation>
        <x14:dataValidation type="list" allowBlank="1" showInputMessage="1" showErrorMessage="1" xr:uid="{73B36F94-DFAB-4A1D-8C86-E7FE61B8837D}">
          <x14:formula1>
            <xm:f>Dropdowns!$Q$4:$Q$6</xm:f>
          </x14:formula1>
          <xm:sqref>C13</xm:sqref>
        </x14:dataValidation>
        <x14:dataValidation type="list" allowBlank="1" showInputMessage="1" showErrorMessage="1" xr:uid="{9DDA0513-DD8C-4782-B586-5E0B35B1044A}">
          <x14:formula1>
            <xm:f>Dropdowns!$G$32:$G$33</xm:f>
          </x14:formula1>
          <xm:sqref>Q7</xm:sqref>
        </x14:dataValidation>
        <x14:dataValidation type="list" allowBlank="1" showInputMessage="1" showErrorMessage="1" xr:uid="{73E53923-1987-4845-89C0-3C9DBAAA7C75}">
          <x14:formula1>
            <xm:f>IF($C$13="Residential",Dropdowns!$T$19:$T$23,Dropdowns!$U$19:$U$23)</xm:f>
          </x14:formula1>
          <xm:sqref>C14</xm:sqref>
        </x14:dataValidation>
        <x14:dataValidation type="list" allowBlank="1" showInputMessage="1" showErrorMessage="1" xr:uid="{C8B4B03D-1BA4-4149-BB90-98E34B7B1CF2}">
          <x14:formula1>
            <xm:f>IF(Q7="Individual",Dropdowns!$D$41,Dropdowns!E31:E36)</xm:f>
          </x14:formula1>
          <xm:sqref>Q9</xm:sqref>
        </x14:dataValidation>
        <x14:dataValidation type="list" allowBlank="1" showInputMessage="1" showErrorMessage="1" xr:uid="{53C8EF27-0A08-4652-B737-B6D67FC3B991}">
          <x14:formula1>
            <xm:f>IF(Q7="Individual",Dropdowns!D32:D40,Dropdowns!E31:E36)</xm:f>
          </x14:formula1>
          <xm:sqref>Q8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CA0E-97DE-4AAB-9208-9AB86857C8D8}">
  <sheetPr codeName="Sheet3"/>
  <dimension ref="A3:I760"/>
  <sheetViews>
    <sheetView showWhiteSpace="0" topLeftCell="A16" zoomScale="115" zoomScaleNormal="115" zoomScaleSheetLayoutView="100" workbookViewId="0">
      <selection activeCell="F11" sqref="F11"/>
    </sheetView>
  </sheetViews>
  <sheetFormatPr defaultRowHeight="15" x14ac:dyDescent="0.25"/>
  <cols>
    <col min="1" max="1" width="5.140625" style="91" customWidth="1"/>
    <col min="2" max="2" width="25.42578125" style="91" customWidth="1"/>
    <col min="3" max="3" width="91.42578125" style="91" customWidth="1"/>
    <col min="4" max="4" width="22.5703125" style="508" customWidth="1"/>
    <col min="5" max="5" width="11.140625" style="91" customWidth="1"/>
    <col min="6" max="6" width="17.28515625" style="91" bestFit="1" customWidth="1"/>
    <col min="7" max="7" width="25" style="91" customWidth="1"/>
    <col min="8" max="8" width="11.28515625" style="91" bestFit="1" customWidth="1"/>
    <col min="9" max="16384" width="9.140625" style="91"/>
  </cols>
  <sheetData>
    <row r="3" spans="2:7" ht="36.75" customHeight="1" x14ac:dyDescent="0.25">
      <c r="B3" s="946" t="s">
        <v>554</v>
      </c>
      <c r="C3" s="947"/>
    </row>
    <row r="4" spans="2:7" x14ac:dyDescent="0.25">
      <c r="B4" s="857"/>
      <c r="C4" s="858"/>
    </row>
    <row r="5" spans="2:7" x14ac:dyDescent="0.25">
      <c r="B5" s="857"/>
      <c r="C5" s="859"/>
    </row>
    <row r="6" spans="2:7" ht="48" customHeight="1" x14ac:dyDescent="0.25">
      <c r="B6" s="943" t="s">
        <v>850</v>
      </c>
      <c r="C6" s="943"/>
    </row>
    <row r="7" spans="2:7" ht="35.25" customHeight="1" x14ac:dyDescent="0.25">
      <c r="B7" s="948" t="s">
        <v>555</v>
      </c>
      <c r="C7" s="948"/>
    </row>
    <row r="8" spans="2:7" ht="15.75" thickBot="1" x14ac:dyDescent="0.3"/>
    <row r="9" spans="2:7" ht="20.100000000000001" customHeight="1" thickBot="1" x14ac:dyDescent="0.3">
      <c r="B9" s="888" t="s">
        <v>556</v>
      </c>
      <c r="C9" s="861" t="str">
        <f>'Input Sheet'!$C$7</f>
        <v>HubSpot reference</v>
      </c>
      <c r="E9" s="862"/>
    </row>
    <row r="10" spans="2:7" ht="20.100000000000001" customHeight="1" thickBot="1" x14ac:dyDescent="0.3">
      <c r="B10" s="888" t="s">
        <v>793</v>
      </c>
      <c r="C10" s="861" t="s">
        <v>557</v>
      </c>
      <c r="D10" s="894" t="s">
        <v>1317</v>
      </c>
      <c r="E10" s="862"/>
    </row>
    <row r="11" spans="2:7" ht="20.100000000000001" customHeight="1" thickBot="1" x14ac:dyDescent="0.3">
      <c r="B11" s="888" t="s">
        <v>558</v>
      </c>
      <c r="C11" s="861" t="str">
        <f>'Input Sheet'!$C$8</f>
        <v>xxxxx</v>
      </c>
      <c r="E11" s="862"/>
    </row>
    <row r="12" spans="2:7" ht="20.100000000000001" customHeight="1" thickBot="1" x14ac:dyDescent="0.3">
      <c r="B12" s="888" t="s">
        <v>794</v>
      </c>
      <c r="C12" s="861"/>
      <c r="D12" s="894" t="s">
        <v>1334</v>
      </c>
      <c r="E12" s="862"/>
    </row>
    <row r="13" spans="2:7" ht="20.100000000000001" customHeight="1" thickBot="1" x14ac:dyDescent="0.3">
      <c r="B13" s="888" t="s">
        <v>795</v>
      </c>
      <c r="C13" s="861"/>
      <c r="D13" s="894" t="s">
        <v>1334</v>
      </c>
      <c r="E13" s="862"/>
    </row>
    <row r="14" spans="2:7" ht="20.100000000000001" customHeight="1" thickBot="1" x14ac:dyDescent="0.3">
      <c r="B14" s="888" t="s">
        <v>559</v>
      </c>
      <c r="C14" s="861">
        <f>$G$14</f>
        <v>0</v>
      </c>
      <c r="E14" s="862"/>
      <c r="F14" s="885" t="s">
        <v>560</v>
      </c>
      <c r="G14" s="863"/>
    </row>
    <row r="15" spans="2:7" ht="20.100000000000001" customHeight="1" thickBot="1" x14ac:dyDescent="0.3">
      <c r="B15" s="888" t="s">
        <v>561</v>
      </c>
      <c r="C15" s="861" t="s">
        <v>562</v>
      </c>
      <c r="E15" s="862"/>
    </row>
    <row r="16" spans="2:7" ht="42" customHeight="1" thickBot="1" x14ac:dyDescent="0.3">
      <c r="B16" s="887" t="s">
        <v>563</v>
      </c>
      <c r="C16" s="861" t="s">
        <v>564</v>
      </c>
      <c r="D16" s="894" t="s">
        <v>1334</v>
      </c>
      <c r="E16" s="862"/>
    </row>
    <row r="17" spans="2:7" ht="44.25" customHeight="1" thickBot="1" x14ac:dyDescent="0.3">
      <c r="B17" s="887" t="s">
        <v>45</v>
      </c>
      <c r="C17" s="861" t="s">
        <v>565</v>
      </c>
      <c r="E17" s="862"/>
    </row>
    <row r="18" spans="2:7" ht="20.100000000000001" customHeight="1" thickBot="1" x14ac:dyDescent="0.3">
      <c r="B18" s="887" t="s">
        <v>0</v>
      </c>
      <c r="C18" s="861" t="str">
        <f>"£"&amp; TEXT('Input Sheet'!$F$12,"#,##")&amp;" based on an assumed MV of £"&amp;TEXT('Input Sheet'!$C$28,"#,##")</f>
        <v>£ based on an assumed MV of £</v>
      </c>
      <c r="E18" s="862"/>
    </row>
    <row r="19" spans="2:7" ht="20.100000000000001" customHeight="1" thickBot="1" x14ac:dyDescent="0.3">
      <c r="B19" s="887" t="s">
        <v>18</v>
      </c>
      <c r="C19" s="865" t="str">
        <f>"£"&amp;TEXT('Input Sheet'!$F$15+'Input Sheet'!$F$20,"#,##")&amp;" net loan including any Broker Client Fee"</f>
        <v>£ net loan including any Broker Client Fee</v>
      </c>
      <c r="D19" s="610" t="s">
        <v>1300</v>
      </c>
      <c r="E19" s="862"/>
    </row>
    <row r="20" spans="2:7" ht="20.100000000000001" customHeight="1" thickBot="1" x14ac:dyDescent="0.3">
      <c r="B20" s="887" t="s">
        <v>566</v>
      </c>
      <c r="C20" s="861" t="str">
        <f>"£"&amp;TEXT('Input Sheet'!$F$15,"#,##")&amp;" net amount advanced on day 1"</f>
        <v>£ net amount advanced on day 1</v>
      </c>
      <c r="E20" s="862"/>
    </row>
    <row r="21" spans="2:7" ht="20.100000000000001" customHeight="1" thickBot="1" x14ac:dyDescent="0.3">
      <c r="B21" s="887" t="s">
        <v>852</v>
      </c>
      <c r="C21" s="861" t="str">
        <f>TEXT('Input Sheet'!$F$23,"£#,##")&amp;" / "&amp;TEXT('Input Sheet'!$F$7,"##")&amp;" months"</f>
        <v>£ / 6 months</v>
      </c>
      <c r="D21" s="610" t="s">
        <v>1300</v>
      </c>
      <c r="E21" s="862"/>
    </row>
    <row r="22" spans="2:7" ht="20.100000000000001" customHeight="1" thickBot="1" x14ac:dyDescent="0.3">
      <c r="B22" s="887" t="s">
        <v>64</v>
      </c>
      <c r="C22" s="861" t="str">
        <f>TEXT('Input Sheet'!$F$24,"£#,##")&amp;" / "&amp;TEXT('Input Sheet'!$F$9,"#.##%")&amp;" of the Gross Loan Amount"</f>
        <v>£ / .% of the Gross Loan Amount</v>
      </c>
      <c r="D22" s="610" t="s">
        <v>1300</v>
      </c>
      <c r="E22" s="862"/>
    </row>
    <row r="23" spans="2:7" ht="52.5" customHeight="1" thickBot="1" x14ac:dyDescent="0.3">
      <c r="B23" s="887" t="s">
        <v>567</v>
      </c>
      <c r="C23" s="861" t="e">
        <f>"Margin "&amp;('Input Sheet'!F11-'Input Sheet'!C41)*100&amp;"% per annum plus the applicable Bank of England Base Rate (“BBR”), equal to a total interest rate of "&amp;'Input Sheet'!F11*100&amp;"% per annum
Any changes to BBR will be reflected in interest charged from the first day of the next calendar month. "</f>
        <v>#VALUE!</v>
      </c>
      <c r="E23" s="864"/>
    </row>
    <row r="24" spans="2:7" ht="48.75" customHeight="1" thickBot="1" x14ac:dyDescent="0.3">
      <c r="B24" s="887" t="s">
        <v>568</v>
      </c>
      <c r="C24" s="861" t="str">
        <f>TEXT('Input Sheet'!$F$22,"#,##")&amp;" months serviced
"&amp;TEXT('Input Sheet'!$F$7,"#,##")&amp;" months retained
"&amp;TEXT('Input Sheet'!$F$9,"0.00%")&amp;" deferred"</f>
        <v>18 months serviced
6 months retained
0.00% deferred</v>
      </c>
      <c r="E24" s="862"/>
      <c r="F24" s="885" t="s">
        <v>1311</v>
      </c>
      <c r="G24" s="893" t="s">
        <v>1312</v>
      </c>
    </row>
    <row r="25" spans="2:7" ht="20.100000000000001" customHeight="1" thickBot="1" x14ac:dyDescent="0.3">
      <c r="B25" s="887" t="s">
        <v>798</v>
      </c>
      <c r="C25" s="861" t="str">
        <f ca="1">TEXT('Input Sheet'!$F$29,"£#,##")&amp;" based on current BBR, payable "&amp;G24&amp;" commencing ON "&amp;
TEXT(G25,"dd-mmm-yyyy")</f>
        <v>£ based on current BBR, payable monthly commencing ON 28-May-2026</v>
      </c>
      <c r="D25" s="610" t="s">
        <v>799</v>
      </c>
      <c r="E25" s="864"/>
      <c r="F25" s="885" t="s">
        <v>796</v>
      </c>
      <c r="G25" s="886">
        <f ca="1">EDATE(TODAY(), 'Input Sheet'!$F$7)</f>
        <v>46170</v>
      </c>
    </row>
    <row r="26" spans="2:7" ht="20.100000000000001" customHeight="1" thickBot="1" x14ac:dyDescent="0.3">
      <c r="B26" s="887" t="s">
        <v>569</v>
      </c>
      <c r="C26" s="861" t="s">
        <v>797</v>
      </c>
      <c r="E26" s="864"/>
    </row>
    <row r="27" spans="2:7" ht="20.100000000000001" customHeight="1" thickBot="1" x14ac:dyDescent="0.3">
      <c r="B27" s="887" t="s">
        <v>570</v>
      </c>
      <c r="C27" s="861" t="s">
        <v>571</v>
      </c>
      <c r="E27" s="862"/>
    </row>
    <row r="28" spans="2:7" x14ac:dyDescent="0.25">
      <c r="B28" s="862"/>
      <c r="C28" s="866"/>
      <c r="E28" s="862"/>
    </row>
    <row r="29" spans="2:7" x14ac:dyDescent="0.25">
      <c r="B29" s="860"/>
    </row>
    <row r="30" spans="2:7" ht="35.25" customHeight="1" x14ac:dyDescent="0.25">
      <c r="B30" s="948" t="s">
        <v>572</v>
      </c>
      <c r="C30" s="948"/>
    </row>
    <row r="31" spans="2:7" x14ac:dyDescent="0.25">
      <c r="B31" s="860"/>
    </row>
    <row r="32" spans="2:7" ht="15.75" thickBot="1" x14ac:dyDescent="0.3"/>
    <row r="33" spans="2:7" ht="88.5" customHeight="1" thickBot="1" x14ac:dyDescent="0.3">
      <c r="B33" s="887" t="s">
        <v>1314</v>
      </c>
      <c r="C33" s="861" t="str">
        <f>IF('Input Sheet'!$C$39&gt;0,TEXT('Input Sheet'!$C$39,"£#,##"),"£0 ")&amp;$G$33</f>
        <v>£0  is a reasonable estimate of costs for undertaking the process necessary to prepare the Loan for completion, payable on acceptance of this Decision in Principle and is refundable upon completion
Note we reserve the right to retain the commitment fee should the loan fail to complete due to matters outside of our control</v>
      </c>
      <c r="E33" s="91" t="s">
        <v>1307</v>
      </c>
      <c r="F33" s="92"/>
      <c r="G33" s="867" t="s">
        <v>1315</v>
      </c>
    </row>
    <row r="34" spans="2:7" ht="28.5" customHeight="1" thickBot="1" x14ac:dyDescent="0.3">
      <c r="B34" s="887" t="s">
        <v>1303</v>
      </c>
      <c r="C34" s="861" t="str">
        <f>"2.00% of the Gross Loan Amount payable upon the first drawdown date "&amp;IF(G34&gt;0, "or, if earlier, "&amp;TEXT(G34,"dd-mmm-yyyy"),"")</f>
        <v>2.00% of the Gross Loan Amount payable upon the first drawdown date or, if earlier, 01-Jan-2022</v>
      </c>
      <c r="D34" s="610" t="s">
        <v>799</v>
      </c>
      <c r="F34" s="885" t="s">
        <v>1304</v>
      </c>
      <c r="G34" s="890">
        <v>44562</v>
      </c>
    </row>
    <row r="35" spans="2:7" ht="30" customHeight="1" thickBot="1" x14ac:dyDescent="0.3">
      <c r="B35" s="887" t="s">
        <v>573</v>
      </c>
      <c r="C35" s="861" t="str">
        <f>"£"&amp;TEXT('Input Sheet'!$F$19,"#,##")&amp;" deducted from the Arrangement Fee and payable as commission to the Borrower’s broker"</f>
        <v>£ deducted from the Arrangement Fee and payable as commission to the Borrower’s broker</v>
      </c>
    </row>
    <row r="36" spans="2:7" ht="28.5" customHeight="1" thickBot="1" x14ac:dyDescent="0.3">
      <c r="B36" s="887" t="s">
        <v>800</v>
      </c>
      <c r="C36" s="861" t="str">
        <f>"£"&amp;TEXT('Input Sheet'!$F$20,"#,##")&amp;" deducted from the Net Loan Amount and payable as commission to the Borrower’s broker"</f>
        <v>£ deducted from the Net Loan Amount and payable as commission to the Borrower’s broker</v>
      </c>
      <c r="D36" s="610" t="s">
        <v>1300</v>
      </c>
    </row>
    <row r="37" spans="2:7" ht="28.5" customHeight="1" thickBot="1" x14ac:dyDescent="0.3">
      <c r="B37" s="887" t="s">
        <v>574</v>
      </c>
      <c r="C37" s="861" t="str">
        <f>TEXT($G$37,"£#,##") &amp; " plus VAT payable to us in advance of a valuation being instructed"</f>
        <v>£ plus VAT payable to us in advance of a valuation being instructed</v>
      </c>
      <c r="D37" s="610" t="s">
        <v>799</v>
      </c>
      <c r="F37" s="885" t="s">
        <v>574</v>
      </c>
      <c r="G37" s="868"/>
    </row>
    <row r="38" spans="2:7" ht="27" customHeight="1" thickBot="1" x14ac:dyDescent="0.3">
      <c r="B38" s="887" t="s">
        <v>575</v>
      </c>
      <c r="C38" s="861" t="s">
        <v>576</v>
      </c>
    </row>
    <row r="39" spans="2:7" ht="38.25" customHeight="1" thickBot="1" x14ac:dyDescent="0.3">
      <c r="B39" s="887" t="s">
        <v>577</v>
      </c>
      <c r="C39" s="861" t="str">
        <f>TEXT('Input Sheet'!$Q$12,"£#,##0.00")&amp;" plus insurance premium tax, equating to 0.13% of the Gross Loan Amount, subject to a minimum amount of £350."</f>
        <v xml:space="preserve"> plus insurance premium tax, equating to 0.13% of the Gross Loan Amount, subject to a minimum amount of £350.</v>
      </c>
    </row>
    <row r="40" spans="2:7" ht="146.25" customHeight="1" thickBot="1" x14ac:dyDescent="0.3">
      <c r="B40" s="887" t="s">
        <v>578</v>
      </c>
      <c r="C40" s="861" t="s">
        <v>1332</v>
      </c>
    </row>
    <row r="41" spans="2:7" ht="37.5" customHeight="1" thickBot="1" x14ac:dyDescent="0.3">
      <c r="B41" s="887" t="s">
        <v>579</v>
      </c>
      <c r="C41" s="861" t="s">
        <v>1333</v>
      </c>
    </row>
    <row r="42" spans="2:7" ht="40.5" customHeight="1" thickBot="1" x14ac:dyDescent="0.3">
      <c r="B42" s="887" t="s">
        <v>309</v>
      </c>
      <c r="C42" s="891" t="s">
        <v>580</v>
      </c>
      <c r="D42" s="610" t="s">
        <v>1313</v>
      </c>
    </row>
    <row r="43" spans="2:7" x14ac:dyDescent="0.25">
      <c r="B43" s="869"/>
      <c r="C43" s="870"/>
    </row>
    <row r="44" spans="2:7" x14ac:dyDescent="0.25">
      <c r="B44" s="860"/>
    </row>
    <row r="45" spans="2:7" ht="35.25" customHeight="1" x14ac:dyDescent="0.25">
      <c r="B45" s="948" t="s">
        <v>581</v>
      </c>
      <c r="C45" s="948"/>
    </row>
    <row r="46" spans="2:7" x14ac:dyDescent="0.25">
      <c r="B46" s="871"/>
    </row>
    <row r="47" spans="2:7" ht="15.75" thickBot="1" x14ac:dyDescent="0.3">
      <c r="B47" s="872"/>
    </row>
    <row r="48" spans="2:7" ht="33" customHeight="1" thickBot="1" x14ac:dyDescent="0.3">
      <c r="B48" s="887" t="s">
        <v>801</v>
      </c>
      <c r="C48" s="861" t="str">
        <f>"A first rank debenture with fixed and floating charges over all assets and undertakings of "&amp;G48&amp;" , including mortgages over the Properties"</f>
        <v>A first rank debenture with fixed and floating charges over all assets and undertakings of ABC, EFG , including mortgages over the Properties</v>
      </c>
      <c r="D48" s="610" t="s">
        <v>799</v>
      </c>
      <c r="F48" s="885" t="s">
        <v>1305</v>
      </c>
      <c r="G48" s="889" t="s">
        <v>1316</v>
      </c>
    </row>
    <row r="49" spans="2:7" ht="24.75" customHeight="1" thickBot="1" x14ac:dyDescent="0.3">
      <c r="B49" s="887" t="s">
        <v>802</v>
      </c>
      <c r="C49" s="861" t="str">
        <f>"A first charge over the shares in "&amp;G48</f>
        <v>A first charge over the shares in ABC, EFG</v>
      </c>
      <c r="D49" s="610" t="s">
        <v>799</v>
      </c>
    </row>
    <row r="50" spans="2:7" ht="26.25" customHeight="1" thickBot="1" x14ac:dyDescent="0.3">
      <c r="B50" s="887" t="s">
        <v>582</v>
      </c>
      <c r="C50" s="861" t="s">
        <v>583</v>
      </c>
      <c r="D50" s="610" t="s">
        <v>1318</v>
      </c>
    </row>
    <row r="51" spans="2:7" ht="39" customHeight="1" thickBot="1" x14ac:dyDescent="0.3">
      <c r="B51" s="887" t="s">
        <v>584</v>
      </c>
      <c r="C51" s="861" t="str">
        <f>"A personal/corporate guarantee from" &amp;G51&amp;" for the repayment of the Gross Loan Amount plus all interest, default interest and costs and expenses."</f>
        <v>A personal/corporate guarantee from for the repayment of the Gross Loan Amount plus all interest, default interest and costs and expenses.</v>
      </c>
      <c r="D51" s="610" t="s">
        <v>799</v>
      </c>
      <c r="F51" s="885" t="s">
        <v>585</v>
      </c>
      <c r="G51" s="868"/>
    </row>
    <row r="52" spans="2:7" ht="38.25" customHeight="1" thickBot="1" x14ac:dyDescent="0.3">
      <c r="B52" s="887" t="s">
        <v>586</v>
      </c>
      <c r="C52" s="861" t="str">
        <f>"Aggregate of the loan plus all fees and interest as a percentage of MV not to exceed "&amp;TEXT('Input Sheet'!$F$13,"#.##%")&amp;". To be tested quarterly with a compliance certificate to be provided within 30 days of the relevant period"</f>
        <v>Aggregate of the loan plus all fees and interest as a percentage of MV not to exceed .%. To be tested quarterly with a compliance certificate to be provided within 30 days of the relevant period</v>
      </c>
    </row>
    <row r="53" spans="2:7" ht="159.75" customHeight="1" thickBot="1" x14ac:dyDescent="0.3">
      <c r="B53" s="887" t="s">
        <v>587</v>
      </c>
      <c r="C53" s="861" t="s">
        <v>588</v>
      </c>
    </row>
    <row r="54" spans="2:7" ht="54.75" customHeight="1" thickBot="1" x14ac:dyDescent="0.3">
      <c r="B54" s="887" t="s">
        <v>589</v>
      </c>
      <c r="C54" s="861" t="str">
        <f>TEXT('Input Sheet'!$F$41,"#.##%")&amp;" 
To be tested quarterly with a compliance certificate to be provided within 30 days of the relevant period"</f>
        <v xml:space="preserve"> 
To be tested quarterly with a compliance certificate to be provided within 30 days of the relevant period</v>
      </c>
    </row>
    <row r="55" spans="2:7" x14ac:dyDescent="0.25">
      <c r="B55" s="862"/>
      <c r="C55" s="866"/>
    </row>
    <row r="56" spans="2:7" x14ac:dyDescent="0.25">
      <c r="B56" s="860"/>
    </row>
    <row r="57" spans="2:7" ht="35.25" customHeight="1" x14ac:dyDescent="0.25">
      <c r="B57" s="948" t="s">
        <v>590</v>
      </c>
      <c r="C57" s="948"/>
    </row>
    <row r="58" spans="2:7" ht="15.75" thickBot="1" x14ac:dyDescent="0.3">
      <c r="B58" s="860"/>
    </row>
    <row r="59" spans="2:7" ht="120.75" thickBot="1" x14ac:dyDescent="0.3">
      <c r="B59" s="887" t="s">
        <v>591</v>
      </c>
      <c r="C59" s="861" t="s">
        <v>841</v>
      </c>
    </row>
    <row r="60" spans="2:7" ht="327" customHeight="1" thickBot="1" x14ac:dyDescent="0.3">
      <c r="B60" s="887" t="s">
        <v>592</v>
      </c>
      <c r="C60" s="861" t="s">
        <v>842</v>
      </c>
    </row>
    <row r="61" spans="2:7" ht="47.25" customHeight="1" thickBot="1" x14ac:dyDescent="0.3">
      <c r="B61" s="887" t="s">
        <v>1319</v>
      </c>
      <c r="C61" s="861" t="s">
        <v>1320</v>
      </c>
      <c r="D61" s="894" t="s">
        <v>1334</v>
      </c>
    </row>
    <row r="62" spans="2:7" ht="102" customHeight="1" thickBot="1" x14ac:dyDescent="0.3">
      <c r="B62" s="887" t="s">
        <v>593</v>
      </c>
      <c r="C62" s="861" t="s">
        <v>837</v>
      </c>
    </row>
    <row r="63" spans="2:7" ht="90.75" thickBot="1" x14ac:dyDescent="0.3">
      <c r="B63" s="887" t="s">
        <v>594</v>
      </c>
      <c r="C63" s="861" t="s">
        <v>840</v>
      </c>
    </row>
    <row r="64" spans="2:7" ht="105.75" thickBot="1" x14ac:dyDescent="0.3">
      <c r="B64" s="887" t="s">
        <v>838</v>
      </c>
      <c r="C64" s="861" t="s">
        <v>839</v>
      </c>
    </row>
    <row r="65" spans="2:9" ht="45.75" thickBot="1" x14ac:dyDescent="0.3">
      <c r="B65" s="887" t="s">
        <v>844</v>
      </c>
      <c r="C65" s="861" t="s">
        <v>845</v>
      </c>
    </row>
    <row r="66" spans="2:9" ht="165.75" thickBot="1" x14ac:dyDescent="0.3">
      <c r="B66" s="887" t="s">
        <v>595</v>
      </c>
      <c r="C66" s="861" t="s">
        <v>843</v>
      </c>
    </row>
    <row r="67" spans="2:9" ht="180.75" thickBot="1" x14ac:dyDescent="0.3">
      <c r="B67" s="887" t="s">
        <v>596</v>
      </c>
      <c r="C67" s="861" t="s">
        <v>846</v>
      </c>
    </row>
    <row r="68" spans="2:9" ht="141" customHeight="1" thickBot="1" x14ac:dyDescent="0.3">
      <c r="B68" s="887" t="s">
        <v>597</v>
      </c>
      <c r="C68" s="861" t="s">
        <v>847</v>
      </c>
    </row>
    <row r="69" spans="2:9" ht="15.75" customHeight="1" x14ac:dyDescent="0.25">
      <c r="B69" s="862"/>
      <c r="C69" s="866"/>
    </row>
    <row r="70" spans="2:9" x14ac:dyDescent="0.25">
      <c r="B70" s="862"/>
      <c r="C70" s="866"/>
    </row>
    <row r="71" spans="2:9" ht="34.5" customHeight="1" x14ac:dyDescent="0.25">
      <c r="B71" s="948" t="s">
        <v>598</v>
      </c>
      <c r="C71" s="948"/>
    </row>
    <row r="72" spans="2:9" x14ac:dyDescent="0.25">
      <c r="B72" s="862"/>
      <c r="C72" s="873"/>
    </row>
    <row r="73" spans="2:9" x14ac:dyDescent="0.25">
      <c r="B73" s="949" t="s">
        <v>599</v>
      </c>
      <c r="C73" s="949"/>
    </row>
    <row r="74" spans="2:9" ht="15.75" thickBot="1" x14ac:dyDescent="0.3">
      <c r="B74" s="874"/>
    </row>
    <row r="75" spans="2:9" ht="75.75" thickBot="1" x14ac:dyDescent="0.3">
      <c r="B75" s="887" t="s">
        <v>600</v>
      </c>
      <c r="C75" s="861" t="s">
        <v>848</v>
      </c>
    </row>
    <row r="76" spans="2:9" ht="195.75" customHeight="1" thickBot="1" x14ac:dyDescent="0.3">
      <c r="B76" s="887" t="s">
        <v>601</v>
      </c>
      <c r="C76" s="861" t="str">
        <f>E76</f>
        <v xml:space="preserve">The Borrower authorises us (and/or to instruct our solicitors), to deduct any Arrangement Fees (which includes the Broker’s Commission), Legal Fees and expenses, Title Insurance (if applicable), any interest (rolled up and deferred) and any other fees, costs or expenses payable by the Borrower (which have not already been paid), from the Gross Loan Amount upon completion of the Loan. 
Market Financial Solutions or its investors pay a part of the Arrangement Fee to the Borrower’s intermediary/broker as Broker’s Commission in the amount as specified above. This means that the intermediary/broker may be unable to provide impartial advice about the Loan to the Borrower.  </v>
      </c>
      <c r="D76" s="610" t="s">
        <v>1321</v>
      </c>
      <c r="E76" s="892" t="str">
        <f>G76&amp; ""&amp;IF('Input Sheet'!F20&gt;0,"
"&amp;H76,"
")&amp;"
"&amp;I76</f>
        <v xml:space="preserve">The Borrower authorises us (and/or to instruct our solicitors), to deduct any Arrangement Fees (which includes the Broker’s Commission), Legal Fees and expenses, Title Insurance (if applicable), any interest (rolled up and deferred) and any other fees, costs or expenses payable by the Borrower (which have not already been paid), from the Gross Loan Amount upon completion of the Loan. 
Market Financial Solutions or its investors pay a part of the Arrangement Fee to the Borrower’s intermediary/broker as Broker’s Commission in the amount as specified above. This means that the intermediary/broker may be unable to provide impartial advice about the Loan to the Borrower.  </v>
      </c>
      <c r="G76" s="92" t="s">
        <v>1308</v>
      </c>
      <c r="H76" s="92" t="s">
        <v>1309</v>
      </c>
      <c r="I76" s="92" t="s">
        <v>1310</v>
      </c>
    </row>
    <row r="77" spans="2:9" ht="175.5" customHeight="1" thickBot="1" x14ac:dyDescent="0.3">
      <c r="B77" s="887" t="s">
        <v>602</v>
      </c>
      <c r="C77" s="861" t="s">
        <v>849</v>
      </c>
    </row>
    <row r="78" spans="2:9" ht="45.75" thickBot="1" x14ac:dyDescent="0.3">
      <c r="B78" s="887" t="s">
        <v>1301</v>
      </c>
      <c r="C78" s="861" t="s">
        <v>1302</v>
      </c>
    </row>
    <row r="79" spans="2:9" x14ac:dyDescent="0.25">
      <c r="B79" s="875"/>
      <c r="C79" s="875"/>
    </row>
    <row r="80" spans="2:9" ht="22.5" customHeight="1" x14ac:dyDescent="0.25">
      <c r="B80" s="944" t="s">
        <v>1322</v>
      </c>
      <c r="C80" s="945"/>
    </row>
    <row r="81" spans="2:3" x14ac:dyDescent="0.25">
      <c r="B81" s="877"/>
    </row>
    <row r="82" spans="2:3" x14ac:dyDescent="0.25">
      <c r="B82" s="877"/>
    </row>
    <row r="83" spans="2:3" x14ac:dyDescent="0.25">
      <c r="B83" s="876" t="s">
        <v>603</v>
      </c>
      <c r="C83" s="91" t="s">
        <v>604</v>
      </c>
    </row>
    <row r="84" spans="2:3" x14ac:dyDescent="0.25">
      <c r="B84" s="876"/>
    </row>
    <row r="85" spans="2:3" x14ac:dyDescent="0.25">
      <c r="B85" s="876"/>
    </row>
    <row r="86" spans="2:3" x14ac:dyDescent="0.25">
      <c r="B86" s="876" t="s">
        <v>605</v>
      </c>
      <c r="C86" s="91" t="s">
        <v>604</v>
      </c>
    </row>
    <row r="88" spans="2:3" x14ac:dyDescent="0.25">
      <c r="B88" s="876" t="s">
        <v>606</v>
      </c>
      <c r="C88" s="91" t="s">
        <v>604</v>
      </c>
    </row>
    <row r="89" spans="2:3" x14ac:dyDescent="0.25">
      <c r="B89" s="876"/>
    </row>
    <row r="90" spans="2:3" x14ac:dyDescent="0.25">
      <c r="B90" s="950" t="s">
        <v>851</v>
      </c>
      <c r="C90" s="950"/>
    </row>
    <row r="91" spans="2:3" x14ac:dyDescent="0.25">
      <c r="B91" s="877"/>
    </row>
    <row r="92" spans="2:3" x14ac:dyDescent="0.25">
      <c r="B92" s="876" t="s">
        <v>603</v>
      </c>
      <c r="C92" s="91" t="s">
        <v>604</v>
      </c>
    </row>
    <row r="93" spans="2:3" x14ac:dyDescent="0.25">
      <c r="B93" s="876"/>
    </row>
    <row r="94" spans="2:3" x14ac:dyDescent="0.25">
      <c r="B94" s="876"/>
    </row>
    <row r="95" spans="2:3" x14ac:dyDescent="0.25">
      <c r="B95" s="876" t="s">
        <v>605</v>
      </c>
      <c r="C95" s="91" t="s">
        <v>604</v>
      </c>
    </row>
    <row r="97" spans="1:3" x14ac:dyDescent="0.25">
      <c r="B97" s="876" t="s">
        <v>606</v>
      </c>
      <c r="C97" s="91" t="s">
        <v>604</v>
      </c>
    </row>
    <row r="98" spans="1:3" x14ac:dyDescent="0.25">
      <c r="B98" s="877"/>
    </row>
    <row r="99" spans="1:3" x14ac:dyDescent="0.25">
      <c r="B99" s="871"/>
    </row>
    <row r="100" spans="1:3" ht="35.25" customHeight="1" x14ac:dyDescent="0.25">
      <c r="B100" s="948" t="s">
        <v>607</v>
      </c>
      <c r="C100" s="948"/>
    </row>
    <row r="101" spans="1:3" ht="28.5" customHeight="1" x14ac:dyDescent="0.25">
      <c r="A101" s="878" t="s">
        <v>608</v>
      </c>
      <c r="B101" s="942" t="str">
        <f>_xlfn.CONCAT('Fusion Portfolio'!C9,", ",'Fusion Portfolio'!D9)</f>
        <v xml:space="preserve">, </v>
      </c>
      <c r="C101" s="942"/>
    </row>
    <row r="102" spans="1:3" ht="28.5" customHeight="1" x14ac:dyDescent="0.25">
      <c r="A102" s="878" t="s">
        <v>609</v>
      </c>
      <c r="B102" s="942" t="str">
        <f>_xlfn.CONCAT('Fusion Portfolio'!C10,", ",'Fusion Portfolio'!D10)</f>
        <v xml:space="preserve">, </v>
      </c>
      <c r="C102" s="942"/>
    </row>
    <row r="103" spans="1:3" ht="28.5" customHeight="1" x14ac:dyDescent="0.25">
      <c r="A103" s="878" t="s">
        <v>610</v>
      </c>
      <c r="B103" s="942" t="str">
        <f>_xlfn.CONCAT('Fusion Portfolio'!C11,", ",'Fusion Portfolio'!D11)</f>
        <v xml:space="preserve">, </v>
      </c>
      <c r="C103" s="942"/>
    </row>
    <row r="104" spans="1:3" ht="28.5" customHeight="1" x14ac:dyDescent="0.25">
      <c r="A104" s="878" t="s">
        <v>611</v>
      </c>
      <c r="B104" s="942" t="str">
        <f>_xlfn.CONCAT('Fusion Portfolio'!C12,", ",'Fusion Portfolio'!D12)</f>
        <v xml:space="preserve">, </v>
      </c>
      <c r="C104" s="942"/>
    </row>
    <row r="105" spans="1:3" ht="28.5" customHeight="1" x14ac:dyDescent="0.25">
      <c r="A105" s="878" t="s">
        <v>612</v>
      </c>
      <c r="B105" s="942" t="str">
        <f>_xlfn.CONCAT('Fusion Portfolio'!C13,", ",'Fusion Portfolio'!D13)</f>
        <v xml:space="preserve">, </v>
      </c>
      <c r="C105" s="942"/>
    </row>
    <row r="106" spans="1:3" ht="28.5" customHeight="1" x14ac:dyDescent="0.25">
      <c r="A106" s="878" t="s">
        <v>613</v>
      </c>
      <c r="B106" s="942" t="str">
        <f>_xlfn.CONCAT('Fusion Portfolio'!C14,", ",'Fusion Portfolio'!D14)</f>
        <v xml:space="preserve">, </v>
      </c>
      <c r="C106" s="942"/>
    </row>
    <row r="107" spans="1:3" ht="28.5" customHeight="1" x14ac:dyDescent="0.25">
      <c r="A107" s="878" t="s">
        <v>614</v>
      </c>
      <c r="B107" s="942" t="str">
        <f>_xlfn.CONCAT('Fusion Portfolio'!C15,", ",'Fusion Portfolio'!D15)</f>
        <v xml:space="preserve">, </v>
      </c>
      <c r="C107" s="942"/>
    </row>
    <row r="108" spans="1:3" ht="28.5" customHeight="1" x14ac:dyDescent="0.25">
      <c r="A108" s="878" t="s">
        <v>615</v>
      </c>
      <c r="B108" s="942" t="str">
        <f>_xlfn.CONCAT('Fusion Portfolio'!C16,", ",'Fusion Portfolio'!D16)</f>
        <v xml:space="preserve">, </v>
      </c>
      <c r="C108" s="942"/>
    </row>
    <row r="109" spans="1:3" ht="28.5" customHeight="1" x14ac:dyDescent="0.25">
      <c r="A109" s="878" t="s">
        <v>616</v>
      </c>
      <c r="B109" s="942" t="str">
        <f>_xlfn.CONCAT('Fusion Portfolio'!C17,", ",'Fusion Portfolio'!D17)</f>
        <v xml:space="preserve">, </v>
      </c>
      <c r="C109" s="942"/>
    </row>
    <row r="110" spans="1:3" ht="28.5" customHeight="1" x14ac:dyDescent="0.25">
      <c r="A110" s="878" t="s">
        <v>617</v>
      </c>
      <c r="B110" s="942" t="str">
        <f>_xlfn.CONCAT('Fusion Portfolio'!C18,", ",'Fusion Portfolio'!D18)</f>
        <v xml:space="preserve">, </v>
      </c>
      <c r="C110" s="942"/>
    </row>
    <row r="111" spans="1:3" ht="28.5" customHeight="1" x14ac:dyDescent="0.25">
      <c r="A111" s="878" t="s">
        <v>618</v>
      </c>
      <c r="B111" s="942" t="str">
        <f>_xlfn.CONCAT('Fusion Portfolio'!C19,", ",'Fusion Portfolio'!D19)</f>
        <v xml:space="preserve">, </v>
      </c>
      <c r="C111" s="942"/>
    </row>
    <row r="112" spans="1:3" ht="28.5" customHeight="1" x14ac:dyDescent="0.25">
      <c r="A112" s="878" t="s">
        <v>619</v>
      </c>
      <c r="B112" s="942" t="str">
        <f>_xlfn.CONCAT('Fusion Portfolio'!C20,", ",'Fusion Portfolio'!D20)</f>
        <v xml:space="preserve">, </v>
      </c>
      <c r="C112" s="942"/>
    </row>
    <row r="113" spans="1:3" ht="28.5" customHeight="1" x14ac:dyDescent="0.25">
      <c r="A113" s="878" t="s">
        <v>620</v>
      </c>
      <c r="B113" s="942" t="str">
        <f>_xlfn.CONCAT('Fusion Portfolio'!C21,", ",'Fusion Portfolio'!D21)</f>
        <v xml:space="preserve">, </v>
      </c>
      <c r="C113" s="942"/>
    </row>
    <row r="114" spans="1:3" ht="28.5" customHeight="1" x14ac:dyDescent="0.25">
      <c r="A114" s="878" t="s">
        <v>621</v>
      </c>
      <c r="B114" s="942" t="str">
        <f>_xlfn.CONCAT('Fusion Portfolio'!C22,", ",'Fusion Portfolio'!D22)</f>
        <v xml:space="preserve">, </v>
      </c>
      <c r="C114" s="942"/>
    </row>
    <row r="115" spans="1:3" ht="28.5" customHeight="1" x14ac:dyDescent="0.25">
      <c r="A115" s="878" t="s">
        <v>622</v>
      </c>
      <c r="B115" s="942" t="str">
        <f>_xlfn.CONCAT('Fusion Portfolio'!C23,", ",'Fusion Portfolio'!D23)</f>
        <v xml:space="preserve">, </v>
      </c>
      <c r="C115" s="942"/>
    </row>
    <row r="116" spans="1:3" ht="28.5" customHeight="1" x14ac:dyDescent="0.25">
      <c r="A116" s="878" t="s">
        <v>623</v>
      </c>
      <c r="B116" s="942" t="str">
        <f>_xlfn.CONCAT('Fusion Portfolio'!C24,", ",'Fusion Portfolio'!D24)</f>
        <v xml:space="preserve">, </v>
      </c>
      <c r="C116" s="942"/>
    </row>
    <row r="117" spans="1:3" ht="28.5" customHeight="1" x14ac:dyDescent="0.25">
      <c r="A117" s="878" t="s">
        <v>624</v>
      </c>
      <c r="B117" s="942" t="str">
        <f>_xlfn.CONCAT('Fusion Portfolio'!C25,", ",'Fusion Portfolio'!D25)</f>
        <v xml:space="preserve">, </v>
      </c>
      <c r="C117" s="942"/>
    </row>
    <row r="118" spans="1:3" ht="28.5" customHeight="1" x14ac:dyDescent="0.25">
      <c r="A118" s="878" t="s">
        <v>625</v>
      </c>
      <c r="B118" s="942" t="str">
        <f>_xlfn.CONCAT('Fusion Portfolio'!C26,", ",'Fusion Portfolio'!D26)</f>
        <v xml:space="preserve">, </v>
      </c>
      <c r="C118" s="942"/>
    </row>
    <row r="119" spans="1:3" ht="28.5" customHeight="1" x14ac:dyDescent="0.25">
      <c r="A119" s="878" t="s">
        <v>626</v>
      </c>
      <c r="B119" s="942" t="str">
        <f>_xlfn.CONCAT('Fusion Portfolio'!C27,", ",'Fusion Portfolio'!D27)</f>
        <v xml:space="preserve">, </v>
      </c>
      <c r="C119" s="942"/>
    </row>
    <row r="120" spans="1:3" ht="28.5" customHeight="1" x14ac:dyDescent="0.25">
      <c r="A120" s="878" t="s">
        <v>627</v>
      </c>
      <c r="B120" s="942" t="str">
        <f>_xlfn.CONCAT('Fusion Portfolio'!C28,", ",'Fusion Portfolio'!D28)</f>
        <v xml:space="preserve">, </v>
      </c>
      <c r="C120" s="942"/>
    </row>
    <row r="121" spans="1:3" ht="28.5" customHeight="1" x14ac:dyDescent="0.25">
      <c r="A121" s="878" t="s">
        <v>628</v>
      </c>
      <c r="B121" s="942" t="str">
        <f>_xlfn.CONCAT('Fusion Portfolio'!C29,", ",'Fusion Portfolio'!D29)</f>
        <v xml:space="preserve">, </v>
      </c>
      <c r="C121" s="942"/>
    </row>
    <row r="122" spans="1:3" ht="28.5" customHeight="1" x14ac:dyDescent="0.25">
      <c r="A122" s="878" t="s">
        <v>629</v>
      </c>
      <c r="B122" s="942" t="str">
        <f>_xlfn.CONCAT('Fusion Portfolio'!C30,", ",'Fusion Portfolio'!D30)</f>
        <v xml:space="preserve">, </v>
      </c>
      <c r="C122" s="942"/>
    </row>
    <row r="123" spans="1:3" ht="28.5" customHeight="1" x14ac:dyDescent="0.25">
      <c r="A123" s="878" t="s">
        <v>630</v>
      </c>
      <c r="B123" s="942" t="str">
        <f>_xlfn.CONCAT('Fusion Portfolio'!C31,", ",'Fusion Portfolio'!D31)</f>
        <v xml:space="preserve">, </v>
      </c>
      <c r="C123" s="942"/>
    </row>
    <row r="124" spans="1:3" ht="28.5" customHeight="1" x14ac:dyDescent="0.25">
      <c r="A124" s="878" t="s">
        <v>631</v>
      </c>
      <c r="B124" s="942" t="str">
        <f>_xlfn.CONCAT('Fusion Portfolio'!C32,", ",'Fusion Portfolio'!D32)</f>
        <v xml:space="preserve">, </v>
      </c>
      <c r="C124" s="942"/>
    </row>
    <row r="125" spans="1:3" ht="28.5" customHeight="1" x14ac:dyDescent="0.25">
      <c r="A125" s="878" t="s">
        <v>632</v>
      </c>
      <c r="B125" s="942" t="str">
        <f>_xlfn.CONCAT('Fusion Portfolio'!C33,", ",'Fusion Portfolio'!D33)</f>
        <v xml:space="preserve">, </v>
      </c>
      <c r="C125" s="942"/>
    </row>
    <row r="126" spans="1:3" ht="28.5" customHeight="1" x14ac:dyDescent="0.25">
      <c r="A126" s="878" t="s">
        <v>633</v>
      </c>
      <c r="B126" s="942" t="str">
        <f>_xlfn.CONCAT('Fusion Portfolio'!C34,", ",'Fusion Portfolio'!D34)</f>
        <v xml:space="preserve">, </v>
      </c>
      <c r="C126" s="942"/>
    </row>
    <row r="127" spans="1:3" ht="28.5" customHeight="1" x14ac:dyDescent="0.25">
      <c r="A127" s="878" t="s">
        <v>634</v>
      </c>
      <c r="B127" s="942" t="str">
        <f>_xlfn.CONCAT('Fusion Portfolio'!C35,", ",'Fusion Portfolio'!D35)</f>
        <v xml:space="preserve">, </v>
      </c>
      <c r="C127" s="942"/>
    </row>
    <row r="128" spans="1:3" ht="28.5" customHeight="1" x14ac:dyDescent="0.25">
      <c r="A128" s="878" t="s">
        <v>635</v>
      </c>
      <c r="B128" s="942" t="str">
        <f>_xlfn.CONCAT('Fusion Portfolio'!C36,", ",'Fusion Portfolio'!D36)</f>
        <v xml:space="preserve">, </v>
      </c>
      <c r="C128" s="942"/>
    </row>
    <row r="129" spans="1:3" ht="28.5" customHeight="1" x14ac:dyDescent="0.25">
      <c r="A129" s="878" t="s">
        <v>636</v>
      </c>
      <c r="B129" s="942" t="str">
        <f>_xlfn.CONCAT('Fusion Portfolio'!C37,", ",'Fusion Portfolio'!D37)</f>
        <v xml:space="preserve">, </v>
      </c>
      <c r="C129" s="942"/>
    </row>
    <row r="130" spans="1:3" ht="28.5" customHeight="1" x14ac:dyDescent="0.25">
      <c r="A130" s="878" t="s">
        <v>637</v>
      </c>
      <c r="B130" s="942" t="str">
        <f>_xlfn.CONCAT('Fusion Portfolio'!C38,", ",'Fusion Portfolio'!D38)</f>
        <v xml:space="preserve">, </v>
      </c>
      <c r="C130" s="942"/>
    </row>
    <row r="131" spans="1:3" ht="28.5" customHeight="1" x14ac:dyDescent="0.25">
      <c r="A131" s="878" t="s">
        <v>638</v>
      </c>
      <c r="B131" s="942" t="str">
        <f>_xlfn.CONCAT('Fusion Portfolio'!C39,", ",'Fusion Portfolio'!D39)</f>
        <v xml:space="preserve">, </v>
      </c>
      <c r="C131" s="942"/>
    </row>
    <row r="132" spans="1:3" ht="28.5" customHeight="1" x14ac:dyDescent="0.25">
      <c r="A132" s="878" t="s">
        <v>639</v>
      </c>
      <c r="B132" s="942" t="str">
        <f>_xlfn.CONCAT('Fusion Portfolio'!C40,", ",'Fusion Portfolio'!D40)</f>
        <v xml:space="preserve">, </v>
      </c>
      <c r="C132" s="942"/>
    </row>
    <row r="133" spans="1:3" ht="28.5" customHeight="1" x14ac:dyDescent="0.25">
      <c r="A133" s="878" t="s">
        <v>640</v>
      </c>
      <c r="B133" s="942" t="str">
        <f>_xlfn.CONCAT('Fusion Portfolio'!C41,", ",'Fusion Portfolio'!D41)</f>
        <v xml:space="preserve">, </v>
      </c>
      <c r="C133" s="942"/>
    </row>
    <row r="134" spans="1:3" ht="28.5" customHeight="1" x14ac:dyDescent="0.25">
      <c r="A134" s="878" t="s">
        <v>641</v>
      </c>
      <c r="B134" s="942" t="str">
        <f>_xlfn.CONCAT('Fusion Portfolio'!C42,", ",'Fusion Portfolio'!D42)</f>
        <v xml:space="preserve">, </v>
      </c>
      <c r="C134" s="942"/>
    </row>
    <row r="135" spans="1:3" ht="28.5" customHeight="1" x14ac:dyDescent="0.25">
      <c r="A135" s="878" t="s">
        <v>642</v>
      </c>
      <c r="B135" s="942" t="str">
        <f>_xlfn.CONCAT('Fusion Portfolio'!C43,", ",'Fusion Portfolio'!D43)</f>
        <v xml:space="preserve">, </v>
      </c>
      <c r="C135" s="942"/>
    </row>
    <row r="136" spans="1:3" ht="28.5" customHeight="1" x14ac:dyDescent="0.25">
      <c r="A136" s="878" t="s">
        <v>643</v>
      </c>
      <c r="B136" s="942" t="str">
        <f>_xlfn.CONCAT('Fusion Portfolio'!C44,", ",'Fusion Portfolio'!D44)</f>
        <v xml:space="preserve">, </v>
      </c>
      <c r="C136" s="942"/>
    </row>
    <row r="137" spans="1:3" ht="28.5" customHeight="1" x14ac:dyDescent="0.25">
      <c r="A137" s="878" t="s">
        <v>644</v>
      </c>
      <c r="B137" s="942" t="str">
        <f>_xlfn.CONCAT('Fusion Portfolio'!C45,", ",'Fusion Portfolio'!D45)</f>
        <v xml:space="preserve">, </v>
      </c>
      <c r="C137" s="942"/>
    </row>
    <row r="138" spans="1:3" ht="28.5" customHeight="1" x14ac:dyDescent="0.25">
      <c r="A138" s="878" t="s">
        <v>645</v>
      </c>
      <c r="B138" s="942" t="str">
        <f>_xlfn.CONCAT('Fusion Portfolio'!C46,", ",'Fusion Portfolio'!D46)</f>
        <v xml:space="preserve">, </v>
      </c>
      <c r="C138" s="942"/>
    </row>
    <row r="139" spans="1:3" ht="28.5" customHeight="1" x14ac:dyDescent="0.25">
      <c r="A139" s="878" t="s">
        <v>646</v>
      </c>
      <c r="B139" s="942" t="str">
        <f>_xlfn.CONCAT('Fusion Portfolio'!C47,", ",'Fusion Portfolio'!D47)</f>
        <v xml:space="preserve">, </v>
      </c>
      <c r="C139" s="942"/>
    </row>
    <row r="140" spans="1:3" ht="28.5" customHeight="1" x14ac:dyDescent="0.25">
      <c r="A140" s="878" t="s">
        <v>647</v>
      </c>
      <c r="B140" s="942" t="str">
        <f>_xlfn.CONCAT('Fusion Portfolio'!C48,", ",'Fusion Portfolio'!D48)</f>
        <v xml:space="preserve">, </v>
      </c>
      <c r="C140" s="942"/>
    </row>
    <row r="141" spans="1:3" ht="28.5" customHeight="1" x14ac:dyDescent="0.25">
      <c r="A141" s="878" t="s">
        <v>648</v>
      </c>
      <c r="B141" s="942" t="str">
        <f>_xlfn.CONCAT('Fusion Portfolio'!C49,", ",'Fusion Portfolio'!D49)</f>
        <v xml:space="preserve">, </v>
      </c>
      <c r="C141" s="942"/>
    </row>
    <row r="142" spans="1:3" ht="28.5" customHeight="1" x14ac:dyDescent="0.25">
      <c r="A142" s="878" t="s">
        <v>649</v>
      </c>
      <c r="B142" s="942" t="str">
        <f>_xlfn.CONCAT('Fusion Portfolio'!C50,", ",'Fusion Portfolio'!D50)</f>
        <v xml:space="preserve">, </v>
      </c>
      <c r="C142" s="942"/>
    </row>
    <row r="143" spans="1:3" ht="28.5" customHeight="1" x14ac:dyDescent="0.25">
      <c r="A143" s="878" t="s">
        <v>650</v>
      </c>
      <c r="B143" s="942" t="str">
        <f>_xlfn.CONCAT('Fusion Portfolio'!C51,", ",'Fusion Portfolio'!D51)</f>
        <v xml:space="preserve">, </v>
      </c>
      <c r="C143" s="942"/>
    </row>
    <row r="144" spans="1:3" ht="28.5" customHeight="1" x14ac:dyDescent="0.25">
      <c r="A144" s="878" t="s">
        <v>651</v>
      </c>
      <c r="B144" s="942" t="str">
        <f>_xlfn.CONCAT('Fusion Portfolio'!C52,", ",'Fusion Portfolio'!D52)</f>
        <v xml:space="preserve">, </v>
      </c>
      <c r="C144" s="942"/>
    </row>
    <row r="145" spans="1:3" ht="28.5" customHeight="1" x14ac:dyDescent="0.25">
      <c r="A145" s="878" t="s">
        <v>652</v>
      </c>
      <c r="B145" s="942" t="str">
        <f>_xlfn.CONCAT('Fusion Portfolio'!C53,", ",'Fusion Portfolio'!D53)</f>
        <v xml:space="preserve">, </v>
      </c>
      <c r="C145" s="942"/>
    </row>
    <row r="146" spans="1:3" ht="28.5" customHeight="1" x14ac:dyDescent="0.25">
      <c r="A146" s="878" t="s">
        <v>653</v>
      </c>
      <c r="B146" s="942" t="str">
        <f>_xlfn.CONCAT('Fusion Portfolio'!C54,", ",'Fusion Portfolio'!D54)</f>
        <v xml:space="preserve">, </v>
      </c>
      <c r="C146" s="942"/>
    </row>
    <row r="147" spans="1:3" ht="28.5" customHeight="1" x14ac:dyDescent="0.25">
      <c r="A147" s="878" t="s">
        <v>654</v>
      </c>
      <c r="B147" s="942" t="str">
        <f>_xlfn.CONCAT('Fusion Portfolio'!C55,", ",'Fusion Portfolio'!D55)</f>
        <v xml:space="preserve">, </v>
      </c>
      <c r="C147" s="942"/>
    </row>
    <row r="148" spans="1:3" ht="28.5" customHeight="1" x14ac:dyDescent="0.25">
      <c r="A148" s="878" t="s">
        <v>655</v>
      </c>
      <c r="B148" s="942" t="str">
        <f>_xlfn.CONCAT('Fusion Portfolio'!C56,", ",'Fusion Portfolio'!D56)</f>
        <v xml:space="preserve">, </v>
      </c>
      <c r="C148" s="942"/>
    </row>
    <row r="149" spans="1:3" ht="28.5" customHeight="1" x14ac:dyDescent="0.25">
      <c r="A149" s="878" t="s">
        <v>656</v>
      </c>
      <c r="B149" s="942" t="str">
        <f>_xlfn.CONCAT('Fusion Portfolio'!C57,", ",'Fusion Portfolio'!D57)</f>
        <v xml:space="preserve">, </v>
      </c>
      <c r="C149" s="942"/>
    </row>
    <row r="150" spans="1:3" ht="28.5" customHeight="1" x14ac:dyDescent="0.25">
      <c r="A150" s="878" t="s">
        <v>657</v>
      </c>
      <c r="B150" s="942" t="str">
        <f>_xlfn.CONCAT('Fusion Portfolio'!C58,", ",'Fusion Portfolio'!D58)</f>
        <v xml:space="preserve">, </v>
      </c>
      <c r="C150" s="942"/>
    </row>
    <row r="151" spans="1:3" ht="28.5" customHeight="1" x14ac:dyDescent="0.25">
      <c r="A151" s="878" t="s">
        <v>658</v>
      </c>
      <c r="B151" s="942" t="str">
        <f>_xlfn.CONCAT('Fusion Portfolio'!C59,", ",'Fusion Portfolio'!D59)</f>
        <v xml:space="preserve">, </v>
      </c>
      <c r="C151" s="942"/>
    </row>
    <row r="152" spans="1:3" ht="28.5" customHeight="1" x14ac:dyDescent="0.25">
      <c r="A152" s="878" t="s">
        <v>659</v>
      </c>
      <c r="B152" s="942" t="str">
        <f>_xlfn.CONCAT('Fusion Portfolio'!C60,", ",'Fusion Portfolio'!D60)</f>
        <v xml:space="preserve">, </v>
      </c>
      <c r="C152" s="942"/>
    </row>
    <row r="153" spans="1:3" ht="28.5" customHeight="1" x14ac:dyDescent="0.25">
      <c r="A153" s="878" t="s">
        <v>660</v>
      </c>
      <c r="B153" s="942" t="str">
        <f>_xlfn.CONCAT('Fusion Portfolio'!C61,", ",'Fusion Portfolio'!D61)</f>
        <v xml:space="preserve">, </v>
      </c>
      <c r="C153" s="942"/>
    </row>
    <row r="154" spans="1:3" ht="28.5" customHeight="1" x14ac:dyDescent="0.25">
      <c r="A154" s="878" t="s">
        <v>661</v>
      </c>
      <c r="B154" s="942" t="str">
        <f>_xlfn.CONCAT('Fusion Portfolio'!C62,", ",'Fusion Portfolio'!D62)</f>
        <v xml:space="preserve">, </v>
      </c>
      <c r="C154" s="942"/>
    </row>
    <row r="155" spans="1:3" ht="28.5" customHeight="1" x14ac:dyDescent="0.25">
      <c r="A155" s="878" t="s">
        <v>662</v>
      </c>
      <c r="B155" s="942" t="str">
        <f>_xlfn.CONCAT('Fusion Portfolio'!C63,", ",'Fusion Portfolio'!D63)</f>
        <v xml:space="preserve">, </v>
      </c>
      <c r="C155" s="942"/>
    </row>
    <row r="156" spans="1:3" ht="28.5" customHeight="1" x14ac:dyDescent="0.25">
      <c r="A156" s="878" t="s">
        <v>663</v>
      </c>
      <c r="B156" s="942" t="str">
        <f>_xlfn.CONCAT('Fusion Portfolio'!C64,", ",'Fusion Portfolio'!D64)</f>
        <v xml:space="preserve">, </v>
      </c>
      <c r="C156" s="942"/>
    </row>
    <row r="157" spans="1:3" ht="28.5" customHeight="1" x14ac:dyDescent="0.25">
      <c r="A157" s="878" t="s">
        <v>664</v>
      </c>
      <c r="B157" s="942" t="str">
        <f>_xlfn.CONCAT('Fusion Portfolio'!C65,", ",'Fusion Portfolio'!D65)</f>
        <v xml:space="preserve">, </v>
      </c>
      <c r="C157" s="942"/>
    </row>
    <row r="158" spans="1:3" ht="28.5" customHeight="1" x14ac:dyDescent="0.25">
      <c r="A158" s="878" t="s">
        <v>665</v>
      </c>
      <c r="B158" s="942" t="str">
        <f>_xlfn.CONCAT('Fusion Portfolio'!C66,", ",'Fusion Portfolio'!D66)</f>
        <v xml:space="preserve">, </v>
      </c>
      <c r="C158" s="942"/>
    </row>
    <row r="159" spans="1:3" ht="28.5" customHeight="1" x14ac:dyDescent="0.25">
      <c r="A159" s="878" t="s">
        <v>666</v>
      </c>
      <c r="B159" s="942" t="str">
        <f>_xlfn.CONCAT('Fusion Portfolio'!C67,", ",'Fusion Portfolio'!D67)</f>
        <v xml:space="preserve">, </v>
      </c>
      <c r="C159" s="942"/>
    </row>
    <row r="160" spans="1:3" ht="28.5" customHeight="1" x14ac:dyDescent="0.25">
      <c r="A160" s="878" t="s">
        <v>667</v>
      </c>
      <c r="B160" s="942" t="str">
        <f>_xlfn.CONCAT('Fusion Portfolio'!C68,", ",'Fusion Portfolio'!D68)</f>
        <v xml:space="preserve">, </v>
      </c>
      <c r="C160" s="942"/>
    </row>
    <row r="161" spans="1:3" ht="28.5" customHeight="1" x14ac:dyDescent="0.25">
      <c r="A161" s="878" t="s">
        <v>668</v>
      </c>
      <c r="B161" s="942" t="str">
        <f>_xlfn.CONCAT('Fusion Portfolio'!C69,", ",'Fusion Portfolio'!D69)</f>
        <v xml:space="preserve">, </v>
      </c>
      <c r="C161" s="942"/>
    </row>
    <row r="162" spans="1:3" ht="28.5" customHeight="1" x14ac:dyDescent="0.25">
      <c r="A162" s="878" t="s">
        <v>669</v>
      </c>
      <c r="B162" s="942" t="str">
        <f>_xlfn.CONCAT('Fusion Portfolio'!C70,", ",'Fusion Portfolio'!D70)</f>
        <v xml:space="preserve">, </v>
      </c>
      <c r="C162" s="942"/>
    </row>
    <row r="163" spans="1:3" ht="28.5" customHeight="1" x14ac:dyDescent="0.25">
      <c r="A163" s="878" t="s">
        <v>670</v>
      </c>
      <c r="B163" s="942" t="str">
        <f>_xlfn.CONCAT('Fusion Portfolio'!C71,", ",'Fusion Portfolio'!D71)</f>
        <v xml:space="preserve">, </v>
      </c>
      <c r="C163" s="942"/>
    </row>
    <row r="164" spans="1:3" ht="28.5" customHeight="1" x14ac:dyDescent="0.25">
      <c r="A164" s="878" t="s">
        <v>671</v>
      </c>
      <c r="B164" s="942" t="str">
        <f>_xlfn.CONCAT('Fusion Portfolio'!C72,", ",'Fusion Portfolio'!D72)</f>
        <v xml:space="preserve">, </v>
      </c>
      <c r="C164" s="942"/>
    </row>
    <row r="165" spans="1:3" ht="28.5" customHeight="1" x14ac:dyDescent="0.25">
      <c r="A165" s="878" t="s">
        <v>672</v>
      </c>
      <c r="B165" s="942" t="str">
        <f>_xlfn.CONCAT('Fusion Portfolio'!C73,", ",'Fusion Portfolio'!D73)</f>
        <v xml:space="preserve">, </v>
      </c>
      <c r="C165" s="942"/>
    </row>
    <row r="166" spans="1:3" ht="28.5" customHeight="1" x14ac:dyDescent="0.25">
      <c r="A166" s="878" t="s">
        <v>673</v>
      </c>
      <c r="B166" s="942" t="str">
        <f>_xlfn.CONCAT('Fusion Portfolio'!C74,", ",'Fusion Portfolio'!D74)</f>
        <v xml:space="preserve">, </v>
      </c>
      <c r="C166" s="942"/>
    </row>
    <row r="167" spans="1:3" ht="28.5" customHeight="1" x14ac:dyDescent="0.25">
      <c r="A167" s="878" t="s">
        <v>674</v>
      </c>
      <c r="B167" s="942" t="str">
        <f>_xlfn.CONCAT('Fusion Portfolio'!C75,", ",'Fusion Portfolio'!D75)</f>
        <v xml:space="preserve">, </v>
      </c>
      <c r="C167" s="942"/>
    </row>
    <row r="168" spans="1:3" ht="28.5" customHeight="1" x14ac:dyDescent="0.25">
      <c r="A168" s="878" t="s">
        <v>675</v>
      </c>
      <c r="B168" s="942" t="str">
        <f>_xlfn.CONCAT('Fusion Portfolio'!C76,", ",'Fusion Portfolio'!D76)</f>
        <v xml:space="preserve">, </v>
      </c>
      <c r="C168" s="942"/>
    </row>
    <row r="169" spans="1:3" ht="28.5" customHeight="1" x14ac:dyDescent="0.25">
      <c r="A169" s="878" t="s">
        <v>676</v>
      </c>
      <c r="B169" s="942" t="str">
        <f>_xlfn.CONCAT('Fusion Portfolio'!C77,", ",'Fusion Portfolio'!D77)</f>
        <v xml:space="preserve">, </v>
      </c>
      <c r="C169" s="942"/>
    </row>
    <row r="170" spans="1:3" ht="28.5" customHeight="1" x14ac:dyDescent="0.25">
      <c r="A170" s="878" t="s">
        <v>677</v>
      </c>
      <c r="B170" s="942" t="str">
        <f>_xlfn.CONCAT('Fusion Portfolio'!C78,", ",'Fusion Portfolio'!D78)</f>
        <v xml:space="preserve">, </v>
      </c>
      <c r="C170" s="942"/>
    </row>
    <row r="171" spans="1:3" ht="28.5" customHeight="1" x14ac:dyDescent="0.25">
      <c r="A171" s="878" t="s">
        <v>678</v>
      </c>
      <c r="B171" s="942" t="str">
        <f>_xlfn.CONCAT('Fusion Portfolio'!C79,", ",'Fusion Portfolio'!D79)</f>
        <v xml:space="preserve">, </v>
      </c>
      <c r="C171" s="942"/>
    </row>
    <row r="172" spans="1:3" ht="28.5" customHeight="1" x14ac:dyDescent="0.25">
      <c r="A172" s="878" t="s">
        <v>679</v>
      </c>
      <c r="B172" s="942" t="str">
        <f>_xlfn.CONCAT('Fusion Portfolio'!C80,", ",'Fusion Portfolio'!D80)</f>
        <v xml:space="preserve">, </v>
      </c>
      <c r="C172" s="942"/>
    </row>
    <row r="173" spans="1:3" ht="28.5" customHeight="1" x14ac:dyDescent="0.25">
      <c r="A173" s="878" t="s">
        <v>680</v>
      </c>
      <c r="B173" s="942" t="str">
        <f>_xlfn.CONCAT('Fusion Portfolio'!C81,", ",'Fusion Portfolio'!D81)</f>
        <v xml:space="preserve">, </v>
      </c>
      <c r="C173" s="942"/>
    </row>
    <row r="174" spans="1:3" ht="28.5" customHeight="1" x14ac:dyDescent="0.25">
      <c r="A174" s="878" t="s">
        <v>681</v>
      </c>
      <c r="B174" s="942" t="str">
        <f>_xlfn.CONCAT('Fusion Portfolio'!C82,", ",'Fusion Portfolio'!D82)</f>
        <v xml:space="preserve">, </v>
      </c>
      <c r="C174" s="942"/>
    </row>
    <row r="175" spans="1:3" ht="28.5" customHeight="1" x14ac:dyDescent="0.25">
      <c r="A175" s="878" t="s">
        <v>682</v>
      </c>
      <c r="B175" s="942" t="str">
        <f>_xlfn.CONCAT('Fusion Portfolio'!C83,", ",'Fusion Portfolio'!D83)</f>
        <v xml:space="preserve">, </v>
      </c>
      <c r="C175" s="942"/>
    </row>
    <row r="176" spans="1:3" ht="28.5" customHeight="1" x14ac:dyDescent="0.25">
      <c r="A176" s="878" t="s">
        <v>683</v>
      </c>
      <c r="B176" s="942" t="str">
        <f>_xlfn.CONCAT('Fusion Portfolio'!C84,", ",'Fusion Portfolio'!D84)</f>
        <v xml:space="preserve">, </v>
      </c>
      <c r="C176" s="942"/>
    </row>
    <row r="177" spans="1:3" ht="28.5" customHeight="1" x14ac:dyDescent="0.25">
      <c r="A177" s="878" t="s">
        <v>684</v>
      </c>
      <c r="B177" s="942" t="str">
        <f>_xlfn.CONCAT('Fusion Portfolio'!C85,", ",'Fusion Portfolio'!D85)</f>
        <v xml:space="preserve">, </v>
      </c>
      <c r="C177" s="942"/>
    </row>
    <row r="178" spans="1:3" ht="28.5" customHeight="1" x14ac:dyDescent="0.25">
      <c r="A178" s="878" t="s">
        <v>685</v>
      </c>
      <c r="B178" s="942" t="str">
        <f>_xlfn.CONCAT('Fusion Portfolio'!C86,", ",'Fusion Portfolio'!D86)</f>
        <v xml:space="preserve">, </v>
      </c>
      <c r="C178" s="942"/>
    </row>
    <row r="179" spans="1:3" ht="28.5" customHeight="1" x14ac:dyDescent="0.25">
      <c r="A179" s="878" t="s">
        <v>686</v>
      </c>
      <c r="B179" s="942" t="str">
        <f>_xlfn.CONCAT('Fusion Portfolio'!C87,", ",'Fusion Portfolio'!D87)</f>
        <v xml:space="preserve">, </v>
      </c>
      <c r="C179" s="942"/>
    </row>
    <row r="180" spans="1:3" ht="28.5" customHeight="1" x14ac:dyDescent="0.25">
      <c r="A180" s="878" t="s">
        <v>687</v>
      </c>
      <c r="B180" s="942" t="str">
        <f>_xlfn.CONCAT('Fusion Portfolio'!C88,", ",'Fusion Portfolio'!D88)</f>
        <v xml:space="preserve">, </v>
      </c>
      <c r="C180" s="942"/>
    </row>
    <row r="181" spans="1:3" ht="28.5" customHeight="1" x14ac:dyDescent="0.25">
      <c r="A181" s="878" t="s">
        <v>688</v>
      </c>
      <c r="B181" s="942" t="str">
        <f>_xlfn.CONCAT('Fusion Portfolio'!C89,", ",'Fusion Portfolio'!D89)</f>
        <v xml:space="preserve">, </v>
      </c>
      <c r="C181" s="942"/>
    </row>
    <row r="182" spans="1:3" ht="28.5" customHeight="1" x14ac:dyDescent="0.25">
      <c r="A182" s="878" t="s">
        <v>689</v>
      </c>
      <c r="B182" s="942" t="str">
        <f>_xlfn.CONCAT('Fusion Portfolio'!C90,", ",'Fusion Portfolio'!D90)</f>
        <v xml:space="preserve">, </v>
      </c>
      <c r="C182" s="942"/>
    </row>
    <row r="183" spans="1:3" ht="28.5" customHeight="1" x14ac:dyDescent="0.25">
      <c r="A183" s="878" t="s">
        <v>690</v>
      </c>
      <c r="B183" s="942" t="str">
        <f>_xlfn.CONCAT('Fusion Portfolio'!C91,", ",'Fusion Portfolio'!D91)</f>
        <v xml:space="preserve">, </v>
      </c>
      <c r="C183" s="942"/>
    </row>
    <row r="184" spans="1:3" ht="28.5" customHeight="1" x14ac:dyDescent="0.25">
      <c r="A184" s="878" t="s">
        <v>691</v>
      </c>
      <c r="B184" s="942" t="str">
        <f>_xlfn.CONCAT('Fusion Portfolio'!C92,", ",'Fusion Portfolio'!D92)</f>
        <v xml:space="preserve">, </v>
      </c>
      <c r="C184" s="942"/>
    </row>
    <row r="185" spans="1:3" ht="28.5" customHeight="1" x14ac:dyDescent="0.25">
      <c r="A185" s="878" t="s">
        <v>692</v>
      </c>
      <c r="B185" s="942" t="str">
        <f>_xlfn.CONCAT('Fusion Portfolio'!C93,", ",'Fusion Portfolio'!D93)</f>
        <v xml:space="preserve">, </v>
      </c>
      <c r="C185" s="942"/>
    </row>
    <row r="186" spans="1:3" ht="28.5" customHeight="1" x14ac:dyDescent="0.25">
      <c r="A186" s="878" t="s">
        <v>693</v>
      </c>
      <c r="B186" s="942" t="str">
        <f>_xlfn.CONCAT('Fusion Portfolio'!C94,", ",'Fusion Portfolio'!D94)</f>
        <v xml:space="preserve">, </v>
      </c>
      <c r="C186" s="942"/>
    </row>
    <row r="187" spans="1:3" ht="28.5" customHeight="1" x14ac:dyDescent="0.25">
      <c r="A187" s="878" t="s">
        <v>694</v>
      </c>
      <c r="B187" s="942" t="str">
        <f>_xlfn.CONCAT('Fusion Portfolio'!C95,", ",'Fusion Portfolio'!D95)</f>
        <v xml:space="preserve">, </v>
      </c>
      <c r="C187" s="942"/>
    </row>
    <row r="188" spans="1:3" ht="28.5" customHeight="1" x14ac:dyDescent="0.25">
      <c r="A188" s="878" t="s">
        <v>695</v>
      </c>
      <c r="B188" s="942" t="str">
        <f>_xlfn.CONCAT('Fusion Portfolio'!C96,", ",'Fusion Portfolio'!D96)</f>
        <v xml:space="preserve">, </v>
      </c>
      <c r="C188" s="942"/>
    </row>
    <row r="189" spans="1:3" ht="28.5" customHeight="1" x14ac:dyDescent="0.25">
      <c r="A189" s="878" t="s">
        <v>696</v>
      </c>
      <c r="B189" s="942" t="str">
        <f>_xlfn.CONCAT('Fusion Portfolio'!C97,", ",'Fusion Portfolio'!D97)</f>
        <v xml:space="preserve">, </v>
      </c>
      <c r="C189" s="942"/>
    </row>
    <row r="190" spans="1:3" ht="28.5" customHeight="1" x14ac:dyDescent="0.25">
      <c r="A190" s="878" t="s">
        <v>697</v>
      </c>
      <c r="B190" s="942" t="str">
        <f>_xlfn.CONCAT('Fusion Portfolio'!C98,", ",'Fusion Portfolio'!D98)</f>
        <v xml:space="preserve">, </v>
      </c>
      <c r="C190" s="942"/>
    </row>
    <row r="191" spans="1:3" ht="28.5" customHeight="1" x14ac:dyDescent="0.25">
      <c r="A191" s="878" t="s">
        <v>698</v>
      </c>
      <c r="B191" s="942" t="str">
        <f>_xlfn.CONCAT('Fusion Portfolio'!C99,", ",'Fusion Portfolio'!D99)</f>
        <v xml:space="preserve">, </v>
      </c>
      <c r="C191" s="942"/>
    </row>
    <row r="192" spans="1:3" ht="28.5" customHeight="1" x14ac:dyDescent="0.25">
      <c r="A192" s="878" t="s">
        <v>699</v>
      </c>
      <c r="B192" s="942" t="str">
        <f>_xlfn.CONCAT('Fusion Portfolio'!C100,", ",'Fusion Portfolio'!D100)</f>
        <v xml:space="preserve">, </v>
      </c>
      <c r="C192" s="942"/>
    </row>
    <row r="193" spans="1:3" ht="28.5" customHeight="1" x14ac:dyDescent="0.25">
      <c r="A193" s="878" t="s">
        <v>700</v>
      </c>
      <c r="B193" s="942" t="str">
        <f>_xlfn.CONCAT('Fusion Portfolio'!C101,", ",'Fusion Portfolio'!D101)</f>
        <v xml:space="preserve">, </v>
      </c>
      <c r="C193" s="942"/>
    </row>
    <row r="194" spans="1:3" ht="28.5" customHeight="1" x14ac:dyDescent="0.25">
      <c r="A194" s="878" t="s">
        <v>701</v>
      </c>
      <c r="B194" s="942" t="str">
        <f>_xlfn.CONCAT('Fusion Portfolio'!C102,", ",'Fusion Portfolio'!D102)</f>
        <v xml:space="preserve">, </v>
      </c>
      <c r="C194" s="942"/>
    </row>
    <row r="195" spans="1:3" ht="28.5" customHeight="1" x14ac:dyDescent="0.25">
      <c r="A195" s="878" t="s">
        <v>702</v>
      </c>
      <c r="B195" s="942" t="str">
        <f>_xlfn.CONCAT('Fusion Portfolio'!C103,", ",'Fusion Portfolio'!D103)</f>
        <v xml:space="preserve">, </v>
      </c>
      <c r="C195" s="942"/>
    </row>
    <row r="196" spans="1:3" ht="28.5" customHeight="1" x14ac:dyDescent="0.25">
      <c r="A196" s="878" t="s">
        <v>703</v>
      </c>
      <c r="B196" s="942" t="str">
        <f>_xlfn.CONCAT('Fusion Portfolio'!C104,", ",'Fusion Portfolio'!D104)</f>
        <v xml:space="preserve">, </v>
      </c>
      <c r="C196" s="942"/>
    </row>
    <row r="197" spans="1:3" ht="28.5" customHeight="1" x14ac:dyDescent="0.25">
      <c r="A197" s="878" t="s">
        <v>704</v>
      </c>
      <c r="B197" s="942" t="str">
        <f>_xlfn.CONCAT('Fusion Portfolio'!C105,", ",'Fusion Portfolio'!D105)</f>
        <v xml:space="preserve">, </v>
      </c>
      <c r="C197" s="942"/>
    </row>
    <row r="198" spans="1:3" ht="28.5" customHeight="1" x14ac:dyDescent="0.25">
      <c r="A198" s="878" t="s">
        <v>705</v>
      </c>
      <c r="B198" s="942" t="str">
        <f>_xlfn.CONCAT('Fusion Portfolio'!C106,", ",'Fusion Portfolio'!D106)</f>
        <v xml:space="preserve">, </v>
      </c>
      <c r="C198" s="942"/>
    </row>
    <row r="199" spans="1:3" ht="28.5" customHeight="1" x14ac:dyDescent="0.25">
      <c r="A199" s="878" t="s">
        <v>706</v>
      </c>
      <c r="B199" s="942" t="str">
        <f>_xlfn.CONCAT('Fusion Portfolio'!C107,", ",'Fusion Portfolio'!D107)</f>
        <v xml:space="preserve">, </v>
      </c>
      <c r="C199" s="942"/>
    </row>
    <row r="200" spans="1:3" ht="28.5" customHeight="1" x14ac:dyDescent="0.25">
      <c r="A200" s="878" t="s">
        <v>707</v>
      </c>
      <c r="B200" s="942" t="str">
        <f>_xlfn.CONCAT('Fusion Portfolio'!C108,", ",'Fusion Portfolio'!D108)</f>
        <v xml:space="preserve">, </v>
      </c>
      <c r="C200" s="942"/>
    </row>
    <row r="201" spans="1:3" ht="28.5" customHeight="1" x14ac:dyDescent="0.25">
      <c r="A201" s="878" t="s">
        <v>708</v>
      </c>
      <c r="B201" s="942" t="str">
        <f>_xlfn.CONCAT('Fusion Portfolio'!C109,", ",'Fusion Portfolio'!D109)</f>
        <v xml:space="preserve">, </v>
      </c>
      <c r="C201" s="942"/>
    </row>
    <row r="202" spans="1:3" ht="28.5" customHeight="1" x14ac:dyDescent="0.25">
      <c r="A202" s="878" t="s">
        <v>709</v>
      </c>
      <c r="B202" s="942" t="str">
        <f>_xlfn.CONCAT('Fusion Portfolio'!C110,", ",'Fusion Portfolio'!D110)</f>
        <v xml:space="preserve">, </v>
      </c>
      <c r="C202" s="942"/>
    </row>
    <row r="203" spans="1:3" ht="28.5" customHeight="1" x14ac:dyDescent="0.25">
      <c r="A203" s="878" t="s">
        <v>710</v>
      </c>
      <c r="B203" s="942" t="str">
        <f>_xlfn.CONCAT('Fusion Portfolio'!C111,", ",'Fusion Portfolio'!D111)</f>
        <v xml:space="preserve">, </v>
      </c>
      <c r="C203" s="942"/>
    </row>
    <row r="204" spans="1:3" ht="28.5" customHeight="1" x14ac:dyDescent="0.25">
      <c r="A204" s="878" t="s">
        <v>711</v>
      </c>
      <c r="B204" s="942" t="str">
        <f>_xlfn.CONCAT('Fusion Portfolio'!C112,", ",'Fusion Portfolio'!D112)</f>
        <v xml:space="preserve">, </v>
      </c>
      <c r="C204" s="942"/>
    </row>
    <row r="205" spans="1:3" ht="28.5" customHeight="1" x14ac:dyDescent="0.25">
      <c r="A205" s="878" t="s">
        <v>712</v>
      </c>
      <c r="B205" s="942" t="str">
        <f>_xlfn.CONCAT('Fusion Portfolio'!C113,", ",'Fusion Portfolio'!D113)</f>
        <v xml:space="preserve">, </v>
      </c>
      <c r="C205" s="942"/>
    </row>
    <row r="206" spans="1:3" ht="28.5" customHeight="1" x14ac:dyDescent="0.25">
      <c r="A206" s="878" t="s">
        <v>713</v>
      </c>
      <c r="B206" s="942" t="str">
        <f>_xlfn.CONCAT('Fusion Portfolio'!C114,", ",'Fusion Portfolio'!D114)</f>
        <v xml:space="preserve">, </v>
      </c>
      <c r="C206" s="942"/>
    </row>
    <row r="207" spans="1:3" ht="28.5" customHeight="1" x14ac:dyDescent="0.25">
      <c r="A207" s="878" t="s">
        <v>714</v>
      </c>
      <c r="B207" s="942" t="str">
        <f>_xlfn.CONCAT('Fusion Portfolio'!C115,", ",'Fusion Portfolio'!D115)</f>
        <v xml:space="preserve">, </v>
      </c>
      <c r="C207" s="942"/>
    </row>
    <row r="208" spans="1:3" ht="28.5" customHeight="1" x14ac:dyDescent="0.25">
      <c r="A208" s="878" t="s">
        <v>715</v>
      </c>
      <c r="B208" s="942" t="str">
        <f>_xlfn.CONCAT('Fusion Portfolio'!C116,", ",'Fusion Portfolio'!D116)</f>
        <v xml:space="preserve">, </v>
      </c>
      <c r="C208" s="942"/>
    </row>
    <row r="209" spans="1:3" ht="28.5" customHeight="1" x14ac:dyDescent="0.25">
      <c r="A209" s="878" t="s">
        <v>716</v>
      </c>
      <c r="B209" s="942" t="str">
        <f>_xlfn.CONCAT('Fusion Portfolio'!C117,", ",'Fusion Portfolio'!D117)</f>
        <v xml:space="preserve">, </v>
      </c>
      <c r="C209" s="942"/>
    </row>
    <row r="210" spans="1:3" ht="28.5" customHeight="1" x14ac:dyDescent="0.25">
      <c r="A210" s="878" t="s">
        <v>717</v>
      </c>
      <c r="B210" s="942" t="str">
        <f>_xlfn.CONCAT('Fusion Portfolio'!C118,", ",'Fusion Portfolio'!D118)</f>
        <v xml:space="preserve">, </v>
      </c>
      <c r="C210" s="942"/>
    </row>
    <row r="211" spans="1:3" ht="28.5" customHeight="1" x14ac:dyDescent="0.25">
      <c r="A211" s="878" t="s">
        <v>718</v>
      </c>
      <c r="B211" s="942" t="str">
        <f>_xlfn.CONCAT('Fusion Portfolio'!C119,", ",'Fusion Portfolio'!D119)</f>
        <v xml:space="preserve">, </v>
      </c>
      <c r="C211" s="942"/>
    </row>
    <row r="212" spans="1:3" ht="28.5" customHeight="1" x14ac:dyDescent="0.25">
      <c r="A212" s="878" t="s">
        <v>719</v>
      </c>
      <c r="B212" s="942" t="str">
        <f>_xlfn.CONCAT('Fusion Portfolio'!C120,", ",'Fusion Portfolio'!D120)</f>
        <v xml:space="preserve">, </v>
      </c>
      <c r="C212" s="942"/>
    </row>
    <row r="213" spans="1:3" ht="28.5" customHeight="1" x14ac:dyDescent="0.25">
      <c r="A213" s="878" t="s">
        <v>720</v>
      </c>
      <c r="B213" s="942" t="str">
        <f>_xlfn.CONCAT('Fusion Portfolio'!C121,", ",'Fusion Portfolio'!D121)</f>
        <v xml:space="preserve">, </v>
      </c>
      <c r="C213" s="942"/>
    </row>
    <row r="214" spans="1:3" ht="28.5" customHeight="1" x14ac:dyDescent="0.25">
      <c r="A214" s="878" t="s">
        <v>721</v>
      </c>
      <c r="B214" s="942" t="str">
        <f>_xlfn.CONCAT('Fusion Portfolio'!C122,", ",'Fusion Portfolio'!D122)</f>
        <v xml:space="preserve">, </v>
      </c>
      <c r="C214" s="942"/>
    </row>
    <row r="215" spans="1:3" ht="28.5" customHeight="1" x14ac:dyDescent="0.25">
      <c r="A215" s="878" t="s">
        <v>722</v>
      </c>
      <c r="B215" s="942" t="str">
        <f>_xlfn.CONCAT('Fusion Portfolio'!C123,", ",'Fusion Portfolio'!D123)</f>
        <v xml:space="preserve">, </v>
      </c>
      <c r="C215" s="942"/>
    </row>
    <row r="216" spans="1:3" ht="28.5" customHeight="1" x14ac:dyDescent="0.25">
      <c r="A216" s="878" t="s">
        <v>723</v>
      </c>
      <c r="B216" s="942" t="str">
        <f>_xlfn.CONCAT('Fusion Portfolio'!C124,", ",'Fusion Portfolio'!D124)</f>
        <v xml:space="preserve">, </v>
      </c>
      <c r="C216" s="942"/>
    </row>
    <row r="217" spans="1:3" ht="28.5" customHeight="1" x14ac:dyDescent="0.25">
      <c r="A217" s="878" t="s">
        <v>724</v>
      </c>
      <c r="B217" s="942" t="str">
        <f>_xlfn.CONCAT('Fusion Portfolio'!C125,", ",'Fusion Portfolio'!D125)</f>
        <v xml:space="preserve">, </v>
      </c>
      <c r="C217" s="942"/>
    </row>
    <row r="218" spans="1:3" ht="28.5" customHeight="1" x14ac:dyDescent="0.25">
      <c r="A218" s="878" t="s">
        <v>725</v>
      </c>
      <c r="B218" s="942" t="str">
        <f>_xlfn.CONCAT('Fusion Portfolio'!C126,", ",'Fusion Portfolio'!D126)</f>
        <v xml:space="preserve">, </v>
      </c>
      <c r="C218" s="942"/>
    </row>
    <row r="219" spans="1:3" ht="28.5" customHeight="1" x14ac:dyDescent="0.25">
      <c r="A219" s="878" t="s">
        <v>726</v>
      </c>
      <c r="B219" s="942" t="str">
        <f>_xlfn.CONCAT('Fusion Portfolio'!C127,", ",'Fusion Portfolio'!D127)</f>
        <v xml:space="preserve">, </v>
      </c>
      <c r="C219" s="942"/>
    </row>
    <row r="220" spans="1:3" ht="28.5" customHeight="1" x14ac:dyDescent="0.25">
      <c r="A220" s="878" t="s">
        <v>727</v>
      </c>
      <c r="B220" s="942" t="str">
        <f>_xlfn.CONCAT('Fusion Portfolio'!C128,", ",'Fusion Portfolio'!D128)</f>
        <v xml:space="preserve">, </v>
      </c>
      <c r="C220" s="942"/>
    </row>
    <row r="221" spans="1:3" ht="28.5" customHeight="1" x14ac:dyDescent="0.25">
      <c r="A221" s="878" t="s">
        <v>728</v>
      </c>
      <c r="B221" s="942" t="str">
        <f>_xlfn.CONCAT('Fusion Portfolio'!C129,", ",'Fusion Portfolio'!D129)</f>
        <v xml:space="preserve">, </v>
      </c>
      <c r="C221" s="942"/>
    </row>
    <row r="222" spans="1:3" ht="28.5" customHeight="1" x14ac:dyDescent="0.25">
      <c r="A222" s="878" t="s">
        <v>729</v>
      </c>
      <c r="B222" s="942" t="str">
        <f>_xlfn.CONCAT('Fusion Portfolio'!C130,", ",'Fusion Portfolio'!D130)</f>
        <v xml:space="preserve">, </v>
      </c>
      <c r="C222" s="942"/>
    </row>
    <row r="223" spans="1:3" ht="28.5" customHeight="1" x14ac:dyDescent="0.25">
      <c r="A223" s="878" t="s">
        <v>730</v>
      </c>
      <c r="B223" s="942" t="str">
        <f>_xlfn.CONCAT('Fusion Portfolio'!C131,", ",'Fusion Portfolio'!D131)</f>
        <v xml:space="preserve">, </v>
      </c>
      <c r="C223" s="942"/>
    </row>
    <row r="224" spans="1:3" ht="28.5" customHeight="1" x14ac:dyDescent="0.25">
      <c r="A224" s="878" t="s">
        <v>731</v>
      </c>
      <c r="B224" s="942" t="str">
        <f>_xlfn.CONCAT('Fusion Portfolio'!C132,", ",'Fusion Portfolio'!D132)</f>
        <v xml:space="preserve">, </v>
      </c>
      <c r="C224" s="942"/>
    </row>
    <row r="225" spans="1:3" ht="28.5" customHeight="1" x14ac:dyDescent="0.25">
      <c r="A225" s="878" t="s">
        <v>732</v>
      </c>
      <c r="B225" s="942" t="str">
        <f>_xlfn.CONCAT('Fusion Portfolio'!C133,", ",'Fusion Portfolio'!D133)</f>
        <v xml:space="preserve">, </v>
      </c>
      <c r="C225" s="942"/>
    </row>
    <row r="226" spans="1:3" ht="28.5" customHeight="1" x14ac:dyDescent="0.25">
      <c r="A226" s="878" t="s">
        <v>733</v>
      </c>
      <c r="B226" s="942" t="str">
        <f>_xlfn.CONCAT('Fusion Portfolio'!C134,", ",'Fusion Portfolio'!D134)</f>
        <v xml:space="preserve">, </v>
      </c>
      <c r="C226" s="942"/>
    </row>
    <row r="227" spans="1:3" ht="28.5" customHeight="1" x14ac:dyDescent="0.25">
      <c r="A227" s="878" t="s">
        <v>734</v>
      </c>
      <c r="B227" s="942" t="str">
        <f>_xlfn.CONCAT('Fusion Portfolio'!C135,", ",'Fusion Portfolio'!D135)</f>
        <v xml:space="preserve">, </v>
      </c>
      <c r="C227" s="942"/>
    </row>
    <row r="228" spans="1:3" ht="28.5" customHeight="1" x14ac:dyDescent="0.25">
      <c r="A228" s="878" t="s">
        <v>735</v>
      </c>
      <c r="B228" s="942" t="str">
        <f>_xlfn.CONCAT('Fusion Portfolio'!C136,", ",'Fusion Portfolio'!D136)</f>
        <v xml:space="preserve">, </v>
      </c>
      <c r="C228" s="942"/>
    </row>
    <row r="229" spans="1:3" ht="28.5" customHeight="1" x14ac:dyDescent="0.25">
      <c r="A229" s="878" t="s">
        <v>736</v>
      </c>
      <c r="B229" s="942" t="str">
        <f>_xlfn.CONCAT('Fusion Portfolio'!C137,", ",'Fusion Portfolio'!D137)</f>
        <v xml:space="preserve">, </v>
      </c>
      <c r="C229" s="942"/>
    </row>
    <row r="230" spans="1:3" ht="28.5" customHeight="1" x14ac:dyDescent="0.25">
      <c r="A230" s="878" t="s">
        <v>737</v>
      </c>
      <c r="B230" s="942" t="str">
        <f>_xlfn.CONCAT('Fusion Portfolio'!C138,", ",'Fusion Portfolio'!D138)</f>
        <v xml:space="preserve">, </v>
      </c>
      <c r="C230" s="942"/>
    </row>
    <row r="231" spans="1:3" ht="28.5" customHeight="1" x14ac:dyDescent="0.25">
      <c r="A231" s="878" t="s">
        <v>738</v>
      </c>
      <c r="B231" s="942" t="str">
        <f>_xlfn.CONCAT('Fusion Portfolio'!C139,", ",'Fusion Portfolio'!D139)</f>
        <v xml:space="preserve">, </v>
      </c>
      <c r="C231" s="942"/>
    </row>
    <row r="232" spans="1:3" ht="28.5" customHeight="1" x14ac:dyDescent="0.25">
      <c r="A232" s="878" t="s">
        <v>739</v>
      </c>
      <c r="B232" s="942" t="str">
        <f>_xlfn.CONCAT('Fusion Portfolio'!C140,", ",'Fusion Portfolio'!D140)</f>
        <v xml:space="preserve">, </v>
      </c>
      <c r="C232" s="942"/>
    </row>
    <row r="233" spans="1:3" ht="28.5" customHeight="1" x14ac:dyDescent="0.25">
      <c r="A233" s="878" t="s">
        <v>740</v>
      </c>
      <c r="B233" s="942" t="str">
        <f>_xlfn.CONCAT('Fusion Portfolio'!C141,", ",'Fusion Portfolio'!D141)</f>
        <v xml:space="preserve">, </v>
      </c>
      <c r="C233" s="942"/>
    </row>
    <row r="234" spans="1:3" ht="28.5" customHeight="1" x14ac:dyDescent="0.25">
      <c r="A234" s="878" t="s">
        <v>741</v>
      </c>
      <c r="B234" s="942" t="str">
        <f>_xlfn.CONCAT('Fusion Portfolio'!C142,", ",'Fusion Portfolio'!D142)</f>
        <v xml:space="preserve">, </v>
      </c>
      <c r="C234" s="942"/>
    </row>
    <row r="235" spans="1:3" ht="28.5" customHeight="1" x14ac:dyDescent="0.25">
      <c r="A235" s="878" t="s">
        <v>742</v>
      </c>
      <c r="B235" s="942" t="str">
        <f>_xlfn.CONCAT('Fusion Portfolio'!C143,", ",'Fusion Portfolio'!D143)</f>
        <v xml:space="preserve">, </v>
      </c>
      <c r="C235" s="942"/>
    </row>
    <row r="236" spans="1:3" ht="28.5" customHeight="1" x14ac:dyDescent="0.25">
      <c r="A236" s="878" t="s">
        <v>743</v>
      </c>
      <c r="B236" s="942" t="str">
        <f>_xlfn.CONCAT('Fusion Portfolio'!C144,", ",'Fusion Portfolio'!D144)</f>
        <v xml:space="preserve">, </v>
      </c>
      <c r="C236" s="942"/>
    </row>
    <row r="237" spans="1:3" ht="28.5" customHeight="1" x14ac:dyDescent="0.25">
      <c r="A237" s="878" t="s">
        <v>744</v>
      </c>
      <c r="B237" s="942" t="str">
        <f>_xlfn.CONCAT('Fusion Portfolio'!C145,", ",'Fusion Portfolio'!D145)</f>
        <v xml:space="preserve">, </v>
      </c>
      <c r="C237" s="942"/>
    </row>
    <row r="238" spans="1:3" ht="28.5" customHeight="1" x14ac:dyDescent="0.25">
      <c r="A238" s="878" t="s">
        <v>745</v>
      </c>
      <c r="B238" s="942" t="str">
        <f>_xlfn.CONCAT('Fusion Portfolio'!C146,", ",'Fusion Portfolio'!D146)</f>
        <v xml:space="preserve">, </v>
      </c>
      <c r="C238" s="942"/>
    </row>
    <row r="239" spans="1:3" ht="28.5" customHeight="1" x14ac:dyDescent="0.25">
      <c r="A239" s="878" t="s">
        <v>746</v>
      </c>
      <c r="B239" s="942" t="str">
        <f>_xlfn.CONCAT('Fusion Portfolio'!C147,", ",'Fusion Portfolio'!D147)</f>
        <v xml:space="preserve">, </v>
      </c>
      <c r="C239" s="942"/>
    </row>
    <row r="240" spans="1:3" ht="28.5" customHeight="1" x14ac:dyDescent="0.25">
      <c r="A240" s="878" t="s">
        <v>747</v>
      </c>
      <c r="B240" s="942" t="str">
        <f>_xlfn.CONCAT('Fusion Portfolio'!C148,", ",'Fusion Portfolio'!D148)</f>
        <v xml:space="preserve">, </v>
      </c>
      <c r="C240" s="942"/>
    </row>
    <row r="241" spans="1:3" ht="28.5" customHeight="1" x14ac:dyDescent="0.25">
      <c r="A241" s="878" t="s">
        <v>748</v>
      </c>
      <c r="B241" s="942" t="str">
        <f>_xlfn.CONCAT('Fusion Portfolio'!C149,", ",'Fusion Portfolio'!D149)</f>
        <v xml:space="preserve">, </v>
      </c>
      <c r="C241" s="942"/>
    </row>
    <row r="242" spans="1:3" ht="28.5" customHeight="1" x14ac:dyDescent="0.25">
      <c r="A242" s="878" t="s">
        <v>749</v>
      </c>
      <c r="B242" s="942" t="str">
        <f>_xlfn.CONCAT('Fusion Portfolio'!C150,", ",'Fusion Portfolio'!D150)</f>
        <v xml:space="preserve">, </v>
      </c>
      <c r="C242" s="942"/>
    </row>
    <row r="243" spans="1:3" ht="28.5" customHeight="1" x14ac:dyDescent="0.25">
      <c r="A243" s="878" t="s">
        <v>750</v>
      </c>
      <c r="B243" s="942" t="str">
        <f>_xlfn.CONCAT('Fusion Portfolio'!C151,", ",'Fusion Portfolio'!D151)</f>
        <v xml:space="preserve">, </v>
      </c>
      <c r="C243" s="942"/>
    </row>
    <row r="244" spans="1:3" ht="28.5" customHeight="1" x14ac:dyDescent="0.25">
      <c r="A244" s="878" t="s">
        <v>751</v>
      </c>
      <c r="B244" s="942" t="str">
        <f>_xlfn.CONCAT('Fusion Portfolio'!C152,", ",'Fusion Portfolio'!D152)</f>
        <v xml:space="preserve">, </v>
      </c>
      <c r="C244" s="942"/>
    </row>
    <row r="245" spans="1:3" ht="28.5" customHeight="1" x14ac:dyDescent="0.25">
      <c r="A245" s="878" t="s">
        <v>752</v>
      </c>
      <c r="B245" s="942" t="str">
        <f>_xlfn.CONCAT('Fusion Portfolio'!C153,", ",'Fusion Portfolio'!D153)</f>
        <v xml:space="preserve">, </v>
      </c>
      <c r="C245" s="942"/>
    </row>
    <row r="246" spans="1:3" ht="28.5" customHeight="1" x14ac:dyDescent="0.25">
      <c r="A246" s="878" t="s">
        <v>753</v>
      </c>
      <c r="B246" s="942" t="str">
        <f>_xlfn.CONCAT('Fusion Portfolio'!C154,", ",'Fusion Portfolio'!D154)</f>
        <v xml:space="preserve">, </v>
      </c>
      <c r="C246" s="942"/>
    </row>
    <row r="247" spans="1:3" ht="28.5" customHeight="1" x14ac:dyDescent="0.25">
      <c r="A247" s="878" t="s">
        <v>754</v>
      </c>
      <c r="B247" s="942" t="str">
        <f>_xlfn.CONCAT('Fusion Portfolio'!C155,", ",'Fusion Portfolio'!D155)</f>
        <v xml:space="preserve">, </v>
      </c>
      <c r="C247" s="942"/>
    </row>
    <row r="248" spans="1:3" ht="28.5" customHeight="1" x14ac:dyDescent="0.25">
      <c r="A248" s="878" t="s">
        <v>755</v>
      </c>
      <c r="B248" s="942" t="str">
        <f>_xlfn.CONCAT('Fusion Portfolio'!C156,", ",'Fusion Portfolio'!D156)</f>
        <v xml:space="preserve">, </v>
      </c>
      <c r="C248" s="942"/>
    </row>
    <row r="249" spans="1:3" ht="28.5" customHeight="1" x14ac:dyDescent="0.25">
      <c r="A249" s="878" t="s">
        <v>756</v>
      </c>
      <c r="B249" s="942" t="str">
        <f>_xlfn.CONCAT('Fusion Portfolio'!C157,", ",'Fusion Portfolio'!D157)</f>
        <v xml:space="preserve">, </v>
      </c>
      <c r="C249" s="942"/>
    </row>
    <row r="250" spans="1:3" ht="28.5" customHeight="1" x14ac:dyDescent="0.25">
      <c r="A250" s="878" t="s">
        <v>757</v>
      </c>
      <c r="B250" s="942" t="str">
        <f>_xlfn.CONCAT('Fusion Portfolio'!C158,", ",'Fusion Portfolio'!D158)</f>
        <v xml:space="preserve">, </v>
      </c>
      <c r="C250" s="942"/>
    </row>
    <row r="251" spans="1:3" ht="28.5" customHeight="1" x14ac:dyDescent="0.25">
      <c r="A251" s="878" t="s">
        <v>758</v>
      </c>
      <c r="B251" s="942" t="str">
        <f>_xlfn.CONCAT('Fusion Portfolio'!C159,", ",'Fusion Portfolio'!D159)</f>
        <v xml:space="preserve">, </v>
      </c>
      <c r="C251" s="942"/>
    </row>
    <row r="252" spans="1:3" ht="28.5" customHeight="1" x14ac:dyDescent="0.25">
      <c r="A252" s="878" t="s">
        <v>759</v>
      </c>
      <c r="B252" s="942" t="str">
        <f>_xlfn.CONCAT('Fusion Portfolio'!C160,", ",'Fusion Portfolio'!D160)</f>
        <v xml:space="preserve">, </v>
      </c>
      <c r="C252" s="942"/>
    </row>
    <row r="253" spans="1:3" ht="28.5" customHeight="1" x14ac:dyDescent="0.25">
      <c r="A253" s="878" t="s">
        <v>760</v>
      </c>
      <c r="B253" s="942" t="str">
        <f>_xlfn.CONCAT('Fusion Portfolio'!C161,", ",'Fusion Portfolio'!D161)</f>
        <v xml:space="preserve">, </v>
      </c>
      <c r="C253" s="942"/>
    </row>
    <row r="254" spans="1:3" ht="28.5" customHeight="1" x14ac:dyDescent="0.25">
      <c r="A254" s="878" t="s">
        <v>761</v>
      </c>
      <c r="B254" s="942" t="str">
        <f>_xlfn.CONCAT('Fusion Portfolio'!C162,", ",'Fusion Portfolio'!D162)</f>
        <v xml:space="preserve">, </v>
      </c>
      <c r="C254" s="942"/>
    </row>
    <row r="255" spans="1:3" ht="28.5" customHeight="1" x14ac:dyDescent="0.25">
      <c r="A255" s="878" t="s">
        <v>762</v>
      </c>
      <c r="B255" s="942" t="str">
        <f>_xlfn.CONCAT('Fusion Portfolio'!C163,", ",'Fusion Portfolio'!D163)</f>
        <v xml:space="preserve">, </v>
      </c>
      <c r="C255" s="942"/>
    </row>
    <row r="256" spans="1:3" ht="28.5" customHeight="1" x14ac:dyDescent="0.25">
      <c r="A256" s="878" t="s">
        <v>763</v>
      </c>
      <c r="B256" s="942" t="str">
        <f>_xlfn.CONCAT('Fusion Portfolio'!C164,", ",'Fusion Portfolio'!D164)</f>
        <v xml:space="preserve">, </v>
      </c>
      <c r="C256" s="942"/>
    </row>
    <row r="257" spans="1:3" ht="28.5" customHeight="1" x14ac:dyDescent="0.25">
      <c r="A257" s="878" t="s">
        <v>764</v>
      </c>
      <c r="B257" s="942" t="str">
        <f>_xlfn.CONCAT('Fusion Portfolio'!C165,", ",'Fusion Portfolio'!D165)</f>
        <v xml:space="preserve">, </v>
      </c>
      <c r="C257" s="942"/>
    </row>
    <row r="258" spans="1:3" ht="28.5" customHeight="1" x14ac:dyDescent="0.25">
      <c r="A258" s="878" t="s">
        <v>765</v>
      </c>
      <c r="B258" s="942" t="str">
        <f>_xlfn.CONCAT('Fusion Portfolio'!C166,", ",'Fusion Portfolio'!D166)</f>
        <v xml:space="preserve">, </v>
      </c>
      <c r="C258" s="942"/>
    </row>
    <row r="259" spans="1:3" ht="28.5" customHeight="1" x14ac:dyDescent="0.25">
      <c r="A259" s="878" t="s">
        <v>766</v>
      </c>
      <c r="B259" s="942" t="str">
        <f>_xlfn.CONCAT('Fusion Portfolio'!C167,", ",'Fusion Portfolio'!D167)</f>
        <v xml:space="preserve">, </v>
      </c>
      <c r="C259" s="942"/>
    </row>
    <row r="260" spans="1:3" ht="28.5" customHeight="1" x14ac:dyDescent="0.25">
      <c r="A260" s="878" t="s">
        <v>767</v>
      </c>
      <c r="B260" s="942" t="str">
        <f>_xlfn.CONCAT('Fusion Portfolio'!C168,", ",'Fusion Portfolio'!D168)</f>
        <v xml:space="preserve">, </v>
      </c>
      <c r="C260" s="942"/>
    </row>
    <row r="261" spans="1:3" ht="28.5" customHeight="1" x14ac:dyDescent="0.25">
      <c r="A261" s="878" t="s">
        <v>768</v>
      </c>
      <c r="B261" s="942" t="str">
        <f>_xlfn.CONCAT('Fusion Portfolio'!C169,", ",'Fusion Portfolio'!D169)</f>
        <v xml:space="preserve">, </v>
      </c>
      <c r="C261" s="942"/>
    </row>
    <row r="262" spans="1:3" ht="28.5" customHeight="1" x14ac:dyDescent="0.25">
      <c r="A262" s="878" t="s">
        <v>769</v>
      </c>
      <c r="B262" s="942" t="str">
        <f>_xlfn.CONCAT('Fusion Portfolio'!C170,", ",'Fusion Portfolio'!D170)</f>
        <v xml:space="preserve">, </v>
      </c>
      <c r="C262" s="942"/>
    </row>
    <row r="263" spans="1:3" ht="28.5" customHeight="1" x14ac:dyDescent="0.25">
      <c r="A263" s="878" t="s">
        <v>770</v>
      </c>
      <c r="B263" s="942" t="str">
        <f>_xlfn.CONCAT('Fusion Portfolio'!C171,", ",'Fusion Portfolio'!D171)</f>
        <v xml:space="preserve">, </v>
      </c>
      <c r="C263" s="942"/>
    </row>
    <row r="264" spans="1:3" ht="28.5" customHeight="1" x14ac:dyDescent="0.25">
      <c r="A264" s="878" t="s">
        <v>771</v>
      </c>
      <c r="B264" s="942" t="str">
        <f>_xlfn.CONCAT('Fusion Portfolio'!C172,", ",'Fusion Portfolio'!D172)</f>
        <v xml:space="preserve">, </v>
      </c>
      <c r="C264" s="942"/>
    </row>
    <row r="265" spans="1:3" ht="28.5" customHeight="1" x14ac:dyDescent="0.25">
      <c r="A265" s="878" t="s">
        <v>772</v>
      </c>
      <c r="B265" s="942" t="str">
        <f>_xlfn.CONCAT('Fusion Portfolio'!C173,", ",'Fusion Portfolio'!D173)</f>
        <v xml:space="preserve">, </v>
      </c>
      <c r="C265" s="942"/>
    </row>
    <row r="266" spans="1:3" ht="28.5" customHeight="1" x14ac:dyDescent="0.25">
      <c r="A266" s="878" t="s">
        <v>773</v>
      </c>
      <c r="B266" s="942" t="str">
        <f>_xlfn.CONCAT('Fusion Portfolio'!C174,", ",'Fusion Portfolio'!D174)</f>
        <v xml:space="preserve">, </v>
      </c>
      <c r="C266" s="942"/>
    </row>
    <row r="267" spans="1:3" ht="28.5" customHeight="1" x14ac:dyDescent="0.25">
      <c r="A267" s="878" t="s">
        <v>774</v>
      </c>
      <c r="B267" s="942" t="str">
        <f>_xlfn.CONCAT('Fusion Portfolio'!C175,", ",'Fusion Portfolio'!D175)</f>
        <v xml:space="preserve">, </v>
      </c>
      <c r="C267" s="942"/>
    </row>
    <row r="268" spans="1:3" ht="28.5" customHeight="1" x14ac:dyDescent="0.25">
      <c r="A268" s="878" t="s">
        <v>775</v>
      </c>
      <c r="B268" s="942" t="str">
        <f>_xlfn.CONCAT('Fusion Portfolio'!C176,", ",'Fusion Portfolio'!D176)</f>
        <v xml:space="preserve">, </v>
      </c>
      <c r="C268" s="942"/>
    </row>
    <row r="269" spans="1:3" ht="28.5" customHeight="1" x14ac:dyDescent="0.25">
      <c r="A269" s="878" t="s">
        <v>776</v>
      </c>
      <c r="B269" s="942" t="str">
        <f>_xlfn.CONCAT('Fusion Portfolio'!C177,", ",'Fusion Portfolio'!D177)</f>
        <v xml:space="preserve">, </v>
      </c>
      <c r="C269" s="942"/>
    </row>
    <row r="270" spans="1:3" ht="28.5" customHeight="1" x14ac:dyDescent="0.25">
      <c r="A270" s="878" t="s">
        <v>777</v>
      </c>
      <c r="B270" s="942" t="str">
        <f>_xlfn.CONCAT('Fusion Portfolio'!C178,", ",'Fusion Portfolio'!D178)</f>
        <v xml:space="preserve">, </v>
      </c>
      <c r="C270" s="942"/>
    </row>
    <row r="271" spans="1:3" ht="28.5" customHeight="1" x14ac:dyDescent="0.25">
      <c r="A271" s="878" t="s">
        <v>778</v>
      </c>
      <c r="B271" s="942" t="str">
        <f>_xlfn.CONCAT('Fusion Portfolio'!C179,", ",'Fusion Portfolio'!D179)</f>
        <v xml:space="preserve">, </v>
      </c>
      <c r="C271" s="942"/>
    </row>
    <row r="272" spans="1:3" ht="28.5" customHeight="1" x14ac:dyDescent="0.25">
      <c r="A272" s="878" t="s">
        <v>779</v>
      </c>
      <c r="B272" s="942" t="str">
        <f>_xlfn.CONCAT('Fusion Portfolio'!C180,", ",'Fusion Portfolio'!D180)</f>
        <v xml:space="preserve">, </v>
      </c>
      <c r="C272" s="942"/>
    </row>
    <row r="273" spans="1:3" ht="28.5" customHeight="1" x14ac:dyDescent="0.25">
      <c r="A273" s="878" t="s">
        <v>780</v>
      </c>
      <c r="B273" s="942" t="str">
        <f>_xlfn.CONCAT('Fusion Portfolio'!C181,", ",'Fusion Portfolio'!D181)</f>
        <v xml:space="preserve">, </v>
      </c>
      <c r="C273" s="942"/>
    </row>
    <row r="274" spans="1:3" ht="28.5" customHeight="1" x14ac:dyDescent="0.25">
      <c r="A274" s="878" t="s">
        <v>781</v>
      </c>
      <c r="B274" s="942" t="str">
        <f>_xlfn.CONCAT('Fusion Portfolio'!C182,", ",'Fusion Portfolio'!D182)</f>
        <v xml:space="preserve">, </v>
      </c>
      <c r="C274" s="942"/>
    </row>
    <row r="275" spans="1:3" ht="28.5" customHeight="1" x14ac:dyDescent="0.25">
      <c r="A275" s="878" t="s">
        <v>782</v>
      </c>
      <c r="B275" s="942" t="str">
        <f>_xlfn.CONCAT('Fusion Portfolio'!C183,", ",'Fusion Portfolio'!D183)</f>
        <v xml:space="preserve">, </v>
      </c>
      <c r="C275" s="942"/>
    </row>
    <row r="276" spans="1:3" ht="28.5" customHeight="1" x14ac:dyDescent="0.25">
      <c r="A276" s="878" t="s">
        <v>783</v>
      </c>
      <c r="B276" s="942" t="str">
        <f>_xlfn.CONCAT('Fusion Portfolio'!C184,", ",'Fusion Portfolio'!D184)</f>
        <v xml:space="preserve">, </v>
      </c>
      <c r="C276" s="942"/>
    </row>
    <row r="277" spans="1:3" ht="28.5" customHeight="1" x14ac:dyDescent="0.25">
      <c r="A277" s="878" t="s">
        <v>784</v>
      </c>
      <c r="B277" s="942" t="str">
        <f>_xlfn.CONCAT('Fusion Portfolio'!C185,", ",'Fusion Portfolio'!D185)</f>
        <v xml:space="preserve">, </v>
      </c>
      <c r="C277" s="942"/>
    </row>
    <row r="278" spans="1:3" ht="28.5" customHeight="1" x14ac:dyDescent="0.25">
      <c r="A278" s="878" t="s">
        <v>785</v>
      </c>
      <c r="B278" s="942" t="str">
        <f>_xlfn.CONCAT('Fusion Portfolio'!C186,", ",'Fusion Portfolio'!D186)</f>
        <v xml:space="preserve">, </v>
      </c>
      <c r="C278" s="942"/>
    </row>
    <row r="279" spans="1:3" ht="28.5" customHeight="1" x14ac:dyDescent="0.25">
      <c r="A279" s="878" t="s">
        <v>786</v>
      </c>
      <c r="B279" s="942" t="str">
        <f>_xlfn.CONCAT('Fusion Portfolio'!C187,", ",'Fusion Portfolio'!D187)</f>
        <v xml:space="preserve">, </v>
      </c>
      <c r="C279" s="942"/>
    </row>
    <row r="280" spans="1:3" ht="28.5" customHeight="1" x14ac:dyDescent="0.25">
      <c r="A280" s="878" t="s">
        <v>803</v>
      </c>
      <c r="B280" s="942" t="str">
        <f>_xlfn.CONCAT('Fusion Portfolio'!C188,", ",'Fusion Portfolio'!D188)</f>
        <v xml:space="preserve">, </v>
      </c>
      <c r="C280" s="942"/>
    </row>
    <row r="281" spans="1:3" ht="28.5" customHeight="1" x14ac:dyDescent="0.25">
      <c r="A281" s="878" t="s">
        <v>804</v>
      </c>
      <c r="B281" s="942" t="str">
        <f>_xlfn.CONCAT('Fusion Portfolio'!C189,", ",'Fusion Portfolio'!D189)</f>
        <v xml:space="preserve">, </v>
      </c>
      <c r="C281" s="942"/>
    </row>
    <row r="282" spans="1:3" ht="28.5" customHeight="1" x14ac:dyDescent="0.25">
      <c r="A282" s="878" t="s">
        <v>805</v>
      </c>
      <c r="B282" s="942" t="str">
        <f>_xlfn.CONCAT('Fusion Portfolio'!C190,", ",'Fusion Portfolio'!D190)</f>
        <v xml:space="preserve">, </v>
      </c>
      <c r="C282" s="942"/>
    </row>
    <row r="283" spans="1:3" ht="28.5" customHeight="1" x14ac:dyDescent="0.25">
      <c r="A283" s="878" t="s">
        <v>806</v>
      </c>
      <c r="B283" s="942" t="str">
        <f>_xlfn.CONCAT('Fusion Portfolio'!C191,", ",'Fusion Portfolio'!D191)</f>
        <v xml:space="preserve">, </v>
      </c>
      <c r="C283" s="942"/>
    </row>
    <row r="284" spans="1:3" ht="28.5" customHeight="1" x14ac:dyDescent="0.25">
      <c r="A284" s="878" t="s">
        <v>807</v>
      </c>
      <c r="B284" s="942" t="str">
        <f>_xlfn.CONCAT('Fusion Portfolio'!C192,", ",'Fusion Portfolio'!D192)</f>
        <v xml:space="preserve">, </v>
      </c>
      <c r="C284" s="942"/>
    </row>
    <row r="285" spans="1:3" ht="28.5" customHeight="1" x14ac:dyDescent="0.25">
      <c r="A285" s="878" t="s">
        <v>808</v>
      </c>
      <c r="B285" s="942" t="str">
        <f>_xlfn.CONCAT('Fusion Portfolio'!C193,", ",'Fusion Portfolio'!D193)</f>
        <v xml:space="preserve">, </v>
      </c>
      <c r="C285" s="942"/>
    </row>
    <row r="286" spans="1:3" ht="28.5" customHeight="1" x14ac:dyDescent="0.25">
      <c r="A286" s="878" t="s">
        <v>809</v>
      </c>
      <c r="B286" s="942" t="str">
        <f>_xlfn.CONCAT('Fusion Portfolio'!C194,", ",'Fusion Portfolio'!D194)</f>
        <v xml:space="preserve">, </v>
      </c>
      <c r="C286" s="942"/>
    </row>
    <row r="287" spans="1:3" ht="28.5" customHeight="1" x14ac:dyDescent="0.25">
      <c r="A287" s="878" t="s">
        <v>810</v>
      </c>
      <c r="B287" s="942" t="str">
        <f>_xlfn.CONCAT('Fusion Portfolio'!C195,", ",'Fusion Portfolio'!D195)</f>
        <v xml:space="preserve">, </v>
      </c>
      <c r="C287" s="942"/>
    </row>
    <row r="288" spans="1:3" ht="28.5" customHeight="1" x14ac:dyDescent="0.25">
      <c r="A288" s="878" t="s">
        <v>811</v>
      </c>
      <c r="B288" s="942" t="str">
        <f>_xlfn.CONCAT('Fusion Portfolio'!C196,", ",'Fusion Portfolio'!D196)</f>
        <v xml:space="preserve">, </v>
      </c>
      <c r="C288" s="942"/>
    </row>
    <row r="289" spans="1:3" ht="28.5" customHeight="1" x14ac:dyDescent="0.25">
      <c r="A289" s="878" t="s">
        <v>812</v>
      </c>
      <c r="B289" s="942" t="str">
        <f>_xlfn.CONCAT('Fusion Portfolio'!C197,", ",'Fusion Portfolio'!D197)</f>
        <v xml:space="preserve">, </v>
      </c>
      <c r="C289" s="942"/>
    </row>
    <row r="290" spans="1:3" ht="28.5" customHeight="1" x14ac:dyDescent="0.25">
      <c r="A290" s="878" t="s">
        <v>813</v>
      </c>
      <c r="B290" s="942" t="str">
        <f>_xlfn.CONCAT('Fusion Portfolio'!C198,", ",'Fusion Portfolio'!D198)</f>
        <v xml:space="preserve">, </v>
      </c>
      <c r="C290" s="942"/>
    </row>
    <row r="291" spans="1:3" ht="28.5" customHeight="1" x14ac:dyDescent="0.25">
      <c r="A291" s="878" t="s">
        <v>814</v>
      </c>
      <c r="B291" s="942" t="str">
        <f>_xlfn.CONCAT('Fusion Portfolio'!C199,", ",'Fusion Portfolio'!D199)</f>
        <v xml:space="preserve">, </v>
      </c>
      <c r="C291" s="942"/>
    </row>
    <row r="292" spans="1:3" ht="28.5" customHeight="1" x14ac:dyDescent="0.25">
      <c r="A292" s="878" t="s">
        <v>815</v>
      </c>
      <c r="B292" s="942" t="str">
        <f>_xlfn.CONCAT('Fusion Portfolio'!C200,", ",'Fusion Portfolio'!D200)</f>
        <v xml:space="preserve">, </v>
      </c>
      <c r="C292" s="942"/>
    </row>
    <row r="293" spans="1:3" ht="28.5" customHeight="1" x14ac:dyDescent="0.25">
      <c r="A293" s="878" t="s">
        <v>816</v>
      </c>
      <c r="B293" s="942" t="str">
        <f>_xlfn.CONCAT('Fusion Portfolio'!C201,", ",'Fusion Portfolio'!D201)</f>
        <v xml:space="preserve">, </v>
      </c>
      <c r="C293" s="942"/>
    </row>
    <row r="294" spans="1:3" ht="28.5" customHeight="1" x14ac:dyDescent="0.25">
      <c r="A294" s="878" t="s">
        <v>817</v>
      </c>
      <c r="B294" s="942" t="str">
        <f>_xlfn.CONCAT('Fusion Portfolio'!C202,", ",'Fusion Portfolio'!D202)</f>
        <v xml:space="preserve">, </v>
      </c>
      <c r="C294" s="942"/>
    </row>
    <row r="295" spans="1:3" ht="28.5" customHeight="1" x14ac:dyDescent="0.25">
      <c r="A295" s="878" t="s">
        <v>818</v>
      </c>
      <c r="B295" s="942" t="str">
        <f>_xlfn.CONCAT('Fusion Portfolio'!C203,", ",'Fusion Portfolio'!D203)</f>
        <v xml:space="preserve">, </v>
      </c>
      <c r="C295" s="942"/>
    </row>
    <row r="296" spans="1:3" ht="28.5" customHeight="1" x14ac:dyDescent="0.25">
      <c r="A296" s="878" t="s">
        <v>819</v>
      </c>
      <c r="B296" s="942" t="str">
        <f>_xlfn.CONCAT('Fusion Portfolio'!C204,", ",'Fusion Portfolio'!D204)</f>
        <v xml:space="preserve">, </v>
      </c>
      <c r="C296" s="942"/>
    </row>
    <row r="297" spans="1:3" ht="28.5" customHeight="1" x14ac:dyDescent="0.25">
      <c r="A297" s="878" t="s">
        <v>820</v>
      </c>
      <c r="B297" s="942" t="str">
        <f>_xlfn.CONCAT('Fusion Portfolio'!C205,", ",'Fusion Portfolio'!D205)</f>
        <v xml:space="preserve">, </v>
      </c>
      <c r="C297" s="942"/>
    </row>
    <row r="298" spans="1:3" ht="28.5" customHeight="1" x14ac:dyDescent="0.25">
      <c r="A298" s="878" t="s">
        <v>821</v>
      </c>
      <c r="B298" s="942" t="str">
        <f>_xlfn.CONCAT('Fusion Portfolio'!C206,", ",'Fusion Portfolio'!D206)</f>
        <v xml:space="preserve">, </v>
      </c>
      <c r="C298" s="942"/>
    </row>
    <row r="299" spans="1:3" ht="28.5" customHeight="1" x14ac:dyDescent="0.25">
      <c r="A299" s="878" t="s">
        <v>822</v>
      </c>
      <c r="B299" s="942" t="str">
        <f>_xlfn.CONCAT('Fusion Portfolio'!C207,", ",'Fusion Portfolio'!D207)</f>
        <v xml:space="preserve">, </v>
      </c>
      <c r="C299" s="942"/>
    </row>
    <row r="300" spans="1:3" ht="28.5" customHeight="1" x14ac:dyDescent="0.25">
      <c r="A300" s="878" t="s">
        <v>823</v>
      </c>
      <c r="B300" s="942" t="str">
        <f>_xlfn.CONCAT('Fusion Portfolio'!C208,", ",'Fusion Portfolio'!D208)</f>
        <v xml:space="preserve">, </v>
      </c>
      <c r="C300" s="942"/>
    </row>
    <row r="301" spans="1:3" ht="28.5" customHeight="1" x14ac:dyDescent="0.25">
      <c r="A301" s="878" t="s">
        <v>824</v>
      </c>
      <c r="B301" s="942" t="str">
        <f>_xlfn.CONCAT('Fusion Portfolio'!C209,", ",'Fusion Portfolio'!D209)</f>
        <v xml:space="preserve">, </v>
      </c>
      <c r="C301" s="942"/>
    </row>
    <row r="302" spans="1:3" ht="28.5" customHeight="1" x14ac:dyDescent="0.25">
      <c r="A302" s="878" t="s">
        <v>825</v>
      </c>
      <c r="B302" s="942" t="str">
        <f>_xlfn.CONCAT('Fusion Portfolio'!C210,", ",'Fusion Portfolio'!D210)</f>
        <v xml:space="preserve">, </v>
      </c>
      <c r="C302" s="942"/>
    </row>
    <row r="303" spans="1:3" ht="28.5" customHeight="1" x14ac:dyDescent="0.25">
      <c r="A303" s="878" t="s">
        <v>826</v>
      </c>
      <c r="B303" s="942" t="str">
        <f>_xlfn.CONCAT('Fusion Portfolio'!C211,", ",'Fusion Portfolio'!D211)</f>
        <v xml:space="preserve">, </v>
      </c>
      <c r="C303" s="942"/>
    </row>
    <row r="304" spans="1:3" ht="28.5" customHeight="1" x14ac:dyDescent="0.25">
      <c r="A304" s="878" t="s">
        <v>827</v>
      </c>
      <c r="B304" s="942" t="str">
        <f>_xlfn.CONCAT('Fusion Portfolio'!C212,", ",'Fusion Portfolio'!D212)</f>
        <v xml:space="preserve">, </v>
      </c>
      <c r="C304" s="942"/>
    </row>
    <row r="305" spans="1:3" ht="28.5" customHeight="1" x14ac:dyDescent="0.25">
      <c r="A305" s="878" t="s">
        <v>828</v>
      </c>
      <c r="B305" s="942" t="str">
        <f>_xlfn.CONCAT('Fusion Portfolio'!C213,", ",'Fusion Portfolio'!D213)</f>
        <v xml:space="preserve">, </v>
      </c>
      <c r="C305" s="942"/>
    </row>
    <row r="306" spans="1:3" ht="28.5" customHeight="1" x14ac:dyDescent="0.25">
      <c r="A306" s="878" t="s">
        <v>829</v>
      </c>
      <c r="B306" s="942" t="str">
        <f>_xlfn.CONCAT('Fusion Portfolio'!C214,", ",'Fusion Portfolio'!D214)</f>
        <v xml:space="preserve">, </v>
      </c>
      <c r="C306" s="942"/>
    </row>
    <row r="307" spans="1:3" ht="28.5" customHeight="1" x14ac:dyDescent="0.25">
      <c r="A307" s="878" t="s">
        <v>830</v>
      </c>
      <c r="B307" s="942" t="str">
        <f>_xlfn.CONCAT('Fusion Portfolio'!C215,", ",'Fusion Portfolio'!D215)</f>
        <v xml:space="preserve">, </v>
      </c>
      <c r="C307" s="942"/>
    </row>
    <row r="308" spans="1:3" ht="28.5" customHeight="1" x14ac:dyDescent="0.25">
      <c r="A308" s="878" t="s">
        <v>831</v>
      </c>
      <c r="B308" s="942" t="str">
        <f>_xlfn.CONCAT('Fusion Portfolio'!C216,", ",'Fusion Portfolio'!D216)</f>
        <v xml:space="preserve">, </v>
      </c>
      <c r="C308" s="942"/>
    </row>
    <row r="309" spans="1:3" ht="28.5" customHeight="1" x14ac:dyDescent="0.25">
      <c r="A309" s="878" t="s">
        <v>832</v>
      </c>
      <c r="B309" s="942" t="str">
        <f>_xlfn.CONCAT('Fusion Portfolio'!C217,", ",'Fusion Portfolio'!D217)</f>
        <v xml:space="preserve">, </v>
      </c>
      <c r="C309" s="942"/>
    </row>
    <row r="310" spans="1:3" ht="28.5" customHeight="1" x14ac:dyDescent="0.25">
      <c r="A310" s="878" t="s">
        <v>833</v>
      </c>
      <c r="B310" s="942" t="str">
        <f>_xlfn.CONCAT('Fusion Portfolio'!C218,", ",'Fusion Portfolio'!D218)</f>
        <v xml:space="preserve">, </v>
      </c>
      <c r="C310" s="942"/>
    </row>
    <row r="311" spans="1:3" ht="28.5" customHeight="1" x14ac:dyDescent="0.25">
      <c r="A311" s="878" t="s">
        <v>834</v>
      </c>
      <c r="B311" s="942" t="str">
        <f>_xlfn.CONCAT('Fusion Portfolio'!C219,", ",'Fusion Portfolio'!D219)</f>
        <v xml:space="preserve">, </v>
      </c>
      <c r="C311" s="942"/>
    </row>
    <row r="312" spans="1:3" ht="28.5" customHeight="1" x14ac:dyDescent="0.25">
      <c r="A312" s="878" t="s">
        <v>835</v>
      </c>
      <c r="B312" s="942" t="str">
        <f>_xlfn.CONCAT('Fusion Portfolio'!C220,", ",'Fusion Portfolio'!D220)</f>
        <v xml:space="preserve">, </v>
      </c>
      <c r="C312" s="942"/>
    </row>
    <row r="313" spans="1:3" ht="28.5" customHeight="1" x14ac:dyDescent="0.25">
      <c r="A313" s="878" t="s">
        <v>836</v>
      </c>
      <c r="B313" s="942" t="str">
        <f>_xlfn.CONCAT('Fusion Portfolio'!C221,", ",'Fusion Portfolio'!D221)</f>
        <v xml:space="preserve">, </v>
      </c>
      <c r="C313" s="942"/>
    </row>
    <row r="314" spans="1:3" ht="28.5" customHeight="1" x14ac:dyDescent="0.25">
      <c r="A314" s="878" t="s">
        <v>853</v>
      </c>
      <c r="B314" s="942" t="str">
        <f>_xlfn.CONCAT('Fusion Portfolio'!C222,", ",'Fusion Portfolio'!D222)</f>
        <v xml:space="preserve">, </v>
      </c>
      <c r="C314" s="942"/>
    </row>
    <row r="315" spans="1:3" ht="28.5" customHeight="1" x14ac:dyDescent="0.25">
      <c r="A315" s="878" t="s">
        <v>854</v>
      </c>
      <c r="B315" s="942" t="str">
        <f>_xlfn.CONCAT('Fusion Portfolio'!C223,", ",'Fusion Portfolio'!D223)</f>
        <v xml:space="preserve">, </v>
      </c>
      <c r="C315" s="942"/>
    </row>
    <row r="316" spans="1:3" ht="28.5" customHeight="1" x14ac:dyDescent="0.25">
      <c r="A316" s="878" t="s">
        <v>855</v>
      </c>
      <c r="B316" s="942" t="str">
        <f>_xlfn.CONCAT('Fusion Portfolio'!C224,", ",'Fusion Portfolio'!D224)</f>
        <v xml:space="preserve">, </v>
      </c>
      <c r="C316" s="942"/>
    </row>
    <row r="317" spans="1:3" ht="28.5" customHeight="1" x14ac:dyDescent="0.25">
      <c r="A317" s="878" t="s">
        <v>856</v>
      </c>
      <c r="B317" s="942" t="str">
        <f>_xlfn.CONCAT('Fusion Portfolio'!C225,", ",'Fusion Portfolio'!D225)</f>
        <v xml:space="preserve">, </v>
      </c>
      <c r="C317" s="942"/>
    </row>
    <row r="318" spans="1:3" ht="28.5" customHeight="1" x14ac:dyDescent="0.25">
      <c r="A318" s="878" t="s">
        <v>857</v>
      </c>
      <c r="B318" s="942" t="str">
        <f>_xlfn.CONCAT('Fusion Portfolio'!C226,", ",'Fusion Portfolio'!D226)</f>
        <v xml:space="preserve">, </v>
      </c>
      <c r="C318" s="942"/>
    </row>
    <row r="319" spans="1:3" ht="28.5" customHeight="1" x14ac:dyDescent="0.25">
      <c r="A319" s="878" t="s">
        <v>858</v>
      </c>
      <c r="B319" s="942" t="str">
        <f>_xlfn.CONCAT('Fusion Portfolio'!C227,", ",'Fusion Portfolio'!D227)</f>
        <v xml:space="preserve">, </v>
      </c>
      <c r="C319" s="942"/>
    </row>
    <row r="320" spans="1:3" ht="28.5" customHeight="1" x14ac:dyDescent="0.25">
      <c r="A320" s="878" t="s">
        <v>859</v>
      </c>
      <c r="B320" s="942" t="str">
        <f>_xlfn.CONCAT('Fusion Portfolio'!C228,", ",'Fusion Portfolio'!D228)</f>
        <v xml:space="preserve">, </v>
      </c>
      <c r="C320" s="942"/>
    </row>
    <row r="321" spans="1:3" ht="28.5" customHeight="1" x14ac:dyDescent="0.25">
      <c r="A321" s="878" t="s">
        <v>860</v>
      </c>
      <c r="B321" s="942" t="str">
        <f>_xlfn.CONCAT('Fusion Portfolio'!C229,", ",'Fusion Portfolio'!D229)</f>
        <v xml:space="preserve">, </v>
      </c>
      <c r="C321" s="942"/>
    </row>
    <row r="322" spans="1:3" ht="28.5" customHeight="1" x14ac:dyDescent="0.25">
      <c r="A322" s="878" t="s">
        <v>861</v>
      </c>
      <c r="B322" s="942" t="str">
        <f>_xlfn.CONCAT('Fusion Portfolio'!C230,", ",'Fusion Portfolio'!D230)</f>
        <v xml:space="preserve">, </v>
      </c>
      <c r="C322" s="942"/>
    </row>
    <row r="323" spans="1:3" ht="28.5" customHeight="1" x14ac:dyDescent="0.25">
      <c r="A323" s="878" t="s">
        <v>862</v>
      </c>
      <c r="B323" s="942" t="str">
        <f>_xlfn.CONCAT('Fusion Portfolio'!C231,", ",'Fusion Portfolio'!D231)</f>
        <v xml:space="preserve">, </v>
      </c>
      <c r="C323" s="942"/>
    </row>
    <row r="324" spans="1:3" ht="28.5" customHeight="1" x14ac:dyDescent="0.25">
      <c r="A324" s="878" t="s">
        <v>863</v>
      </c>
      <c r="B324" s="942" t="str">
        <f>_xlfn.CONCAT('Fusion Portfolio'!C232,", ",'Fusion Portfolio'!D232)</f>
        <v xml:space="preserve">, </v>
      </c>
      <c r="C324" s="942"/>
    </row>
    <row r="325" spans="1:3" ht="28.5" customHeight="1" x14ac:dyDescent="0.25">
      <c r="A325" s="878" t="s">
        <v>864</v>
      </c>
      <c r="B325" s="942" t="str">
        <f>_xlfn.CONCAT('Fusion Portfolio'!C233,", ",'Fusion Portfolio'!D233)</f>
        <v xml:space="preserve">, </v>
      </c>
      <c r="C325" s="942"/>
    </row>
    <row r="326" spans="1:3" ht="28.5" customHeight="1" x14ac:dyDescent="0.25">
      <c r="A326" s="878" t="s">
        <v>865</v>
      </c>
      <c r="B326" s="942" t="str">
        <f>_xlfn.CONCAT('Fusion Portfolio'!C234,", ",'Fusion Portfolio'!D234)</f>
        <v xml:space="preserve">, </v>
      </c>
      <c r="C326" s="942"/>
    </row>
    <row r="327" spans="1:3" ht="28.5" customHeight="1" x14ac:dyDescent="0.25">
      <c r="A327" s="878" t="s">
        <v>866</v>
      </c>
      <c r="B327" s="942" t="str">
        <f>_xlfn.CONCAT('Fusion Portfolio'!C235,", ",'Fusion Portfolio'!D235)</f>
        <v xml:space="preserve">, </v>
      </c>
      <c r="C327" s="942"/>
    </row>
    <row r="328" spans="1:3" ht="28.5" customHeight="1" x14ac:dyDescent="0.25">
      <c r="A328" s="878" t="s">
        <v>867</v>
      </c>
      <c r="B328" s="942" t="str">
        <f>_xlfn.CONCAT('Fusion Portfolio'!C236,", ",'Fusion Portfolio'!D236)</f>
        <v xml:space="preserve">, </v>
      </c>
      <c r="C328" s="942"/>
    </row>
    <row r="329" spans="1:3" ht="28.5" customHeight="1" x14ac:dyDescent="0.25">
      <c r="A329" s="878" t="s">
        <v>868</v>
      </c>
      <c r="B329" s="942" t="str">
        <f>_xlfn.CONCAT('Fusion Portfolio'!C237,", ",'Fusion Portfolio'!D237)</f>
        <v xml:space="preserve">, </v>
      </c>
      <c r="C329" s="942"/>
    </row>
    <row r="330" spans="1:3" ht="28.5" customHeight="1" x14ac:dyDescent="0.25">
      <c r="A330" s="878" t="s">
        <v>869</v>
      </c>
      <c r="B330" s="942" t="str">
        <f>_xlfn.CONCAT('Fusion Portfolio'!C238,", ",'Fusion Portfolio'!D238)</f>
        <v xml:space="preserve">, </v>
      </c>
      <c r="C330" s="942"/>
    </row>
    <row r="331" spans="1:3" ht="28.5" customHeight="1" x14ac:dyDescent="0.25">
      <c r="A331" s="878" t="s">
        <v>870</v>
      </c>
      <c r="B331" s="942" t="str">
        <f>_xlfn.CONCAT('Fusion Portfolio'!C239,", ",'Fusion Portfolio'!D239)</f>
        <v xml:space="preserve">, </v>
      </c>
      <c r="C331" s="942"/>
    </row>
    <row r="332" spans="1:3" ht="28.5" customHeight="1" x14ac:dyDescent="0.25">
      <c r="A332" s="878" t="s">
        <v>871</v>
      </c>
      <c r="B332" s="942" t="str">
        <f>_xlfn.CONCAT('Fusion Portfolio'!C240,", ",'Fusion Portfolio'!D240)</f>
        <v xml:space="preserve">, </v>
      </c>
      <c r="C332" s="942"/>
    </row>
    <row r="333" spans="1:3" ht="28.5" customHeight="1" x14ac:dyDescent="0.25">
      <c r="A333" s="878" t="s">
        <v>872</v>
      </c>
      <c r="B333" s="942" t="str">
        <f>_xlfn.CONCAT('Fusion Portfolio'!C241,", ",'Fusion Portfolio'!D241)</f>
        <v xml:space="preserve">, </v>
      </c>
      <c r="C333" s="942"/>
    </row>
    <row r="334" spans="1:3" ht="28.5" customHeight="1" x14ac:dyDescent="0.25">
      <c r="A334" s="878" t="s">
        <v>873</v>
      </c>
      <c r="B334" s="942" t="str">
        <f>_xlfn.CONCAT('Fusion Portfolio'!C242,", ",'Fusion Portfolio'!D242)</f>
        <v xml:space="preserve">, </v>
      </c>
      <c r="C334" s="942"/>
    </row>
    <row r="335" spans="1:3" ht="28.5" customHeight="1" x14ac:dyDescent="0.25">
      <c r="A335" s="878" t="s">
        <v>874</v>
      </c>
      <c r="B335" s="942" t="str">
        <f>_xlfn.CONCAT('Fusion Portfolio'!C243,", ",'Fusion Portfolio'!D243)</f>
        <v xml:space="preserve">, </v>
      </c>
      <c r="C335" s="942"/>
    </row>
    <row r="336" spans="1:3" ht="28.5" customHeight="1" x14ac:dyDescent="0.25">
      <c r="A336" s="878" t="s">
        <v>875</v>
      </c>
      <c r="B336" s="942" t="str">
        <f>_xlfn.CONCAT('Fusion Portfolio'!C244,", ",'Fusion Portfolio'!D244)</f>
        <v xml:space="preserve">, </v>
      </c>
      <c r="C336" s="942"/>
    </row>
    <row r="337" spans="1:3" ht="28.5" customHeight="1" x14ac:dyDescent="0.25">
      <c r="A337" s="878" t="s">
        <v>876</v>
      </c>
      <c r="B337" s="942" t="str">
        <f>_xlfn.CONCAT('Fusion Portfolio'!C245,", ",'Fusion Portfolio'!D245)</f>
        <v xml:space="preserve">, </v>
      </c>
      <c r="C337" s="942"/>
    </row>
    <row r="338" spans="1:3" ht="28.5" customHeight="1" x14ac:dyDescent="0.25">
      <c r="A338" s="878" t="s">
        <v>877</v>
      </c>
      <c r="B338" s="942" t="str">
        <f>_xlfn.CONCAT('Fusion Portfolio'!C246,", ",'Fusion Portfolio'!D246)</f>
        <v xml:space="preserve">, </v>
      </c>
      <c r="C338" s="942"/>
    </row>
    <row r="339" spans="1:3" ht="28.5" customHeight="1" x14ac:dyDescent="0.25">
      <c r="A339" s="878" t="s">
        <v>878</v>
      </c>
      <c r="B339" s="942" t="str">
        <f>_xlfn.CONCAT('Fusion Portfolio'!C247,", ",'Fusion Portfolio'!D247)</f>
        <v xml:space="preserve">, </v>
      </c>
      <c r="C339" s="942"/>
    </row>
    <row r="340" spans="1:3" ht="28.5" customHeight="1" x14ac:dyDescent="0.25">
      <c r="A340" s="878" t="s">
        <v>879</v>
      </c>
      <c r="B340" s="942" t="str">
        <f>_xlfn.CONCAT('Fusion Portfolio'!C248,", ",'Fusion Portfolio'!D248)</f>
        <v xml:space="preserve">, </v>
      </c>
      <c r="C340" s="942"/>
    </row>
    <row r="341" spans="1:3" ht="28.5" customHeight="1" x14ac:dyDescent="0.25">
      <c r="A341" s="878" t="s">
        <v>880</v>
      </c>
      <c r="B341" s="942" t="str">
        <f>_xlfn.CONCAT('Fusion Portfolio'!C249,", ",'Fusion Portfolio'!D249)</f>
        <v xml:space="preserve">, </v>
      </c>
      <c r="C341" s="942"/>
    </row>
    <row r="342" spans="1:3" ht="28.5" customHeight="1" x14ac:dyDescent="0.25">
      <c r="A342" s="878" t="s">
        <v>881</v>
      </c>
      <c r="B342" s="942" t="str">
        <f>_xlfn.CONCAT('Fusion Portfolio'!C250,", ",'Fusion Portfolio'!D250)</f>
        <v xml:space="preserve">, </v>
      </c>
      <c r="C342" s="942"/>
    </row>
    <row r="343" spans="1:3" ht="28.5" customHeight="1" x14ac:dyDescent="0.25">
      <c r="A343" s="878" t="s">
        <v>882</v>
      </c>
      <c r="B343" s="942" t="str">
        <f>_xlfn.CONCAT('Fusion Portfolio'!C251,", ",'Fusion Portfolio'!D251)</f>
        <v xml:space="preserve">, </v>
      </c>
      <c r="C343" s="942"/>
    </row>
    <row r="344" spans="1:3" ht="28.5" customHeight="1" x14ac:dyDescent="0.25">
      <c r="A344" s="878" t="s">
        <v>883</v>
      </c>
      <c r="B344" s="942" t="str">
        <f>_xlfn.CONCAT('Fusion Portfolio'!C252,", ",'Fusion Portfolio'!D252)</f>
        <v xml:space="preserve">, </v>
      </c>
      <c r="C344" s="942"/>
    </row>
    <row r="345" spans="1:3" ht="28.5" customHeight="1" x14ac:dyDescent="0.25">
      <c r="A345" s="878" t="s">
        <v>884</v>
      </c>
      <c r="B345" s="942" t="str">
        <f>_xlfn.CONCAT('Fusion Portfolio'!C253,", ",'Fusion Portfolio'!D253)</f>
        <v xml:space="preserve">, </v>
      </c>
      <c r="C345" s="942"/>
    </row>
    <row r="346" spans="1:3" ht="28.5" customHeight="1" x14ac:dyDescent="0.25">
      <c r="A346" s="878" t="s">
        <v>885</v>
      </c>
      <c r="B346" s="942" t="str">
        <f>_xlfn.CONCAT('Fusion Portfolio'!C254,", ",'Fusion Portfolio'!D254)</f>
        <v xml:space="preserve">, </v>
      </c>
      <c r="C346" s="942"/>
    </row>
    <row r="347" spans="1:3" ht="28.5" customHeight="1" x14ac:dyDescent="0.25">
      <c r="A347" s="878" t="s">
        <v>886</v>
      </c>
      <c r="B347" s="942" t="str">
        <f>_xlfn.CONCAT('Fusion Portfolio'!C255,", ",'Fusion Portfolio'!D255)</f>
        <v xml:space="preserve">, </v>
      </c>
      <c r="C347" s="942"/>
    </row>
    <row r="348" spans="1:3" ht="28.5" customHeight="1" x14ac:dyDescent="0.25">
      <c r="A348" s="878" t="s">
        <v>887</v>
      </c>
      <c r="B348" s="942" t="str">
        <f>_xlfn.CONCAT('Fusion Portfolio'!C256,", ",'Fusion Portfolio'!D256)</f>
        <v xml:space="preserve">, </v>
      </c>
      <c r="C348" s="942"/>
    </row>
    <row r="349" spans="1:3" ht="28.5" customHeight="1" x14ac:dyDescent="0.25">
      <c r="A349" s="878" t="s">
        <v>888</v>
      </c>
      <c r="B349" s="942" t="str">
        <f>_xlfn.CONCAT('Fusion Portfolio'!C257,", ",'Fusion Portfolio'!D257)</f>
        <v xml:space="preserve">, </v>
      </c>
      <c r="C349" s="942"/>
    </row>
    <row r="350" spans="1:3" ht="28.5" customHeight="1" x14ac:dyDescent="0.25">
      <c r="A350" s="878" t="s">
        <v>889</v>
      </c>
      <c r="B350" s="942" t="str">
        <f>_xlfn.CONCAT('Fusion Portfolio'!C258,", ",'Fusion Portfolio'!D258)</f>
        <v xml:space="preserve">, </v>
      </c>
      <c r="C350" s="942"/>
    </row>
    <row r="351" spans="1:3" ht="28.5" customHeight="1" x14ac:dyDescent="0.25">
      <c r="A351" s="878" t="s">
        <v>890</v>
      </c>
      <c r="B351" s="942" t="str">
        <f>_xlfn.CONCAT('Fusion Portfolio'!C259,", ",'Fusion Portfolio'!D259)</f>
        <v xml:space="preserve">, </v>
      </c>
      <c r="C351" s="942"/>
    </row>
    <row r="352" spans="1:3" ht="28.5" customHeight="1" x14ac:dyDescent="0.25">
      <c r="A352" s="878" t="s">
        <v>891</v>
      </c>
      <c r="B352" s="942" t="str">
        <f>_xlfn.CONCAT('Fusion Portfolio'!C260,", ",'Fusion Portfolio'!D260)</f>
        <v xml:space="preserve">, </v>
      </c>
      <c r="C352" s="942"/>
    </row>
    <row r="353" spans="1:3" ht="28.5" customHeight="1" x14ac:dyDescent="0.25">
      <c r="A353" s="878" t="s">
        <v>892</v>
      </c>
      <c r="B353" s="942" t="str">
        <f>_xlfn.CONCAT('Fusion Portfolio'!C261,", ",'Fusion Portfolio'!D261)</f>
        <v xml:space="preserve">, </v>
      </c>
      <c r="C353" s="942"/>
    </row>
    <row r="354" spans="1:3" ht="28.5" customHeight="1" x14ac:dyDescent="0.25">
      <c r="A354" s="878" t="s">
        <v>893</v>
      </c>
      <c r="B354" s="942" t="str">
        <f>_xlfn.CONCAT('Fusion Portfolio'!C262,", ",'Fusion Portfolio'!D262)</f>
        <v xml:space="preserve">, </v>
      </c>
      <c r="C354" s="942"/>
    </row>
    <row r="355" spans="1:3" ht="28.5" customHeight="1" x14ac:dyDescent="0.25">
      <c r="A355" s="878" t="s">
        <v>894</v>
      </c>
      <c r="B355" s="942" t="str">
        <f>_xlfn.CONCAT('Fusion Portfolio'!C263,", ",'Fusion Portfolio'!D263)</f>
        <v xml:space="preserve">, </v>
      </c>
      <c r="C355" s="942"/>
    </row>
    <row r="356" spans="1:3" ht="28.5" customHeight="1" x14ac:dyDescent="0.25">
      <c r="A356" s="878" t="s">
        <v>895</v>
      </c>
      <c r="B356" s="942" t="str">
        <f>_xlfn.CONCAT('Fusion Portfolio'!C264,", ",'Fusion Portfolio'!D264)</f>
        <v xml:space="preserve">, </v>
      </c>
      <c r="C356" s="942"/>
    </row>
    <row r="357" spans="1:3" ht="28.5" customHeight="1" x14ac:dyDescent="0.25">
      <c r="A357" s="878" t="s">
        <v>896</v>
      </c>
      <c r="B357" s="942" t="str">
        <f>_xlfn.CONCAT('Fusion Portfolio'!C265,", ",'Fusion Portfolio'!D265)</f>
        <v xml:space="preserve">, </v>
      </c>
      <c r="C357" s="942"/>
    </row>
    <row r="358" spans="1:3" ht="28.5" customHeight="1" x14ac:dyDescent="0.25">
      <c r="A358" s="878" t="s">
        <v>897</v>
      </c>
      <c r="B358" s="942" t="str">
        <f>_xlfn.CONCAT('Fusion Portfolio'!C266,", ",'Fusion Portfolio'!D266)</f>
        <v xml:space="preserve">, </v>
      </c>
      <c r="C358" s="942"/>
    </row>
    <row r="359" spans="1:3" ht="28.5" customHeight="1" x14ac:dyDescent="0.25">
      <c r="A359" s="878" t="s">
        <v>898</v>
      </c>
      <c r="B359" s="942" t="str">
        <f>_xlfn.CONCAT('Fusion Portfolio'!C267,", ",'Fusion Portfolio'!D267)</f>
        <v xml:space="preserve">, </v>
      </c>
      <c r="C359" s="942"/>
    </row>
    <row r="360" spans="1:3" ht="28.5" customHeight="1" x14ac:dyDescent="0.25">
      <c r="A360" s="878" t="s">
        <v>899</v>
      </c>
      <c r="B360" s="942" t="str">
        <f>_xlfn.CONCAT('Fusion Portfolio'!C268,", ",'Fusion Portfolio'!D268)</f>
        <v xml:space="preserve">, </v>
      </c>
      <c r="C360" s="942"/>
    </row>
    <row r="361" spans="1:3" ht="28.5" customHeight="1" x14ac:dyDescent="0.25">
      <c r="A361" s="878" t="s">
        <v>900</v>
      </c>
      <c r="B361" s="942" t="str">
        <f>_xlfn.CONCAT('Fusion Portfolio'!C269,", ",'Fusion Portfolio'!D269)</f>
        <v xml:space="preserve">, </v>
      </c>
      <c r="C361" s="942"/>
    </row>
    <row r="362" spans="1:3" ht="28.5" customHeight="1" x14ac:dyDescent="0.25">
      <c r="A362" s="878" t="s">
        <v>901</v>
      </c>
      <c r="B362" s="942" t="str">
        <f>_xlfn.CONCAT('Fusion Portfolio'!C270,", ",'Fusion Portfolio'!D270)</f>
        <v xml:space="preserve">, </v>
      </c>
      <c r="C362" s="942"/>
    </row>
    <row r="363" spans="1:3" ht="28.5" customHeight="1" x14ac:dyDescent="0.25">
      <c r="A363" s="878" t="s">
        <v>902</v>
      </c>
      <c r="B363" s="942" t="str">
        <f>_xlfn.CONCAT('Fusion Portfolio'!C271,", ",'Fusion Portfolio'!D271)</f>
        <v xml:space="preserve">, </v>
      </c>
      <c r="C363" s="942"/>
    </row>
    <row r="364" spans="1:3" ht="28.5" customHeight="1" x14ac:dyDescent="0.25">
      <c r="A364" s="878" t="s">
        <v>903</v>
      </c>
      <c r="B364" s="942" t="str">
        <f>_xlfn.CONCAT('Fusion Portfolio'!C272,", ",'Fusion Portfolio'!D272)</f>
        <v xml:space="preserve">, </v>
      </c>
      <c r="C364" s="942"/>
    </row>
    <row r="365" spans="1:3" ht="28.5" customHeight="1" x14ac:dyDescent="0.25">
      <c r="A365" s="878" t="s">
        <v>904</v>
      </c>
      <c r="B365" s="942" t="str">
        <f>_xlfn.CONCAT('Fusion Portfolio'!C273,", ",'Fusion Portfolio'!D273)</f>
        <v xml:space="preserve">, </v>
      </c>
      <c r="C365" s="942"/>
    </row>
    <row r="366" spans="1:3" ht="28.5" customHeight="1" x14ac:dyDescent="0.25">
      <c r="A366" s="878" t="s">
        <v>905</v>
      </c>
      <c r="B366" s="942" t="str">
        <f>_xlfn.CONCAT('Fusion Portfolio'!C274,", ",'Fusion Portfolio'!D274)</f>
        <v xml:space="preserve">, </v>
      </c>
      <c r="C366" s="942"/>
    </row>
    <row r="367" spans="1:3" ht="28.5" customHeight="1" x14ac:dyDescent="0.25">
      <c r="A367" s="878" t="s">
        <v>906</v>
      </c>
      <c r="B367" s="942" t="str">
        <f>_xlfn.CONCAT('Fusion Portfolio'!C275,", ",'Fusion Portfolio'!D275)</f>
        <v xml:space="preserve">, </v>
      </c>
      <c r="C367" s="942"/>
    </row>
    <row r="368" spans="1:3" ht="28.5" customHeight="1" x14ac:dyDescent="0.25">
      <c r="A368" s="878" t="s">
        <v>907</v>
      </c>
      <c r="B368" s="942" t="str">
        <f>_xlfn.CONCAT('Fusion Portfolio'!C276,", ",'Fusion Portfolio'!D276)</f>
        <v xml:space="preserve">, </v>
      </c>
      <c r="C368" s="942"/>
    </row>
    <row r="369" spans="1:3" ht="28.5" customHeight="1" x14ac:dyDescent="0.25">
      <c r="A369" s="878" t="s">
        <v>908</v>
      </c>
      <c r="B369" s="942" t="str">
        <f>_xlfn.CONCAT('Fusion Portfolio'!C277,", ",'Fusion Portfolio'!D277)</f>
        <v xml:space="preserve">, </v>
      </c>
      <c r="C369" s="942"/>
    </row>
    <row r="370" spans="1:3" ht="28.5" customHeight="1" x14ac:dyDescent="0.25">
      <c r="A370" s="878" t="s">
        <v>909</v>
      </c>
      <c r="B370" s="942" t="str">
        <f>_xlfn.CONCAT('Fusion Portfolio'!C278,", ",'Fusion Portfolio'!D278)</f>
        <v xml:space="preserve">, </v>
      </c>
      <c r="C370" s="942"/>
    </row>
    <row r="371" spans="1:3" ht="28.5" customHeight="1" x14ac:dyDescent="0.25">
      <c r="A371" s="878" t="s">
        <v>910</v>
      </c>
      <c r="B371" s="942" t="str">
        <f>_xlfn.CONCAT('Fusion Portfolio'!C279,", ",'Fusion Portfolio'!D279)</f>
        <v xml:space="preserve">, </v>
      </c>
      <c r="C371" s="942"/>
    </row>
    <row r="372" spans="1:3" ht="28.5" customHeight="1" x14ac:dyDescent="0.25">
      <c r="A372" s="878" t="s">
        <v>911</v>
      </c>
      <c r="B372" s="942" t="str">
        <f>_xlfn.CONCAT('Fusion Portfolio'!C280,", ",'Fusion Portfolio'!D280)</f>
        <v xml:space="preserve">, </v>
      </c>
      <c r="C372" s="942"/>
    </row>
    <row r="373" spans="1:3" ht="28.5" customHeight="1" x14ac:dyDescent="0.25">
      <c r="A373" s="878" t="s">
        <v>912</v>
      </c>
      <c r="B373" s="942" t="str">
        <f>_xlfn.CONCAT('Fusion Portfolio'!C281,", ",'Fusion Portfolio'!D281)</f>
        <v xml:space="preserve">, </v>
      </c>
      <c r="C373" s="942"/>
    </row>
    <row r="374" spans="1:3" ht="28.5" customHeight="1" x14ac:dyDescent="0.25">
      <c r="A374" s="878" t="s">
        <v>913</v>
      </c>
      <c r="B374" s="942" t="str">
        <f>_xlfn.CONCAT('Fusion Portfolio'!C282,", ",'Fusion Portfolio'!D282)</f>
        <v xml:space="preserve">, </v>
      </c>
      <c r="C374" s="942"/>
    </row>
    <row r="375" spans="1:3" ht="28.5" customHeight="1" x14ac:dyDescent="0.25">
      <c r="A375" s="878" t="s">
        <v>914</v>
      </c>
      <c r="B375" s="942" t="str">
        <f>_xlfn.CONCAT('Fusion Portfolio'!C283,", ",'Fusion Portfolio'!D283)</f>
        <v xml:space="preserve">, </v>
      </c>
      <c r="C375" s="942"/>
    </row>
    <row r="376" spans="1:3" ht="28.5" customHeight="1" x14ac:dyDescent="0.25">
      <c r="A376" s="878" t="s">
        <v>915</v>
      </c>
      <c r="B376" s="942" t="str">
        <f>_xlfn.CONCAT('Fusion Portfolio'!C284,", ",'Fusion Portfolio'!D284)</f>
        <v xml:space="preserve">, </v>
      </c>
      <c r="C376" s="942"/>
    </row>
    <row r="377" spans="1:3" ht="28.5" customHeight="1" x14ac:dyDescent="0.25">
      <c r="A377" s="878" t="s">
        <v>916</v>
      </c>
      <c r="B377" s="942" t="str">
        <f>_xlfn.CONCAT('Fusion Portfolio'!C285,", ",'Fusion Portfolio'!D285)</f>
        <v xml:space="preserve">, </v>
      </c>
      <c r="C377" s="942"/>
    </row>
    <row r="378" spans="1:3" ht="28.5" customHeight="1" x14ac:dyDescent="0.25">
      <c r="A378" s="878" t="s">
        <v>917</v>
      </c>
      <c r="B378" s="942" t="str">
        <f>_xlfn.CONCAT('Fusion Portfolio'!C286,", ",'Fusion Portfolio'!D286)</f>
        <v xml:space="preserve">, </v>
      </c>
      <c r="C378" s="942"/>
    </row>
    <row r="379" spans="1:3" ht="28.5" customHeight="1" x14ac:dyDescent="0.25">
      <c r="A379" s="878" t="s">
        <v>918</v>
      </c>
      <c r="B379" s="942" t="str">
        <f>_xlfn.CONCAT('Fusion Portfolio'!C287,", ",'Fusion Portfolio'!D287)</f>
        <v xml:space="preserve">, </v>
      </c>
      <c r="C379" s="942"/>
    </row>
    <row r="380" spans="1:3" ht="28.5" customHeight="1" x14ac:dyDescent="0.25">
      <c r="A380" s="878" t="s">
        <v>919</v>
      </c>
      <c r="B380" s="942" t="str">
        <f>_xlfn.CONCAT('Fusion Portfolio'!C288,", ",'Fusion Portfolio'!D288)</f>
        <v xml:space="preserve">, </v>
      </c>
      <c r="C380" s="942"/>
    </row>
    <row r="381" spans="1:3" ht="28.5" customHeight="1" x14ac:dyDescent="0.25">
      <c r="A381" s="878" t="s">
        <v>920</v>
      </c>
      <c r="B381" s="942" t="str">
        <f>_xlfn.CONCAT('Fusion Portfolio'!C289,", ",'Fusion Portfolio'!D289)</f>
        <v xml:space="preserve">, </v>
      </c>
      <c r="C381" s="942"/>
    </row>
    <row r="382" spans="1:3" ht="28.5" customHeight="1" x14ac:dyDescent="0.25">
      <c r="A382" s="878" t="s">
        <v>921</v>
      </c>
      <c r="B382" s="942" t="str">
        <f>_xlfn.CONCAT('Fusion Portfolio'!C290,", ",'Fusion Portfolio'!D290)</f>
        <v xml:space="preserve">, </v>
      </c>
      <c r="C382" s="942"/>
    </row>
    <row r="383" spans="1:3" ht="28.5" customHeight="1" x14ac:dyDescent="0.25">
      <c r="A383" s="878" t="s">
        <v>922</v>
      </c>
      <c r="B383" s="942" t="str">
        <f>_xlfn.CONCAT('Fusion Portfolio'!C291,", ",'Fusion Portfolio'!D291)</f>
        <v xml:space="preserve">, </v>
      </c>
      <c r="C383" s="942"/>
    </row>
    <row r="384" spans="1:3" ht="28.5" customHeight="1" x14ac:dyDescent="0.25">
      <c r="A384" s="878" t="s">
        <v>923</v>
      </c>
      <c r="B384" s="942" t="str">
        <f>_xlfn.CONCAT('Fusion Portfolio'!C292,", ",'Fusion Portfolio'!D292)</f>
        <v xml:space="preserve">, </v>
      </c>
      <c r="C384" s="942"/>
    </row>
    <row r="385" spans="1:3" ht="28.5" customHeight="1" x14ac:dyDescent="0.25">
      <c r="A385" s="878" t="s">
        <v>924</v>
      </c>
      <c r="B385" s="942" t="str">
        <f>_xlfn.CONCAT('Fusion Portfolio'!C293,", ",'Fusion Portfolio'!D293)</f>
        <v xml:space="preserve">, </v>
      </c>
      <c r="C385" s="942"/>
    </row>
    <row r="386" spans="1:3" ht="28.5" customHeight="1" x14ac:dyDescent="0.25">
      <c r="A386" s="878" t="s">
        <v>925</v>
      </c>
      <c r="B386" s="942" t="str">
        <f>_xlfn.CONCAT('Fusion Portfolio'!C294,", ",'Fusion Portfolio'!D294)</f>
        <v xml:space="preserve">, </v>
      </c>
      <c r="C386" s="942"/>
    </row>
    <row r="387" spans="1:3" ht="28.5" customHeight="1" x14ac:dyDescent="0.25">
      <c r="A387" s="878" t="s">
        <v>926</v>
      </c>
      <c r="B387" s="942" t="str">
        <f>_xlfn.CONCAT('Fusion Portfolio'!C295,", ",'Fusion Portfolio'!D295)</f>
        <v xml:space="preserve">, </v>
      </c>
      <c r="C387" s="942"/>
    </row>
    <row r="388" spans="1:3" ht="28.5" customHeight="1" x14ac:dyDescent="0.25">
      <c r="A388" s="878" t="s">
        <v>927</v>
      </c>
      <c r="B388" s="942" t="str">
        <f>_xlfn.CONCAT('Fusion Portfolio'!C296,", ",'Fusion Portfolio'!D296)</f>
        <v xml:space="preserve">, </v>
      </c>
      <c r="C388" s="942"/>
    </row>
    <row r="389" spans="1:3" ht="28.5" customHeight="1" x14ac:dyDescent="0.25">
      <c r="A389" s="878" t="s">
        <v>928</v>
      </c>
      <c r="B389" s="942" t="str">
        <f>_xlfn.CONCAT('Fusion Portfolio'!C297,", ",'Fusion Portfolio'!D297)</f>
        <v xml:space="preserve">, </v>
      </c>
      <c r="C389" s="942"/>
    </row>
    <row r="390" spans="1:3" ht="28.5" customHeight="1" x14ac:dyDescent="0.25">
      <c r="A390" s="878" t="s">
        <v>929</v>
      </c>
      <c r="B390" s="942" t="str">
        <f>_xlfn.CONCAT('Fusion Portfolio'!C298,", ",'Fusion Portfolio'!D298)</f>
        <v xml:space="preserve">, </v>
      </c>
      <c r="C390" s="942"/>
    </row>
    <row r="391" spans="1:3" ht="28.5" customHeight="1" x14ac:dyDescent="0.25">
      <c r="A391" s="878" t="s">
        <v>930</v>
      </c>
      <c r="B391" s="942" t="str">
        <f>_xlfn.CONCAT('Fusion Portfolio'!C299,", ",'Fusion Portfolio'!D299)</f>
        <v xml:space="preserve">, </v>
      </c>
      <c r="C391" s="942"/>
    </row>
    <row r="392" spans="1:3" ht="28.5" customHeight="1" x14ac:dyDescent="0.25">
      <c r="A392" s="878" t="s">
        <v>931</v>
      </c>
      <c r="B392" s="942" t="str">
        <f>_xlfn.CONCAT('Fusion Portfolio'!C300,", ",'Fusion Portfolio'!D300)</f>
        <v xml:space="preserve">, </v>
      </c>
      <c r="C392" s="942"/>
    </row>
    <row r="393" spans="1:3" ht="28.5" customHeight="1" x14ac:dyDescent="0.25">
      <c r="A393" s="878" t="s">
        <v>932</v>
      </c>
      <c r="B393" s="942" t="str">
        <f>_xlfn.CONCAT('Fusion Portfolio'!C301,", ",'Fusion Portfolio'!D301)</f>
        <v xml:space="preserve">, </v>
      </c>
      <c r="C393" s="942"/>
    </row>
    <row r="394" spans="1:3" ht="28.5" customHeight="1" x14ac:dyDescent="0.25">
      <c r="A394" s="878" t="s">
        <v>933</v>
      </c>
      <c r="B394" s="942" t="str">
        <f>_xlfn.CONCAT('Fusion Portfolio'!C302,", ",'Fusion Portfolio'!D302)</f>
        <v xml:space="preserve">, </v>
      </c>
      <c r="C394" s="942"/>
    </row>
    <row r="395" spans="1:3" ht="28.5" customHeight="1" x14ac:dyDescent="0.25">
      <c r="A395" s="878" t="s">
        <v>934</v>
      </c>
      <c r="B395" s="942" t="str">
        <f>_xlfn.CONCAT('Fusion Portfolio'!C303,", ",'Fusion Portfolio'!D303)</f>
        <v xml:space="preserve">, </v>
      </c>
      <c r="C395" s="942"/>
    </row>
    <row r="396" spans="1:3" ht="28.5" customHeight="1" x14ac:dyDescent="0.25">
      <c r="A396" s="878" t="s">
        <v>935</v>
      </c>
      <c r="B396" s="942" t="str">
        <f>_xlfn.CONCAT('Fusion Portfolio'!C304,", ",'Fusion Portfolio'!D304)</f>
        <v xml:space="preserve">, </v>
      </c>
      <c r="C396" s="942"/>
    </row>
    <row r="397" spans="1:3" ht="28.5" customHeight="1" x14ac:dyDescent="0.25">
      <c r="A397" s="878" t="s">
        <v>936</v>
      </c>
      <c r="B397" s="942" t="str">
        <f>_xlfn.CONCAT('Fusion Portfolio'!C305,", ",'Fusion Portfolio'!D305)</f>
        <v xml:space="preserve">, </v>
      </c>
      <c r="C397" s="942"/>
    </row>
    <row r="398" spans="1:3" ht="28.5" customHeight="1" x14ac:dyDescent="0.25">
      <c r="A398" s="878" t="s">
        <v>937</v>
      </c>
      <c r="B398" s="942" t="str">
        <f>_xlfn.CONCAT('Fusion Portfolio'!C306,", ",'Fusion Portfolio'!D306)</f>
        <v xml:space="preserve">, </v>
      </c>
      <c r="C398" s="942"/>
    </row>
    <row r="399" spans="1:3" ht="28.5" customHeight="1" x14ac:dyDescent="0.25">
      <c r="A399" s="878" t="s">
        <v>938</v>
      </c>
      <c r="B399" s="942" t="str">
        <f>_xlfn.CONCAT('Fusion Portfolio'!C307,", ",'Fusion Portfolio'!D307)</f>
        <v xml:space="preserve">, </v>
      </c>
      <c r="C399" s="942"/>
    </row>
    <row r="400" spans="1:3" ht="28.5" customHeight="1" x14ac:dyDescent="0.25">
      <c r="A400" s="878" t="s">
        <v>939</v>
      </c>
      <c r="B400" s="942" t="str">
        <f>_xlfn.CONCAT('Fusion Portfolio'!C308,", ",'Fusion Portfolio'!D308)</f>
        <v xml:space="preserve">, </v>
      </c>
      <c r="C400" s="942"/>
    </row>
    <row r="401" spans="1:3" ht="28.5" customHeight="1" x14ac:dyDescent="0.25">
      <c r="A401" s="878" t="s">
        <v>940</v>
      </c>
      <c r="B401" s="942" t="str">
        <f>_xlfn.CONCAT('Fusion Portfolio'!C309,", ",'Fusion Portfolio'!D309)</f>
        <v xml:space="preserve">, </v>
      </c>
      <c r="C401" s="942"/>
    </row>
    <row r="402" spans="1:3" ht="28.5" customHeight="1" x14ac:dyDescent="0.25">
      <c r="A402" s="878" t="s">
        <v>941</v>
      </c>
      <c r="B402" s="942" t="str">
        <f>_xlfn.CONCAT('Fusion Portfolio'!C310,", ",'Fusion Portfolio'!D310)</f>
        <v xml:space="preserve">, </v>
      </c>
      <c r="C402" s="942"/>
    </row>
    <row r="403" spans="1:3" ht="28.5" customHeight="1" x14ac:dyDescent="0.25">
      <c r="A403" s="878" t="s">
        <v>942</v>
      </c>
      <c r="B403" s="942" t="str">
        <f>_xlfn.CONCAT('Fusion Portfolio'!C311,", ",'Fusion Portfolio'!D311)</f>
        <v xml:space="preserve">, </v>
      </c>
      <c r="C403" s="942"/>
    </row>
    <row r="404" spans="1:3" ht="28.5" customHeight="1" x14ac:dyDescent="0.25">
      <c r="A404" s="878" t="s">
        <v>943</v>
      </c>
      <c r="B404" s="942" t="str">
        <f>_xlfn.CONCAT('Fusion Portfolio'!C312,", ",'Fusion Portfolio'!D312)</f>
        <v xml:space="preserve">, </v>
      </c>
      <c r="C404" s="942"/>
    </row>
    <row r="405" spans="1:3" ht="28.5" customHeight="1" x14ac:dyDescent="0.25">
      <c r="A405" s="878" t="s">
        <v>944</v>
      </c>
      <c r="B405" s="942" t="str">
        <f>_xlfn.CONCAT('Fusion Portfolio'!C313,", ",'Fusion Portfolio'!D313)</f>
        <v xml:space="preserve">, </v>
      </c>
      <c r="C405" s="942"/>
    </row>
    <row r="406" spans="1:3" ht="28.5" customHeight="1" x14ac:dyDescent="0.25">
      <c r="A406" s="878" t="s">
        <v>945</v>
      </c>
      <c r="B406" s="942" t="str">
        <f>_xlfn.CONCAT('Fusion Portfolio'!C314,", ",'Fusion Portfolio'!D314)</f>
        <v xml:space="preserve">, </v>
      </c>
      <c r="C406" s="942"/>
    </row>
    <row r="407" spans="1:3" ht="28.5" customHeight="1" x14ac:dyDescent="0.25">
      <c r="A407" s="878" t="s">
        <v>946</v>
      </c>
      <c r="B407" s="942" t="str">
        <f>_xlfn.CONCAT('Fusion Portfolio'!C315,", ",'Fusion Portfolio'!D315)</f>
        <v xml:space="preserve">, </v>
      </c>
      <c r="C407" s="942"/>
    </row>
    <row r="408" spans="1:3" ht="28.5" customHeight="1" x14ac:dyDescent="0.25">
      <c r="A408" s="878" t="s">
        <v>947</v>
      </c>
      <c r="B408" s="942" t="str">
        <f>_xlfn.CONCAT('Fusion Portfolio'!C316,", ",'Fusion Portfolio'!D316)</f>
        <v xml:space="preserve">, </v>
      </c>
      <c r="C408" s="942"/>
    </row>
    <row r="409" spans="1:3" ht="28.5" customHeight="1" x14ac:dyDescent="0.25">
      <c r="A409" s="878" t="s">
        <v>948</v>
      </c>
      <c r="B409" s="942" t="str">
        <f>_xlfn.CONCAT('Fusion Portfolio'!C317,", ",'Fusion Portfolio'!D317)</f>
        <v xml:space="preserve">, </v>
      </c>
      <c r="C409" s="942"/>
    </row>
    <row r="410" spans="1:3" ht="28.5" customHeight="1" x14ac:dyDescent="0.25">
      <c r="A410" s="878" t="s">
        <v>949</v>
      </c>
      <c r="B410" s="942" t="str">
        <f>_xlfn.CONCAT('Fusion Portfolio'!C318,", ",'Fusion Portfolio'!D318)</f>
        <v xml:space="preserve">, </v>
      </c>
      <c r="C410" s="942"/>
    </row>
    <row r="411" spans="1:3" ht="28.5" customHeight="1" x14ac:dyDescent="0.25">
      <c r="A411" s="878" t="s">
        <v>950</v>
      </c>
      <c r="B411" s="942" t="str">
        <f>_xlfn.CONCAT('Fusion Portfolio'!C319,", ",'Fusion Portfolio'!D319)</f>
        <v xml:space="preserve">, </v>
      </c>
      <c r="C411" s="942"/>
    </row>
    <row r="412" spans="1:3" ht="28.5" customHeight="1" x14ac:dyDescent="0.25">
      <c r="A412" s="878" t="s">
        <v>951</v>
      </c>
      <c r="B412" s="942" t="str">
        <f>_xlfn.CONCAT('Fusion Portfolio'!C320,", ",'Fusion Portfolio'!D320)</f>
        <v xml:space="preserve">, </v>
      </c>
      <c r="C412" s="942"/>
    </row>
    <row r="413" spans="1:3" ht="28.5" customHeight="1" x14ac:dyDescent="0.25">
      <c r="A413" s="878" t="s">
        <v>952</v>
      </c>
      <c r="B413" s="942" t="str">
        <f>_xlfn.CONCAT('Fusion Portfolio'!C321,", ",'Fusion Portfolio'!D321)</f>
        <v xml:space="preserve">, </v>
      </c>
      <c r="C413" s="942"/>
    </row>
    <row r="414" spans="1:3" ht="28.5" customHeight="1" x14ac:dyDescent="0.25">
      <c r="A414" s="878" t="s">
        <v>953</v>
      </c>
      <c r="B414" s="942" t="str">
        <f>_xlfn.CONCAT('Fusion Portfolio'!C322,", ",'Fusion Portfolio'!D322)</f>
        <v xml:space="preserve">, </v>
      </c>
      <c r="C414" s="942"/>
    </row>
    <row r="415" spans="1:3" ht="28.5" customHeight="1" x14ac:dyDescent="0.25">
      <c r="A415" s="878" t="s">
        <v>954</v>
      </c>
      <c r="B415" s="942" t="str">
        <f>_xlfn.CONCAT('Fusion Portfolio'!C323,", ",'Fusion Portfolio'!D323)</f>
        <v xml:space="preserve">, </v>
      </c>
      <c r="C415" s="942"/>
    </row>
    <row r="416" spans="1:3" ht="28.5" customHeight="1" x14ac:dyDescent="0.25">
      <c r="A416" s="878" t="s">
        <v>955</v>
      </c>
      <c r="B416" s="942" t="str">
        <f>_xlfn.CONCAT('Fusion Portfolio'!C324,", ",'Fusion Portfolio'!D324)</f>
        <v xml:space="preserve">, </v>
      </c>
      <c r="C416" s="942"/>
    </row>
    <row r="417" spans="1:3" ht="28.5" customHeight="1" x14ac:dyDescent="0.25">
      <c r="A417" s="878" t="s">
        <v>956</v>
      </c>
      <c r="B417" s="942" t="str">
        <f>_xlfn.CONCAT('Fusion Portfolio'!C325,", ",'Fusion Portfolio'!D325)</f>
        <v xml:space="preserve">, </v>
      </c>
      <c r="C417" s="942"/>
    </row>
    <row r="418" spans="1:3" ht="28.5" customHeight="1" x14ac:dyDescent="0.25">
      <c r="A418" s="878" t="s">
        <v>957</v>
      </c>
      <c r="B418" s="942" t="str">
        <f>_xlfn.CONCAT('Fusion Portfolio'!C326,", ",'Fusion Portfolio'!D326)</f>
        <v xml:space="preserve">, </v>
      </c>
      <c r="C418" s="942"/>
    </row>
    <row r="419" spans="1:3" ht="28.5" customHeight="1" x14ac:dyDescent="0.25">
      <c r="A419" s="878" t="s">
        <v>958</v>
      </c>
      <c r="B419" s="942" t="str">
        <f>_xlfn.CONCAT('Fusion Portfolio'!C327,", ",'Fusion Portfolio'!D327)</f>
        <v xml:space="preserve">, </v>
      </c>
      <c r="C419" s="942"/>
    </row>
    <row r="420" spans="1:3" ht="28.5" customHeight="1" x14ac:dyDescent="0.25">
      <c r="A420" s="878" t="s">
        <v>959</v>
      </c>
      <c r="B420" s="942" t="str">
        <f>_xlfn.CONCAT('Fusion Portfolio'!C328,", ",'Fusion Portfolio'!D328)</f>
        <v xml:space="preserve">, </v>
      </c>
      <c r="C420" s="942"/>
    </row>
    <row r="421" spans="1:3" ht="28.5" customHeight="1" x14ac:dyDescent="0.25">
      <c r="A421" s="878" t="s">
        <v>960</v>
      </c>
      <c r="B421" s="942" t="str">
        <f>_xlfn.CONCAT('Fusion Portfolio'!C329,", ",'Fusion Portfolio'!D329)</f>
        <v xml:space="preserve">, </v>
      </c>
      <c r="C421" s="942"/>
    </row>
    <row r="422" spans="1:3" ht="28.5" customHeight="1" x14ac:dyDescent="0.25">
      <c r="A422" s="878" t="s">
        <v>961</v>
      </c>
      <c r="B422" s="942" t="str">
        <f>_xlfn.CONCAT('Fusion Portfolio'!C330,", ",'Fusion Portfolio'!D330)</f>
        <v xml:space="preserve">, </v>
      </c>
      <c r="C422" s="942"/>
    </row>
    <row r="423" spans="1:3" ht="28.5" customHeight="1" x14ac:dyDescent="0.25">
      <c r="A423" s="878" t="s">
        <v>962</v>
      </c>
      <c r="B423" s="942" t="str">
        <f>_xlfn.CONCAT('Fusion Portfolio'!C331,", ",'Fusion Portfolio'!D331)</f>
        <v xml:space="preserve">, </v>
      </c>
      <c r="C423" s="942"/>
    </row>
    <row r="424" spans="1:3" ht="28.5" customHeight="1" x14ac:dyDescent="0.25">
      <c r="A424" s="878" t="s">
        <v>963</v>
      </c>
      <c r="B424" s="942" t="str">
        <f>_xlfn.CONCAT('Fusion Portfolio'!C332,", ",'Fusion Portfolio'!D332)</f>
        <v xml:space="preserve">, </v>
      </c>
      <c r="C424" s="942"/>
    </row>
    <row r="425" spans="1:3" ht="28.5" customHeight="1" x14ac:dyDescent="0.25">
      <c r="A425" s="878" t="s">
        <v>964</v>
      </c>
      <c r="B425" s="942" t="str">
        <f>_xlfn.CONCAT('Fusion Portfolio'!C333,", ",'Fusion Portfolio'!D333)</f>
        <v xml:space="preserve">, </v>
      </c>
      <c r="C425" s="942"/>
    </row>
    <row r="426" spans="1:3" ht="28.5" customHeight="1" x14ac:dyDescent="0.25">
      <c r="A426" s="878" t="s">
        <v>965</v>
      </c>
      <c r="B426" s="942" t="str">
        <f>_xlfn.CONCAT('Fusion Portfolio'!C334,", ",'Fusion Portfolio'!D334)</f>
        <v xml:space="preserve">, </v>
      </c>
      <c r="C426" s="942"/>
    </row>
    <row r="427" spans="1:3" ht="28.5" customHeight="1" x14ac:dyDescent="0.25">
      <c r="A427" s="878" t="s">
        <v>966</v>
      </c>
      <c r="B427" s="942" t="str">
        <f>_xlfn.CONCAT('Fusion Portfolio'!C335,", ",'Fusion Portfolio'!D335)</f>
        <v xml:space="preserve">, </v>
      </c>
      <c r="C427" s="942"/>
    </row>
    <row r="428" spans="1:3" ht="28.5" customHeight="1" x14ac:dyDescent="0.25">
      <c r="A428" s="878" t="s">
        <v>967</v>
      </c>
      <c r="B428" s="942" t="str">
        <f>_xlfn.CONCAT('Fusion Portfolio'!C336,", ",'Fusion Portfolio'!D336)</f>
        <v xml:space="preserve">, </v>
      </c>
      <c r="C428" s="942"/>
    </row>
    <row r="429" spans="1:3" ht="28.5" customHeight="1" x14ac:dyDescent="0.25">
      <c r="A429" s="878" t="s">
        <v>968</v>
      </c>
      <c r="B429" s="942" t="str">
        <f>_xlfn.CONCAT('Fusion Portfolio'!C337,", ",'Fusion Portfolio'!D337)</f>
        <v xml:space="preserve">, </v>
      </c>
      <c r="C429" s="942"/>
    </row>
    <row r="430" spans="1:3" ht="28.5" customHeight="1" x14ac:dyDescent="0.25">
      <c r="A430" s="878" t="s">
        <v>969</v>
      </c>
      <c r="B430" s="942" t="str">
        <f>_xlfn.CONCAT('Fusion Portfolio'!C338,", ",'Fusion Portfolio'!D338)</f>
        <v xml:space="preserve">, </v>
      </c>
      <c r="C430" s="942"/>
    </row>
    <row r="431" spans="1:3" ht="28.5" customHeight="1" x14ac:dyDescent="0.25">
      <c r="A431" s="878" t="s">
        <v>970</v>
      </c>
      <c r="B431" s="942" t="str">
        <f>_xlfn.CONCAT('Fusion Portfolio'!C339,", ",'Fusion Portfolio'!D339)</f>
        <v xml:space="preserve">, </v>
      </c>
      <c r="C431" s="942"/>
    </row>
    <row r="432" spans="1:3" ht="28.5" customHeight="1" x14ac:dyDescent="0.25">
      <c r="A432" s="878" t="s">
        <v>971</v>
      </c>
      <c r="B432" s="942" t="str">
        <f>_xlfn.CONCAT('Fusion Portfolio'!C340,", ",'Fusion Portfolio'!D340)</f>
        <v xml:space="preserve">, </v>
      </c>
      <c r="C432" s="942"/>
    </row>
    <row r="433" spans="1:3" ht="28.5" customHeight="1" x14ac:dyDescent="0.25">
      <c r="A433" s="878" t="s">
        <v>972</v>
      </c>
      <c r="B433" s="942" t="str">
        <f>_xlfn.CONCAT('Fusion Portfolio'!C341,", ",'Fusion Portfolio'!D341)</f>
        <v xml:space="preserve">, </v>
      </c>
      <c r="C433" s="942"/>
    </row>
    <row r="434" spans="1:3" ht="28.5" customHeight="1" x14ac:dyDescent="0.25">
      <c r="A434" s="878" t="s">
        <v>973</v>
      </c>
      <c r="B434" s="942" t="str">
        <f>_xlfn.CONCAT('Fusion Portfolio'!C342,", ",'Fusion Portfolio'!D342)</f>
        <v xml:space="preserve">, </v>
      </c>
      <c r="C434" s="942"/>
    </row>
    <row r="435" spans="1:3" ht="28.5" customHeight="1" x14ac:dyDescent="0.25">
      <c r="A435" s="878" t="s">
        <v>974</v>
      </c>
      <c r="B435" s="942" t="str">
        <f>_xlfn.CONCAT('Fusion Portfolio'!C343,", ",'Fusion Portfolio'!D343)</f>
        <v xml:space="preserve">, </v>
      </c>
      <c r="C435" s="942"/>
    </row>
    <row r="436" spans="1:3" ht="28.5" customHeight="1" x14ac:dyDescent="0.25">
      <c r="A436" s="878" t="s">
        <v>975</v>
      </c>
      <c r="B436" s="942" t="str">
        <f>_xlfn.CONCAT('Fusion Portfolio'!C344,", ",'Fusion Portfolio'!D344)</f>
        <v xml:space="preserve">, </v>
      </c>
      <c r="C436" s="942"/>
    </row>
    <row r="437" spans="1:3" ht="28.5" customHeight="1" x14ac:dyDescent="0.25">
      <c r="A437" s="878" t="s">
        <v>976</v>
      </c>
      <c r="B437" s="942" t="str">
        <f>_xlfn.CONCAT('Fusion Portfolio'!C345,", ",'Fusion Portfolio'!D345)</f>
        <v xml:space="preserve">, </v>
      </c>
      <c r="C437" s="942"/>
    </row>
    <row r="438" spans="1:3" ht="28.5" customHeight="1" x14ac:dyDescent="0.25">
      <c r="A438" s="878" t="s">
        <v>977</v>
      </c>
      <c r="B438" s="942" t="str">
        <f>_xlfn.CONCAT('Fusion Portfolio'!C346,", ",'Fusion Portfolio'!D346)</f>
        <v xml:space="preserve">, </v>
      </c>
      <c r="C438" s="942"/>
    </row>
    <row r="439" spans="1:3" ht="28.5" customHeight="1" x14ac:dyDescent="0.25">
      <c r="A439" s="878" t="s">
        <v>978</v>
      </c>
      <c r="B439" s="942" t="str">
        <f>_xlfn.CONCAT('Fusion Portfolio'!C347,", ",'Fusion Portfolio'!D347)</f>
        <v xml:space="preserve">, </v>
      </c>
      <c r="C439" s="942"/>
    </row>
    <row r="440" spans="1:3" ht="28.5" customHeight="1" x14ac:dyDescent="0.25">
      <c r="A440" s="878" t="s">
        <v>979</v>
      </c>
      <c r="B440" s="942" t="str">
        <f>_xlfn.CONCAT('Fusion Portfolio'!C348,", ",'Fusion Portfolio'!D348)</f>
        <v xml:space="preserve">, </v>
      </c>
      <c r="C440" s="942"/>
    </row>
    <row r="441" spans="1:3" ht="28.5" customHeight="1" x14ac:dyDescent="0.25">
      <c r="A441" s="878" t="s">
        <v>980</v>
      </c>
      <c r="B441" s="942" t="str">
        <f>_xlfn.CONCAT('Fusion Portfolio'!C349,", ",'Fusion Portfolio'!D349)</f>
        <v xml:space="preserve">, </v>
      </c>
      <c r="C441" s="942"/>
    </row>
    <row r="442" spans="1:3" ht="28.5" customHeight="1" x14ac:dyDescent="0.25">
      <c r="A442" s="878" t="s">
        <v>981</v>
      </c>
      <c r="B442" s="942" t="str">
        <f>_xlfn.CONCAT('Fusion Portfolio'!C350,", ",'Fusion Portfolio'!D350)</f>
        <v xml:space="preserve">, </v>
      </c>
      <c r="C442" s="942"/>
    </row>
    <row r="443" spans="1:3" ht="28.5" customHeight="1" x14ac:dyDescent="0.25">
      <c r="A443" s="878" t="s">
        <v>982</v>
      </c>
      <c r="B443" s="942" t="str">
        <f>_xlfn.CONCAT('Fusion Portfolio'!C351,", ",'Fusion Portfolio'!D351)</f>
        <v xml:space="preserve">, </v>
      </c>
      <c r="C443" s="942"/>
    </row>
    <row r="444" spans="1:3" ht="28.5" customHeight="1" x14ac:dyDescent="0.25">
      <c r="A444" s="878" t="s">
        <v>983</v>
      </c>
      <c r="B444" s="942" t="str">
        <f>_xlfn.CONCAT('Fusion Portfolio'!C352,", ",'Fusion Portfolio'!D352)</f>
        <v xml:space="preserve">, </v>
      </c>
      <c r="C444" s="942"/>
    </row>
    <row r="445" spans="1:3" ht="28.5" customHeight="1" x14ac:dyDescent="0.25">
      <c r="A445" s="878" t="s">
        <v>984</v>
      </c>
      <c r="B445" s="942" t="str">
        <f>_xlfn.CONCAT('Fusion Portfolio'!C353,", ",'Fusion Portfolio'!D353)</f>
        <v xml:space="preserve">, </v>
      </c>
      <c r="C445" s="942"/>
    </row>
    <row r="446" spans="1:3" ht="28.5" customHeight="1" x14ac:dyDescent="0.25">
      <c r="A446" s="878" t="s">
        <v>985</v>
      </c>
      <c r="B446" s="942" t="str">
        <f>_xlfn.CONCAT('Fusion Portfolio'!C354,", ",'Fusion Portfolio'!D354)</f>
        <v xml:space="preserve">, </v>
      </c>
      <c r="C446" s="942"/>
    </row>
    <row r="447" spans="1:3" ht="28.5" customHeight="1" x14ac:dyDescent="0.25">
      <c r="A447" s="878" t="s">
        <v>986</v>
      </c>
      <c r="B447" s="942" t="str">
        <f>_xlfn.CONCAT('Fusion Portfolio'!C355,", ",'Fusion Portfolio'!D355)</f>
        <v xml:space="preserve">, </v>
      </c>
      <c r="C447" s="942"/>
    </row>
    <row r="448" spans="1:3" ht="28.5" customHeight="1" x14ac:dyDescent="0.25">
      <c r="A448" s="878" t="s">
        <v>987</v>
      </c>
      <c r="B448" s="942" t="str">
        <f>_xlfn.CONCAT('Fusion Portfolio'!C356,", ",'Fusion Portfolio'!D356)</f>
        <v xml:space="preserve">, </v>
      </c>
      <c r="C448" s="942"/>
    </row>
    <row r="449" spans="1:3" ht="28.5" customHeight="1" x14ac:dyDescent="0.25">
      <c r="A449" s="878" t="s">
        <v>988</v>
      </c>
      <c r="B449" s="942" t="str">
        <f>_xlfn.CONCAT('Fusion Portfolio'!C357,", ",'Fusion Portfolio'!D357)</f>
        <v xml:space="preserve">, </v>
      </c>
      <c r="C449" s="942"/>
    </row>
    <row r="450" spans="1:3" ht="28.5" customHeight="1" x14ac:dyDescent="0.25">
      <c r="A450" s="878" t="s">
        <v>989</v>
      </c>
      <c r="B450" s="942" t="str">
        <f>_xlfn.CONCAT('Fusion Portfolio'!C358,", ",'Fusion Portfolio'!D358)</f>
        <v xml:space="preserve">, </v>
      </c>
      <c r="C450" s="942"/>
    </row>
    <row r="451" spans="1:3" ht="28.5" customHeight="1" x14ac:dyDescent="0.25">
      <c r="A451" s="878" t="s">
        <v>990</v>
      </c>
      <c r="B451" s="942" t="str">
        <f>_xlfn.CONCAT('Fusion Portfolio'!C359,", ",'Fusion Portfolio'!D359)</f>
        <v xml:space="preserve">, </v>
      </c>
      <c r="C451" s="942"/>
    </row>
    <row r="452" spans="1:3" ht="28.5" customHeight="1" x14ac:dyDescent="0.25">
      <c r="A452" s="878" t="s">
        <v>991</v>
      </c>
      <c r="B452" s="942" t="str">
        <f>_xlfn.CONCAT('Fusion Portfolio'!C360,", ",'Fusion Portfolio'!D360)</f>
        <v xml:space="preserve">, </v>
      </c>
      <c r="C452" s="942"/>
    </row>
    <row r="453" spans="1:3" ht="28.5" customHeight="1" x14ac:dyDescent="0.25">
      <c r="A453" s="878" t="s">
        <v>992</v>
      </c>
      <c r="B453" s="942" t="str">
        <f>_xlfn.CONCAT('Fusion Portfolio'!C361,", ",'Fusion Portfolio'!D361)</f>
        <v xml:space="preserve">, </v>
      </c>
      <c r="C453" s="942"/>
    </row>
    <row r="454" spans="1:3" ht="28.5" customHeight="1" x14ac:dyDescent="0.25">
      <c r="A454" s="878" t="s">
        <v>993</v>
      </c>
      <c r="B454" s="942" t="str">
        <f>_xlfn.CONCAT('Fusion Portfolio'!C362,", ",'Fusion Portfolio'!D362)</f>
        <v xml:space="preserve">, </v>
      </c>
      <c r="C454" s="942"/>
    </row>
    <row r="455" spans="1:3" ht="28.5" customHeight="1" x14ac:dyDescent="0.25">
      <c r="A455" s="878" t="s">
        <v>994</v>
      </c>
      <c r="B455" s="942" t="str">
        <f>_xlfn.CONCAT('Fusion Portfolio'!C363,", ",'Fusion Portfolio'!D363)</f>
        <v xml:space="preserve">, </v>
      </c>
      <c r="C455" s="942"/>
    </row>
    <row r="456" spans="1:3" ht="28.5" customHeight="1" x14ac:dyDescent="0.25">
      <c r="A456" s="878" t="s">
        <v>995</v>
      </c>
      <c r="B456" s="942" t="str">
        <f>_xlfn.CONCAT('Fusion Portfolio'!C364,", ",'Fusion Portfolio'!D364)</f>
        <v xml:space="preserve">, </v>
      </c>
      <c r="C456" s="942"/>
    </row>
    <row r="457" spans="1:3" ht="28.5" customHeight="1" x14ac:dyDescent="0.25">
      <c r="A457" s="878" t="s">
        <v>996</v>
      </c>
      <c r="B457" s="942" t="str">
        <f>_xlfn.CONCAT('Fusion Portfolio'!C365,", ",'Fusion Portfolio'!D365)</f>
        <v xml:space="preserve">, </v>
      </c>
      <c r="C457" s="942"/>
    </row>
    <row r="458" spans="1:3" ht="28.5" customHeight="1" x14ac:dyDescent="0.25">
      <c r="A458" s="878" t="s">
        <v>997</v>
      </c>
      <c r="B458" s="942" t="str">
        <f>_xlfn.CONCAT('Fusion Portfolio'!C366,", ",'Fusion Portfolio'!D366)</f>
        <v xml:space="preserve">, </v>
      </c>
      <c r="C458" s="942"/>
    </row>
    <row r="459" spans="1:3" ht="28.5" customHeight="1" x14ac:dyDescent="0.25">
      <c r="A459" s="878" t="s">
        <v>998</v>
      </c>
      <c r="B459" s="942" t="str">
        <f>_xlfn.CONCAT('Fusion Portfolio'!C367,", ",'Fusion Portfolio'!D367)</f>
        <v xml:space="preserve">, </v>
      </c>
      <c r="C459" s="942"/>
    </row>
    <row r="460" spans="1:3" ht="28.5" customHeight="1" x14ac:dyDescent="0.25">
      <c r="A460" s="878" t="s">
        <v>999</v>
      </c>
      <c r="B460" s="942" t="str">
        <f>_xlfn.CONCAT('Fusion Portfolio'!C368,", ",'Fusion Portfolio'!D368)</f>
        <v xml:space="preserve">, </v>
      </c>
      <c r="C460" s="942"/>
    </row>
    <row r="461" spans="1:3" ht="28.5" customHeight="1" x14ac:dyDescent="0.25">
      <c r="A461" s="878" t="s">
        <v>1000</v>
      </c>
      <c r="B461" s="942" t="str">
        <f>_xlfn.CONCAT('Fusion Portfolio'!C369,", ",'Fusion Portfolio'!D369)</f>
        <v xml:space="preserve">, </v>
      </c>
      <c r="C461" s="942"/>
    </row>
    <row r="462" spans="1:3" ht="28.5" customHeight="1" x14ac:dyDescent="0.25">
      <c r="A462" s="878" t="s">
        <v>1001</v>
      </c>
      <c r="B462" s="942" t="str">
        <f>_xlfn.CONCAT('Fusion Portfolio'!C370,", ",'Fusion Portfolio'!D370)</f>
        <v xml:space="preserve">, </v>
      </c>
      <c r="C462" s="942"/>
    </row>
    <row r="463" spans="1:3" ht="28.5" customHeight="1" x14ac:dyDescent="0.25">
      <c r="A463" s="878" t="s">
        <v>1002</v>
      </c>
      <c r="B463" s="942" t="str">
        <f>_xlfn.CONCAT('Fusion Portfolio'!C371,", ",'Fusion Portfolio'!D371)</f>
        <v xml:space="preserve">, </v>
      </c>
      <c r="C463" s="942"/>
    </row>
    <row r="464" spans="1:3" ht="28.5" customHeight="1" x14ac:dyDescent="0.25">
      <c r="A464" s="878" t="s">
        <v>1003</v>
      </c>
      <c r="B464" s="942" t="str">
        <f>_xlfn.CONCAT('Fusion Portfolio'!C372,", ",'Fusion Portfolio'!D372)</f>
        <v xml:space="preserve">, </v>
      </c>
      <c r="C464" s="942"/>
    </row>
    <row r="465" spans="1:3" ht="28.5" customHeight="1" x14ac:dyDescent="0.25">
      <c r="A465" s="878" t="s">
        <v>1004</v>
      </c>
      <c r="B465" s="942" t="str">
        <f>_xlfn.CONCAT('Fusion Portfolio'!C373,", ",'Fusion Portfolio'!D373)</f>
        <v xml:space="preserve">, </v>
      </c>
      <c r="C465" s="942"/>
    </row>
    <row r="466" spans="1:3" ht="28.5" customHeight="1" x14ac:dyDescent="0.25">
      <c r="A466" s="878" t="s">
        <v>1005</v>
      </c>
      <c r="B466" s="942" t="str">
        <f>_xlfn.CONCAT('Fusion Portfolio'!C374,", ",'Fusion Portfolio'!D374)</f>
        <v xml:space="preserve">, </v>
      </c>
      <c r="C466" s="942"/>
    </row>
    <row r="467" spans="1:3" ht="28.5" customHeight="1" x14ac:dyDescent="0.25">
      <c r="A467" s="878" t="s">
        <v>1006</v>
      </c>
      <c r="B467" s="942" t="str">
        <f>_xlfn.CONCAT('Fusion Portfolio'!C375,", ",'Fusion Portfolio'!D375)</f>
        <v xml:space="preserve">, </v>
      </c>
      <c r="C467" s="942"/>
    </row>
    <row r="468" spans="1:3" ht="28.5" customHeight="1" x14ac:dyDescent="0.25">
      <c r="A468" s="878" t="s">
        <v>1007</v>
      </c>
      <c r="B468" s="942" t="str">
        <f>_xlfn.CONCAT('Fusion Portfolio'!C376,", ",'Fusion Portfolio'!D376)</f>
        <v xml:space="preserve">, </v>
      </c>
      <c r="C468" s="942"/>
    </row>
    <row r="469" spans="1:3" ht="28.5" customHeight="1" x14ac:dyDescent="0.25">
      <c r="A469" s="878" t="s">
        <v>1008</v>
      </c>
      <c r="B469" s="942" t="str">
        <f>_xlfn.CONCAT('Fusion Portfolio'!C377,", ",'Fusion Portfolio'!D377)</f>
        <v xml:space="preserve">, </v>
      </c>
      <c r="C469" s="942"/>
    </row>
    <row r="470" spans="1:3" ht="28.5" customHeight="1" x14ac:dyDescent="0.25">
      <c r="A470" s="878" t="s">
        <v>1009</v>
      </c>
      <c r="B470" s="942" t="str">
        <f>_xlfn.CONCAT('Fusion Portfolio'!C378,", ",'Fusion Portfolio'!D378)</f>
        <v xml:space="preserve">, </v>
      </c>
      <c r="C470" s="942"/>
    </row>
    <row r="471" spans="1:3" ht="28.5" customHeight="1" x14ac:dyDescent="0.25">
      <c r="A471" s="878" t="s">
        <v>1010</v>
      </c>
      <c r="B471" s="942" t="str">
        <f>_xlfn.CONCAT('Fusion Portfolio'!C379,", ",'Fusion Portfolio'!D379)</f>
        <v xml:space="preserve">, </v>
      </c>
      <c r="C471" s="942"/>
    </row>
    <row r="472" spans="1:3" ht="28.5" customHeight="1" x14ac:dyDescent="0.25">
      <c r="A472" s="878" t="s">
        <v>1011</v>
      </c>
      <c r="B472" s="942" t="str">
        <f>_xlfn.CONCAT('Fusion Portfolio'!C380,", ",'Fusion Portfolio'!D380)</f>
        <v xml:space="preserve">, </v>
      </c>
      <c r="C472" s="942"/>
    </row>
    <row r="473" spans="1:3" ht="28.5" customHeight="1" x14ac:dyDescent="0.25">
      <c r="A473" s="878" t="s">
        <v>1012</v>
      </c>
      <c r="B473" s="942" t="str">
        <f>_xlfn.CONCAT('Fusion Portfolio'!C381,", ",'Fusion Portfolio'!D381)</f>
        <v xml:space="preserve">, </v>
      </c>
      <c r="C473" s="942"/>
    </row>
    <row r="474" spans="1:3" ht="28.5" customHeight="1" x14ac:dyDescent="0.25">
      <c r="A474" s="878" t="s">
        <v>1013</v>
      </c>
      <c r="B474" s="942" t="str">
        <f>_xlfn.CONCAT('Fusion Portfolio'!C382,", ",'Fusion Portfolio'!D382)</f>
        <v xml:space="preserve">, </v>
      </c>
      <c r="C474" s="942"/>
    </row>
    <row r="475" spans="1:3" ht="28.5" customHeight="1" x14ac:dyDescent="0.25">
      <c r="A475" s="878" t="s">
        <v>1014</v>
      </c>
      <c r="B475" s="942" t="str">
        <f>_xlfn.CONCAT('Fusion Portfolio'!C383,", ",'Fusion Portfolio'!D383)</f>
        <v xml:space="preserve">, </v>
      </c>
      <c r="C475" s="942"/>
    </row>
    <row r="476" spans="1:3" ht="28.5" customHeight="1" x14ac:dyDescent="0.25">
      <c r="A476" s="878" t="s">
        <v>1015</v>
      </c>
      <c r="B476" s="942" t="str">
        <f>_xlfn.CONCAT('Fusion Portfolio'!C384,", ",'Fusion Portfolio'!D384)</f>
        <v xml:space="preserve">, </v>
      </c>
      <c r="C476" s="942"/>
    </row>
    <row r="477" spans="1:3" ht="28.5" customHeight="1" x14ac:dyDescent="0.25">
      <c r="A477" s="878" t="s">
        <v>1016</v>
      </c>
      <c r="B477" s="942" t="str">
        <f>_xlfn.CONCAT('Fusion Portfolio'!C385,", ",'Fusion Portfolio'!D385)</f>
        <v xml:space="preserve">, </v>
      </c>
      <c r="C477" s="942"/>
    </row>
    <row r="478" spans="1:3" ht="28.5" customHeight="1" x14ac:dyDescent="0.25">
      <c r="A478" s="878" t="s">
        <v>1017</v>
      </c>
      <c r="B478" s="942" t="str">
        <f>_xlfn.CONCAT('Fusion Portfolio'!C386,", ",'Fusion Portfolio'!D386)</f>
        <v xml:space="preserve">, </v>
      </c>
      <c r="C478" s="942"/>
    </row>
    <row r="479" spans="1:3" ht="28.5" customHeight="1" x14ac:dyDescent="0.25">
      <c r="A479" s="878" t="s">
        <v>1018</v>
      </c>
      <c r="B479" s="942" t="str">
        <f>_xlfn.CONCAT('Fusion Portfolio'!C387,", ",'Fusion Portfolio'!D387)</f>
        <v xml:space="preserve">, </v>
      </c>
      <c r="C479" s="942"/>
    </row>
    <row r="480" spans="1:3" ht="28.5" customHeight="1" x14ac:dyDescent="0.25">
      <c r="A480" s="878" t="s">
        <v>1019</v>
      </c>
      <c r="B480" s="942" t="str">
        <f>_xlfn.CONCAT('Fusion Portfolio'!C388,", ",'Fusion Portfolio'!D388)</f>
        <v xml:space="preserve">, </v>
      </c>
      <c r="C480" s="942"/>
    </row>
    <row r="481" spans="1:3" ht="28.5" customHeight="1" x14ac:dyDescent="0.25">
      <c r="A481" s="878" t="s">
        <v>1020</v>
      </c>
      <c r="B481" s="942" t="str">
        <f>_xlfn.CONCAT('Fusion Portfolio'!C389,", ",'Fusion Portfolio'!D389)</f>
        <v xml:space="preserve">, </v>
      </c>
      <c r="C481" s="942"/>
    </row>
    <row r="482" spans="1:3" ht="28.5" customHeight="1" x14ac:dyDescent="0.25">
      <c r="A482" s="878" t="s">
        <v>1021</v>
      </c>
      <c r="B482" s="942" t="str">
        <f>_xlfn.CONCAT('Fusion Portfolio'!C390,", ",'Fusion Portfolio'!D390)</f>
        <v xml:space="preserve">, </v>
      </c>
      <c r="C482" s="942"/>
    </row>
    <row r="483" spans="1:3" ht="28.5" customHeight="1" x14ac:dyDescent="0.25">
      <c r="A483" s="878" t="s">
        <v>1022</v>
      </c>
      <c r="B483" s="942" t="str">
        <f>_xlfn.CONCAT('Fusion Portfolio'!C391,", ",'Fusion Portfolio'!D391)</f>
        <v xml:space="preserve">, </v>
      </c>
      <c r="C483" s="942"/>
    </row>
    <row r="484" spans="1:3" ht="28.5" customHeight="1" x14ac:dyDescent="0.25">
      <c r="A484" s="878" t="s">
        <v>1023</v>
      </c>
      <c r="B484" s="942" t="str">
        <f>_xlfn.CONCAT('Fusion Portfolio'!C392,", ",'Fusion Portfolio'!D392)</f>
        <v xml:space="preserve">, </v>
      </c>
      <c r="C484" s="942"/>
    </row>
    <row r="485" spans="1:3" ht="28.5" customHeight="1" x14ac:dyDescent="0.25">
      <c r="A485" s="878" t="s">
        <v>1024</v>
      </c>
      <c r="B485" s="942" t="str">
        <f>_xlfn.CONCAT('Fusion Portfolio'!C393,", ",'Fusion Portfolio'!D393)</f>
        <v xml:space="preserve">, </v>
      </c>
      <c r="C485" s="942"/>
    </row>
    <row r="486" spans="1:3" ht="28.5" customHeight="1" x14ac:dyDescent="0.25">
      <c r="A486" s="878" t="s">
        <v>1025</v>
      </c>
      <c r="B486" s="942" t="str">
        <f>_xlfn.CONCAT('Fusion Portfolio'!C394,", ",'Fusion Portfolio'!D394)</f>
        <v xml:space="preserve">, </v>
      </c>
      <c r="C486" s="942"/>
    </row>
    <row r="487" spans="1:3" ht="28.5" customHeight="1" x14ac:dyDescent="0.25">
      <c r="A487" s="878" t="s">
        <v>1026</v>
      </c>
      <c r="B487" s="942" t="str">
        <f>_xlfn.CONCAT('Fusion Portfolio'!C395,", ",'Fusion Portfolio'!D395)</f>
        <v xml:space="preserve">, </v>
      </c>
      <c r="C487" s="942"/>
    </row>
    <row r="488" spans="1:3" ht="28.5" customHeight="1" x14ac:dyDescent="0.25">
      <c r="A488" s="878" t="s">
        <v>1027</v>
      </c>
      <c r="B488" s="942" t="str">
        <f>_xlfn.CONCAT('Fusion Portfolio'!C396,", ",'Fusion Portfolio'!D396)</f>
        <v xml:space="preserve">, </v>
      </c>
      <c r="C488" s="942"/>
    </row>
    <row r="489" spans="1:3" ht="28.5" customHeight="1" x14ac:dyDescent="0.25">
      <c r="A489" s="878" t="s">
        <v>1028</v>
      </c>
      <c r="B489" s="942" t="str">
        <f>_xlfn.CONCAT('Fusion Portfolio'!C397,", ",'Fusion Portfolio'!D397)</f>
        <v xml:space="preserve">, </v>
      </c>
      <c r="C489" s="942"/>
    </row>
    <row r="490" spans="1:3" ht="28.5" customHeight="1" x14ac:dyDescent="0.25">
      <c r="A490" s="878" t="s">
        <v>1029</v>
      </c>
      <c r="B490" s="942" t="str">
        <f>_xlfn.CONCAT('Fusion Portfolio'!C398,", ",'Fusion Portfolio'!D398)</f>
        <v xml:space="preserve">, </v>
      </c>
      <c r="C490" s="942"/>
    </row>
    <row r="491" spans="1:3" ht="28.5" customHeight="1" x14ac:dyDescent="0.25">
      <c r="A491" s="878" t="s">
        <v>1030</v>
      </c>
      <c r="B491" s="942" t="str">
        <f>_xlfn.CONCAT('Fusion Portfolio'!C399,", ",'Fusion Portfolio'!D399)</f>
        <v xml:space="preserve">, </v>
      </c>
      <c r="C491" s="942"/>
    </row>
    <row r="492" spans="1:3" ht="28.5" customHeight="1" x14ac:dyDescent="0.25">
      <c r="A492" s="878" t="s">
        <v>1031</v>
      </c>
      <c r="B492" s="942" t="str">
        <f>_xlfn.CONCAT('Fusion Portfolio'!C400,", ",'Fusion Portfolio'!D400)</f>
        <v xml:space="preserve">, </v>
      </c>
      <c r="C492" s="942"/>
    </row>
    <row r="493" spans="1:3" ht="28.5" customHeight="1" x14ac:dyDescent="0.25">
      <c r="A493" s="878" t="s">
        <v>1032</v>
      </c>
      <c r="B493" s="942" t="str">
        <f>_xlfn.CONCAT('Fusion Portfolio'!C401,", ",'Fusion Portfolio'!D401)</f>
        <v xml:space="preserve">, </v>
      </c>
      <c r="C493" s="942"/>
    </row>
    <row r="494" spans="1:3" ht="28.5" customHeight="1" x14ac:dyDescent="0.25">
      <c r="A494" s="878" t="s">
        <v>1033</v>
      </c>
      <c r="B494" s="942" t="str">
        <f>_xlfn.CONCAT('Fusion Portfolio'!C402,", ",'Fusion Portfolio'!D402)</f>
        <v xml:space="preserve">, </v>
      </c>
      <c r="C494" s="942"/>
    </row>
    <row r="495" spans="1:3" ht="28.5" customHeight="1" x14ac:dyDescent="0.25">
      <c r="A495" s="878" t="s">
        <v>1034</v>
      </c>
      <c r="B495" s="942" t="str">
        <f>_xlfn.CONCAT('Fusion Portfolio'!C403,", ",'Fusion Portfolio'!D403)</f>
        <v xml:space="preserve">, </v>
      </c>
      <c r="C495" s="942"/>
    </row>
    <row r="496" spans="1:3" ht="28.5" customHeight="1" x14ac:dyDescent="0.25">
      <c r="A496" s="878" t="s">
        <v>1035</v>
      </c>
      <c r="B496" s="942" t="str">
        <f>_xlfn.CONCAT('Fusion Portfolio'!C404,", ",'Fusion Portfolio'!D404)</f>
        <v xml:space="preserve">, </v>
      </c>
      <c r="C496" s="942"/>
    </row>
    <row r="497" spans="1:3" ht="28.5" customHeight="1" x14ac:dyDescent="0.25">
      <c r="A497" s="878" t="s">
        <v>1036</v>
      </c>
      <c r="B497" s="942" t="str">
        <f>_xlfn.CONCAT('Fusion Portfolio'!C405,", ",'Fusion Portfolio'!D405)</f>
        <v xml:space="preserve">, </v>
      </c>
      <c r="C497" s="942"/>
    </row>
    <row r="498" spans="1:3" ht="28.5" customHeight="1" x14ac:dyDescent="0.25">
      <c r="A498" s="878" t="s">
        <v>1037</v>
      </c>
      <c r="B498" s="942" t="str">
        <f>_xlfn.CONCAT('Fusion Portfolio'!C406,", ",'Fusion Portfolio'!D406)</f>
        <v xml:space="preserve">, </v>
      </c>
      <c r="C498" s="942"/>
    </row>
    <row r="499" spans="1:3" ht="28.5" customHeight="1" x14ac:dyDescent="0.25">
      <c r="A499" s="878" t="s">
        <v>1038</v>
      </c>
      <c r="B499" s="942" t="str">
        <f>_xlfn.CONCAT('Fusion Portfolio'!C407,", ",'Fusion Portfolio'!D407)</f>
        <v xml:space="preserve">, </v>
      </c>
      <c r="C499" s="942"/>
    </row>
    <row r="500" spans="1:3" ht="28.5" customHeight="1" x14ac:dyDescent="0.25">
      <c r="A500" s="878" t="s">
        <v>1039</v>
      </c>
      <c r="B500" s="942" t="str">
        <f>_xlfn.CONCAT('Fusion Portfolio'!C408,", ",'Fusion Portfolio'!D408)</f>
        <v xml:space="preserve">, </v>
      </c>
      <c r="C500" s="942"/>
    </row>
    <row r="501" spans="1:3" ht="28.5" customHeight="1" x14ac:dyDescent="0.25">
      <c r="A501" s="878" t="s">
        <v>1040</v>
      </c>
      <c r="B501" s="942" t="str">
        <f>_xlfn.CONCAT('Fusion Portfolio'!C409,", ",'Fusion Portfolio'!D409)</f>
        <v xml:space="preserve">, </v>
      </c>
      <c r="C501" s="942"/>
    </row>
    <row r="502" spans="1:3" ht="28.5" customHeight="1" x14ac:dyDescent="0.25">
      <c r="A502" s="878" t="s">
        <v>1041</v>
      </c>
      <c r="B502" s="942" t="str">
        <f>_xlfn.CONCAT('Fusion Portfolio'!C410,", ",'Fusion Portfolio'!D410)</f>
        <v xml:space="preserve">, </v>
      </c>
      <c r="C502" s="942"/>
    </row>
    <row r="503" spans="1:3" ht="28.5" customHeight="1" x14ac:dyDescent="0.25">
      <c r="A503" s="878" t="s">
        <v>1042</v>
      </c>
      <c r="B503" s="942" t="str">
        <f>_xlfn.CONCAT('Fusion Portfolio'!C411,", ",'Fusion Portfolio'!D411)</f>
        <v xml:space="preserve">, </v>
      </c>
      <c r="C503" s="942"/>
    </row>
    <row r="504" spans="1:3" ht="28.5" customHeight="1" x14ac:dyDescent="0.25">
      <c r="A504" s="878" t="s">
        <v>1043</v>
      </c>
      <c r="B504" s="942" t="str">
        <f>_xlfn.CONCAT('Fusion Portfolio'!C412,", ",'Fusion Portfolio'!D412)</f>
        <v xml:space="preserve">, </v>
      </c>
      <c r="C504" s="942"/>
    </row>
    <row r="505" spans="1:3" ht="28.5" customHeight="1" x14ac:dyDescent="0.25">
      <c r="A505" s="878" t="s">
        <v>1044</v>
      </c>
      <c r="B505" s="942" t="str">
        <f>_xlfn.CONCAT('Fusion Portfolio'!C413,", ",'Fusion Portfolio'!D413)</f>
        <v xml:space="preserve">, </v>
      </c>
      <c r="C505" s="942"/>
    </row>
    <row r="506" spans="1:3" ht="28.5" customHeight="1" x14ac:dyDescent="0.25">
      <c r="A506" s="878" t="s">
        <v>1045</v>
      </c>
      <c r="B506" s="942" t="str">
        <f>_xlfn.CONCAT('Fusion Portfolio'!C414,", ",'Fusion Portfolio'!D414)</f>
        <v xml:space="preserve">, </v>
      </c>
      <c r="C506" s="942"/>
    </row>
    <row r="507" spans="1:3" ht="28.5" customHeight="1" x14ac:dyDescent="0.25">
      <c r="A507" s="878" t="s">
        <v>1046</v>
      </c>
      <c r="B507" s="942" t="str">
        <f>_xlfn.CONCAT('Fusion Portfolio'!C415,", ",'Fusion Portfolio'!D415)</f>
        <v xml:space="preserve">, </v>
      </c>
      <c r="C507" s="942"/>
    </row>
    <row r="508" spans="1:3" ht="28.5" customHeight="1" x14ac:dyDescent="0.25">
      <c r="A508" s="878" t="s">
        <v>1047</v>
      </c>
      <c r="B508" s="942" t="str">
        <f>_xlfn.CONCAT('Fusion Portfolio'!C416,", ",'Fusion Portfolio'!D416)</f>
        <v xml:space="preserve">, </v>
      </c>
      <c r="C508" s="942"/>
    </row>
    <row r="509" spans="1:3" ht="28.5" customHeight="1" x14ac:dyDescent="0.25">
      <c r="A509" s="878" t="s">
        <v>1048</v>
      </c>
      <c r="B509" s="942" t="str">
        <f>_xlfn.CONCAT('Fusion Portfolio'!C417,", ",'Fusion Portfolio'!D417)</f>
        <v xml:space="preserve">, </v>
      </c>
      <c r="C509" s="942"/>
    </row>
    <row r="510" spans="1:3" ht="28.5" customHeight="1" x14ac:dyDescent="0.25">
      <c r="A510" s="878" t="s">
        <v>1049</v>
      </c>
      <c r="B510" s="942" t="str">
        <f>_xlfn.CONCAT('Fusion Portfolio'!C418,", ",'Fusion Portfolio'!D418)</f>
        <v xml:space="preserve">, </v>
      </c>
      <c r="C510" s="942"/>
    </row>
    <row r="511" spans="1:3" ht="28.5" customHeight="1" x14ac:dyDescent="0.25">
      <c r="A511" s="878" t="s">
        <v>1050</v>
      </c>
      <c r="B511" s="942" t="str">
        <f>_xlfn.CONCAT('Fusion Portfolio'!C419,", ",'Fusion Portfolio'!D419)</f>
        <v xml:space="preserve">, </v>
      </c>
      <c r="C511" s="942"/>
    </row>
    <row r="512" spans="1:3" ht="28.5" customHeight="1" x14ac:dyDescent="0.25">
      <c r="A512" s="878" t="s">
        <v>1051</v>
      </c>
      <c r="B512" s="942" t="str">
        <f>_xlfn.CONCAT('Fusion Portfolio'!C420,", ",'Fusion Portfolio'!D420)</f>
        <v xml:space="preserve">, </v>
      </c>
      <c r="C512" s="942"/>
    </row>
    <row r="513" spans="1:3" ht="28.5" customHeight="1" x14ac:dyDescent="0.25">
      <c r="A513" s="878" t="s">
        <v>1052</v>
      </c>
      <c r="B513" s="942" t="str">
        <f>_xlfn.CONCAT('Fusion Portfolio'!C421,", ",'Fusion Portfolio'!D421)</f>
        <v xml:space="preserve">, </v>
      </c>
      <c r="C513" s="942"/>
    </row>
    <row r="514" spans="1:3" ht="28.5" customHeight="1" x14ac:dyDescent="0.25">
      <c r="A514" s="878" t="s">
        <v>1053</v>
      </c>
      <c r="B514" s="942" t="str">
        <f>_xlfn.CONCAT('Fusion Portfolio'!C422,", ",'Fusion Portfolio'!D422)</f>
        <v xml:space="preserve">, </v>
      </c>
      <c r="C514" s="942"/>
    </row>
    <row r="515" spans="1:3" ht="28.5" customHeight="1" x14ac:dyDescent="0.25">
      <c r="A515" s="878" t="s">
        <v>1054</v>
      </c>
      <c r="B515" s="942" t="str">
        <f>_xlfn.CONCAT('Fusion Portfolio'!C423,", ",'Fusion Portfolio'!D423)</f>
        <v xml:space="preserve">, </v>
      </c>
      <c r="C515" s="942"/>
    </row>
    <row r="516" spans="1:3" ht="28.5" customHeight="1" x14ac:dyDescent="0.25">
      <c r="A516" s="878" t="s">
        <v>1055</v>
      </c>
      <c r="B516" s="942" t="str">
        <f>_xlfn.CONCAT('Fusion Portfolio'!C424,", ",'Fusion Portfolio'!D424)</f>
        <v xml:space="preserve">, </v>
      </c>
      <c r="C516" s="942"/>
    </row>
    <row r="517" spans="1:3" ht="28.5" customHeight="1" x14ac:dyDescent="0.25">
      <c r="A517" s="878" t="s">
        <v>1056</v>
      </c>
      <c r="B517" s="942" t="str">
        <f>_xlfn.CONCAT('Fusion Portfolio'!C425,", ",'Fusion Portfolio'!D425)</f>
        <v xml:space="preserve">, </v>
      </c>
      <c r="C517" s="942"/>
    </row>
    <row r="518" spans="1:3" ht="28.5" customHeight="1" x14ac:dyDescent="0.25">
      <c r="A518" s="878" t="s">
        <v>1057</v>
      </c>
      <c r="B518" s="942" t="str">
        <f>_xlfn.CONCAT('Fusion Portfolio'!C426,", ",'Fusion Portfolio'!D426)</f>
        <v xml:space="preserve">, </v>
      </c>
      <c r="C518" s="942"/>
    </row>
    <row r="519" spans="1:3" ht="28.5" customHeight="1" x14ac:dyDescent="0.25">
      <c r="A519" s="878" t="s">
        <v>1058</v>
      </c>
      <c r="B519" s="942" t="str">
        <f>_xlfn.CONCAT('Fusion Portfolio'!C427,", ",'Fusion Portfolio'!D427)</f>
        <v xml:space="preserve">, </v>
      </c>
      <c r="C519" s="942"/>
    </row>
    <row r="520" spans="1:3" ht="28.5" customHeight="1" x14ac:dyDescent="0.25">
      <c r="A520" s="878" t="s">
        <v>1059</v>
      </c>
      <c r="B520" s="942" t="str">
        <f>_xlfn.CONCAT('Fusion Portfolio'!C428,", ",'Fusion Portfolio'!D428)</f>
        <v xml:space="preserve">, </v>
      </c>
      <c r="C520" s="942"/>
    </row>
    <row r="521" spans="1:3" ht="28.5" customHeight="1" x14ac:dyDescent="0.25">
      <c r="A521" s="878" t="s">
        <v>1060</v>
      </c>
      <c r="B521" s="942" t="str">
        <f>_xlfn.CONCAT('Fusion Portfolio'!C429,", ",'Fusion Portfolio'!D429)</f>
        <v xml:space="preserve">, </v>
      </c>
      <c r="C521" s="942"/>
    </row>
    <row r="522" spans="1:3" ht="28.5" customHeight="1" x14ac:dyDescent="0.25">
      <c r="A522" s="878" t="s">
        <v>1061</v>
      </c>
      <c r="B522" s="942" t="str">
        <f>_xlfn.CONCAT('Fusion Portfolio'!C430,", ",'Fusion Portfolio'!D430)</f>
        <v xml:space="preserve">, </v>
      </c>
      <c r="C522" s="942"/>
    </row>
    <row r="523" spans="1:3" ht="28.5" customHeight="1" x14ac:dyDescent="0.25">
      <c r="A523" s="878" t="s">
        <v>1062</v>
      </c>
      <c r="B523" s="942" t="str">
        <f>_xlfn.CONCAT('Fusion Portfolio'!C431,", ",'Fusion Portfolio'!D431)</f>
        <v xml:space="preserve">, </v>
      </c>
      <c r="C523" s="942"/>
    </row>
    <row r="524" spans="1:3" ht="28.5" customHeight="1" x14ac:dyDescent="0.25">
      <c r="A524" s="878" t="s">
        <v>1063</v>
      </c>
      <c r="B524" s="942" t="str">
        <f>_xlfn.CONCAT('Fusion Portfolio'!C432,", ",'Fusion Portfolio'!D432)</f>
        <v xml:space="preserve">, </v>
      </c>
      <c r="C524" s="942"/>
    </row>
    <row r="525" spans="1:3" ht="28.5" customHeight="1" x14ac:dyDescent="0.25">
      <c r="A525" s="878" t="s">
        <v>1064</v>
      </c>
      <c r="B525" s="942" t="str">
        <f>_xlfn.CONCAT('Fusion Portfolio'!C433,", ",'Fusion Portfolio'!D433)</f>
        <v xml:space="preserve">, </v>
      </c>
      <c r="C525" s="942"/>
    </row>
    <row r="526" spans="1:3" ht="28.5" customHeight="1" x14ac:dyDescent="0.25">
      <c r="A526" s="878" t="s">
        <v>1065</v>
      </c>
      <c r="B526" s="942" t="str">
        <f>_xlfn.CONCAT('Fusion Portfolio'!C434,", ",'Fusion Portfolio'!D434)</f>
        <v xml:space="preserve">, </v>
      </c>
      <c r="C526" s="942"/>
    </row>
    <row r="527" spans="1:3" ht="28.5" customHeight="1" x14ac:dyDescent="0.25">
      <c r="A527" s="878" t="s">
        <v>1066</v>
      </c>
      <c r="B527" s="942" t="str">
        <f>_xlfn.CONCAT('Fusion Portfolio'!C435,", ",'Fusion Portfolio'!D435)</f>
        <v xml:space="preserve">, </v>
      </c>
      <c r="C527" s="942"/>
    </row>
    <row r="528" spans="1:3" ht="28.5" customHeight="1" x14ac:dyDescent="0.25">
      <c r="A528" s="878" t="s">
        <v>1067</v>
      </c>
      <c r="B528" s="942" t="str">
        <f>_xlfn.CONCAT('Fusion Portfolio'!C436,", ",'Fusion Portfolio'!D436)</f>
        <v xml:space="preserve">, </v>
      </c>
      <c r="C528" s="942"/>
    </row>
    <row r="529" spans="1:3" ht="28.5" customHeight="1" x14ac:dyDescent="0.25">
      <c r="A529" s="878" t="s">
        <v>1068</v>
      </c>
      <c r="B529" s="942" t="str">
        <f>_xlfn.CONCAT('Fusion Portfolio'!C437,", ",'Fusion Portfolio'!D437)</f>
        <v xml:space="preserve">, </v>
      </c>
      <c r="C529" s="942"/>
    </row>
    <row r="530" spans="1:3" ht="28.5" customHeight="1" x14ac:dyDescent="0.25">
      <c r="A530" s="878" t="s">
        <v>1069</v>
      </c>
      <c r="B530" s="942" t="str">
        <f>_xlfn.CONCAT('Fusion Portfolio'!C438,", ",'Fusion Portfolio'!D438)</f>
        <v xml:space="preserve">, </v>
      </c>
      <c r="C530" s="942"/>
    </row>
    <row r="531" spans="1:3" ht="28.5" customHeight="1" x14ac:dyDescent="0.25">
      <c r="A531" s="878" t="s">
        <v>1070</v>
      </c>
      <c r="B531" s="942" t="str">
        <f>_xlfn.CONCAT('Fusion Portfolio'!C439,", ",'Fusion Portfolio'!D439)</f>
        <v xml:space="preserve">, </v>
      </c>
      <c r="C531" s="942"/>
    </row>
    <row r="532" spans="1:3" ht="28.5" customHeight="1" x14ac:dyDescent="0.25">
      <c r="A532" s="878" t="s">
        <v>1071</v>
      </c>
      <c r="B532" s="942" t="str">
        <f>_xlfn.CONCAT('Fusion Portfolio'!C440,", ",'Fusion Portfolio'!D440)</f>
        <v xml:space="preserve">, </v>
      </c>
      <c r="C532" s="942"/>
    </row>
    <row r="533" spans="1:3" ht="28.5" customHeight="1" x14ac:dyDescent="0.25">
      <c r="A533" s="878" t="s">
        <v>1072</v>
      </c>
      <c r="B533" s="942" t="str">
        <f>_xlfn.CONCAT('Fusion Portfolio'!C441,", ",'Fusion Portfolio'!D441)</f>
        <v xml:space="preserve">, </v>
      </c>
      <c r="C533" s="942"/>
    </row>
    <row r="534" spans="1:3" ht="28.5" customHeight="1" x14ac:dyDescent="0.25">
      <c r="A534" s="878" t="s">
        <v>1073</v>
      </c>
      <c r="B534" s="942" t="str">
        <f>_xlfn.CONCAT('Fusion Portfolio'!C442,", ",'Fusion Portfolio'!D442)</f>
        <v xml:space="preserve">, </v>
      </c>
      <c r="C534" s="942"/>
    </row>
    <row r="535" spans="1:3" ht="28.5" customHeight="1" x14ac:dyDescent="0.25">
      <c r="A535" s="878" t="s">
        <v>1074</v>
      </c>
      <c r="B535" s="942" t="str">
        <f>_xlfn.CONCAT('Fusion Portfolio'!C443,", ",'Fusion Portfolio'!D443)</f>
        <v xml:space="preserve">, </v>
      </c>
      <c r="C535" s="942"/>
    </row>
    <row r="536" spans="1:3" ht="28.5" customHeight="1" x14ac:dyDescent="0.25">
      <c r="A536" s="878" t="s">
        <v>1075</v>
      </c>
      <c r="B536" s="942" t="str">
        <f>_xlfn.CONCAT('Fusion Portfolio'!C444,", ",'Fusion Portfolio'!D444)</f>
        <v xml:space="preserve">, </v>
      </c>
      <c r="C536" s="942"/>
    </row>
    <row r="537" spans="1:3" ht="28.5" customHeight="1" x14ac:dyDescent="0.25">
      <c r="A537" s="878" t="s">
        <v>1076</v>
      </c>
      <c r="B537" s="942" t="str">
        <f>_xlfn.CONCAT('Fusion Portfolio'!C445,", ",'Fusion Portfolio'!D445)</f>
        <v xml:space="preserve">, </v>
      </c>
      <c r="C537" s="942"/>
    </row>
    <row r="538" spans="1:3" ht="28.5" customHeight="1" x14ac:dyDescent="0.25">
      <c r="A538" s="878" t="s">
        <v>1077</v>
      </c>
      <c r="B538" s="942" t="str">
        <f>_xlfn.CONCAT('Fusion Portfolio'!C446,", ",'Fusion Portfolio'!D446)</f>
        <v xml:space="preserve">, </v>
      </c>
      <c r="C538" s="942"/>
    </row>
    <row r="539" spans="1:3" ht="28.5" customHeight="1" x14ac:dyDescent="0.25">
      <c r="A539" s="878" t="s">
        <v>1078</v>
      </c>
      <c r="B539" s="942" t="str">
        <f>_xlfn.CONCAT('Fusion Portfolio'!C447,", ",'Fusion Portfolio'!D447)</f>
        <v xml:space="preserve">, </v>
      </c>
      <c r="C539" s="942"/>
    </row>
    <row r="540" spans="1:3" ht="28.5" customHeight="1" x14ac:dyDescent="0.25">
      <c r="A540" s="878" t="s">
        <v>1079</v>
      </c>
      <c r="B540" s="942" t="str">
        <f>_xlfn.CONCAT('Fusion Portfolio'!C448,", ",'Fusion Portfolio'!D448)</f>
        <v xml:space="preserve">, </v>
      </c>
      <c r="C540" s="942"/>
    </row>
    <row r="541" spans="1:3" ht="28.5" customHeight="1" x14ac:dyDescent="0.25">
      <c r="A541" s="878" t="s">
        <v>1080</v>
      </c>
      <c r="B541" s="942" t="str">
        <f>_xlfn.CONCAT('Fusion Portfolio'!C449,", ",'Fusion Portfolio'!D449)</f>
        <v xml:space="preserve">, </v>
      </c>
      <c r="C541" s="942"/>
    </row>
    <row r="542" spans="1:3" ht="28.5" customHeight="1" x14ac:dyDescent="0.25">
      <c r="A542" s="878" t="s">
        <v>1081</v>
      </c>
      <c r="B542" s="942" t="str">
        <f>_xlfn.CONCAT('Fusion Portfolio'!C450,", ",'Fusion Portfolio'!D450)</f>
        <v xml:space="preserve">, </v>
      </c>
      <c r="C542" s="942"/>
    </row>
    <row r="543" spans="1:3" ht="28.5" customHeight="1" x14ac:dyDescent="0.25">
      <c r="A543" s="878" t="s">
        <v>1082</v>
      </c>
      <c r="B543" s="942" t="str">
        <f>_xlfn.CONCAT('Fusion Portfolio'!C451,", ",'Fusion Portfolio'!D451)</f>
        <v xml:space="preserve">, </v>
      </c>
      <c r="C543" s="942"/>
    </row>
    <row r="544" spans="1:3" ht="28.5" customHeight="1" x14ac:dyDescent="0.25">
      <c r="A544" s="878" t="s">
        <v>1083</v>
      </c>
      <c r="B544" s="942" t="str">
        <f>_xlfn.CONCAT('Fusion Portfolio'!C452,", ",'Fusion Portfolio'!D452)</f>
        <v xml:space="preserve">, </v>
      </c>
      <c r="C544" s="942"/>
    </row>
    <row r="545" spans="1:3" ht="28.5" customHeight="1" x14ac:dyDescent="0.25">
      <c r="A545" s="878" t="s">
        <v>1084</v>
      </c>
      <c r="B545" s="942" t="str">
        <f>_xlfn.CONCAT('Fusion Portfolio'!C453,", ",'Fusion Portfolio'!D453)</f>
        <v xml:space="preserve">, </v>
      </c>
      <c r="C545" s="942"/>
    </row>
    <row r="546" spans="1:3" ht="28.5" customHeight="1" x14ac:dyDescent="0.25">
      <c r="A546" s="878" t="s">
        <v>1085</v>
      </c>
      <c r="B546" s="942" t="str">
        <f>_xlfn.CONCAT('Fusion Portfolio'!C454,", ",'Fusion Portfolio'!D454)</f>
        <v xml:space="preserve">, </v>
      </c>
      <c r="C546" s="942"/>
    </row>
    <row r="547" spans="1:3" ht="28.5" customHeight="1" x14ac:dyDescent="0.25">
      <c r="A547" s="878" t="s">
        <v>1086</v>
      </c>
      <c r="B547" s="942" t="str">
        <f>_xlfn.CONCAT('Fusion Portfolio'!C455,", ",'Fusion Portfolio'!D455)</f>
        <v xml:space="preserve">, </v>
      </c>
      <c r="C547" s="942"/>
    </row>
    <row r="548" spans="1:3" ht="28.5" customHeight="1" x14ac:dyDescent="0.25">
      <c r="A548" s="878" t="s">
        <v>1087</v>
      </c>
      <c r="B548" s="942" t="str">
        <f>_xlfn.CONCAT('Fusion Portfolio'!C456,", ",'Fusion Portfolio'!D456)</f>
        <v xml:space="preserve">, </v>
      </c>
      <c r="C548" s="942"/>
    </row>
    <row r="549" spans="1:3" ht="28.5" customHeight="1" x14ac:dyDescent="0.25">
      <c r="A549" s="878" t="s">
        <v>1088</v>
      </c>
      <c r="B549" s="942" t="str">
        <f>_xlfn.CONCAT('Fusion Portfolio'!C457,", ",'Fusion Portfolio'!D457)</f>
        <v xml:space="preserve">, </v>
      </c>
      <c r="C549" s="942"/>
    </row>
    <row r="550" spans="1:3" ht="28.5" customHeight="1" x14ac:dyDescent="0.25">
      <c r="A550" s="878" t="s">
        <v>1089</v>
      </c>
      <c r="B550" s="942" t="str">
        <f>_xlfn.CONCAT('Fusion Portfolio'!C458,", ",'Fusion Portfolio'!D458)</f>
        <v xml:space="preserve">, </v>
      </c>
      <c r="C550" s="942"/>
    </row>
    <row r="551" spans="1:3" ht="28.5" customHeight="1" x14ac:dyDescent="0.25">
      <c r="A551" s="878" t="s">
        <v>1090</v>
      </c>
      <c r="B551" s="942" t="str">
        <f>_xlfn.CONCAT('Fusion Portfolio'!C459,", ",'Fusion Portfolio'!D459)</f>
        <v xml:space="preserve">, </v>
      </c>
      <c r="C551" s="942"/>
    </row>
    <row r="552" spans="1:3" ht="28.5" customHeight="1" x14ac:dyDescent="0.25">
      <c r="A552" s="878" t="s">
        <v>1091</v>
      </c>
      <c r="B552" s="942" t="str">
        <f>_xlfn.CONCAT('Fusion Portfolio'!C460,", ",'Fusion Portfolio'!D460)</f>
        <v xml:space="preserve">, </v>
      </c>
      <c r="C552" s="942"/>
    </row>
    <row r="553" spans="1:3" ht="28.5" customHeight="1" x14ac:dyDescent="0.25">
      <c r="A553" s="878" t="s">
        <v>1092</v>
      </c>
      <c r="B553" s="942" t="str">
        <f>_xlfn.CONCAT('Fusion Portfolio'!C461,", ",'Fusion Portfolio'!D461)</f>
        <v xml:space="preserve">, </v>
      </c>
      <c r="C553" s="942"/>
    </row>
    <row r="554" spans="1:3" ht="28.5" customHeight="1" x14ac:dyDescent="0.25">
      <c r="A554" s="878" t="s">
        <v>1093</v>
      </c>
      <c r="B554" s="942" t="str">
        <f>_xlfn.CONCAT('Fusion Portfolio'!C462,", ",'Fusion Portfolio'!D462)</f>
        <v xml:space="preserve">, </v>
      </c>
      <c r="C554" s="942"/>
    </row>
    <row r="555" spans="1:3" ht="28.5" customHeight="1" x14ac:dyDescent="0.25">
      <c r="A555" s="878" t="s">
        <v>1094</v>
      </c>
      <c r="B555" s="942" t="str">
        <f>_xlfn.CONCAT('Fusion Portfolio'!C463,", ",'Fusion Portfolio'!D463)</f>
        <v xml:space="preserve">, </v>
      </c>
      <c r="C555" s="942"/>
    </row>
    <row r="556" spans="1:3" ht="28.5" customHeight="1" x14ac:dyDescent="0.25">
      <c r="A556" s="878" t="s">
        <v>1095</v>
      </c>
      <c r="B556" s="942" t="str">
        <f>_xlfn.CONCAT('Fusion Portfolio'!C464,", ",'Fusion Portfolio'!D464)</f>
        <v xml:space="preserve">, </v>
      </c>
      <c r="C556" s="942"/>
    </row>
    <row r="557" spans="1:3" ht="28.5" customHeight="1" x14ac:dyDescent="0.25">
      <c r="A557" s="878" t="s">
        <v>1096</v>
      </c>
      <c r="B557" s="942" t="str">
        <f>_xlfn.CONCAT('Fusion Portfolio'!C465,", ",'Fusion Portfolio'!D465)</f>
        <v xml:space="preserve">, </v>
      </c>
      <c r="C557" s="942"/>
    </row>
    <row r="558" spans="1:3" ht="28.5" customHeight="1" x14ac:dyDescent="0.25">
      <c r="A558" s="878" t="s">
        <v>1097</v>
      </c>
      <c r="B558" s="942" t="str">
        <f>_xlfn.CONCAT('Fusion Portfolio'!C466,", ",'Fusion Portfolio'!D466)</f>
        <v xml:space="preserve">, </v>
      </c>
      <c r="C558" s="942"/>
    </row>
    <row r="559" spans="1:3" ht="28.5" customHeight="1" x14ac:dyDescent="0.25">
      <c r="A559" s="878" t="s">
        <v>1098</v>
      </c>
      <c r="B559" s="942" t="str">
        <f>_xlfn.CONCAT('Fusion Portfolio'!C467,", ",'Fusion Portfolio'!D467)</f>
        <v xml:space="preserve">, </v>
      </c>
      <c r="C559" s="942"/>
    </row>
    <row r="560" spans="1:3" ht="28.5" customHeight="1" x14ac:dyDescent="0.25">
      <c r="A560" s="878" t="s">
        <v>1099</v>
      </c>
      <c r="B560" s="942" t="str">
        <f>_xlfn.CONCAT('Fusion Portfolio'!C468,", ",'Fusion Portfolio'!D468)</f>
        <v xml:space="preserve">, </v>
      </c>
      <c r="C560" s="942"/>
    </row>
    <row r="561" spans="1:3" ht="28.5" customHeight="1" x14ac:dyDescent="0.25">
      <c r="A561" s="878" t="s">
        <v>1100</v>
      </c>
      <c r="B561" s="942" t="str">
        <f>_xlfn.CONCAT('Fusion Portfolio'!C469,", ",'Fusion Portfolio'!D469)</f>
        <v xml:space="preserve">, </v>
      </c>
      <c r="C561" s="942"/>
    </row>
    <row r="562" spans="1:3" ht="28.5" customHeight="1" x14ac:dyDescent="0.25">
      <c r="A562" s="878" t="s">
        <v>1101</v>
      </c>
      <c r="B562" s="942" t="str">
        <f>_xlfn.CONCAT('Fusion Portfolio'!C470,", ",'Fusion Portfolio'!D470)</f>
        <v xml:space="preserve">, </v>
      </c>
      <c r="C562" s="942"/>
    </row>
    <row r="563" spans="1:3" ht="28.5" customHeight="1" x14ac:dyDescent="0.25">
      <c r="A563" s="878" t="s">
        <v>1102</v>
      </c>
      <c r="B563" s="942" t="str">
        <f>_xlfn.CONCAT('Fusion Portfolio'!C471,", ",'Fusion Portfolio'!D471)</f>
        <v xml:space="preserve">, </v>
      </c>
      <c r="C563" s="942"/>
    </row>
    <row r="564" spans="1:3" ht="28.5" customHeight="1" x14ac:dyDescent="0.25">
      <c r="A564" s="878" t="s">
        <v>1103</v>
      </c>
      <c r="B564" s="942" t="str">
        <f>_xlfn.CONCAT('Fusion Portfolio'!C472,", ",'Fusion Portfolio'!D472)</f>
        <v xml:space="preserve">, </v>
      </c>
      <c r="C564" s="942"/>
    </row>
    <row r="565" spans="1:3" ht="28.5" customHeight="1" x14ac:dyDescent="0.25">
      <c r="A565" s="878" t="s">
        <v>1104</v>
      </c>
      <c r="B565" s="942" t="str">
        <f>_xlfn.CONCAT('Fusion Portfolio'!C473,", ",'Fusion Portfolio'!D473)</f>
        <v xml:space="preserve">, </v>
      </c>
      <c r="C565" s="942"/>
    </row>
    <row r="566" spans="1:3" ht="28.5" customHeight="1" x14ac:dyDescent="0.25">
      <c r="A566" s="878" t="s">
        <v>1105</v>
      </c>
      <c r="B566" s="942" t="str">
        <f>_xlfn.CONCAT('Fusion Portfolio'!C474,", ",'Fusion Portfolio'!D474)</f>
        <v xml:space="preserve">, </v>
      </c>
      <c r="C566" s="942"/>
    </row>
    <row r="567" spans="1:3" ht="28.5" customHeight="1" x14ac:dyDescent="0.25">
      <c r="A567" s="878" t="s">
        <v>1106</v>
      </c>
      <c r="B567" s="942" t="str">
        <f>_xlfn.CONCAT('Fusion Portfolio'!C475,", ",'Fusion Portfolio'!D475)</f>
        <v xml:space="preserve">, </v>
      </c>
      <c r="C567" s="942"/>
    </row>
    <row r="568" spans="1:3" ht="28.5" customHeight="1" x14ac:dyDescent="0.25">
      <c r="A568" s="878" t="s">
        <v>1107</v>
      </c>
      <c r="B568" s="942" t="str">
        <f>_xlfn.CONCAT('Fusion Portfolio'!C476,", ",'Fusion Portfolio'!D476)</f>
        <v xml:space="preserve">, </v>
      </c>
      <c r="C568" s="942"/>
    </row>
    <row r="569" spans="1:3" ht="28.5" customHeight="1" x14ac:dyDescent="0.25">
      <c r="A569" s="878" t="s">
        <v>1108</v>
      </c>
      <c r="B569" s="942" t="str">
        <f>_xlfn.CONCAT('Fusion Portfolio'!C477,", ",'Fusion Portfolio'!D477)</f>
        <v xml:space="preserve">, </v>
      </c>
      <c r="C569" s="942"/>
    </row>
    <row r="570" spans="1:3" ht="28.5" customHeight="1" x14ac:dyDescent="0.25">
      <c r="A570" s="878" t="s">
        <v>1109</v>
      </c>
      <c r="B570" s="942" t="str">
        <f>_xlfn.CONCAT('Fusion Portfolio'!C478,", ",'Fusion Portfolio'!D478)</f>
        <v xml:space="preserve">, </v>
      </c>
      <c r="C570" s="942"/>
    </row>
    <row r="571" spans="1:3" ht="28.5" customHeight="1" x14ac:dyDescent="0.25">
      <c r="A571" s="878" t="s">
        <v>1110</v>
      </c>
      <c r="B571" s="942" t="str">
        <f>_xlfn.CONCAT('Fusion Portfolio'!C479,", ",'Fusion Portfolio'!D479)</f>
        <v xml:space="preserve">, </v>
      </c>
      <c r="C571" s="942"/>
    </row>
    <row r="572" spans="1:3" ht="28.5" customHeight="1" x14ac:dyDescent="0.25">
      <c r="A572" s="878" t="s">
        <v>1111</v>
      </c>
      <c r="B572" s="942" t="str">
        <f>_xlfn.CONCAT('Fusion Portfolio'!C480,", ",'Fusion Portfolio'!D480)</f>
        <v xml:space="preserve">, </v>
      </c>
      <c r="C572" s="942"/>
    </row>
    <row r="573" spans="1:3" ht="28.5" customHeight="1" x14ac:dyDescent="0.25">
      <c r="A573" s="878" t="s">
        <v>1112</v>
      </c>
      <c r="B573" s="942" t="str">
        <f>_xlfn.CONCAT('Fusion Portfolio'!C481,", ",'Fusion Portfolio'!D481)</f>
        <v xml:space="preserve">, </v>
      </c>
      <c r="C573" s="942"/>
    </row>
    <row r="574" spans="1:3" ht="28.5" customHeight="1" x14ac:dyDescent="0.25">
      <c r="A574" s="878" t="s">
        <v>1113</v>
      </c>
      <c r="B574" s="942" t="str">
        <f>_xlfn.CONCAT('Fusion Portfolio'!C482,", ",'Fusion Portfolio'!D482)</f>
        <v xml:space="preserve">, </v>
      </c>
      <c r="C574" s="942"/>
    </row>
    <row r="575" spans="1:3" ht="28.5" customHeight="1" x14ac:dyDescent="0.25">
      <c r="A575" s="878" t="s">
        <v>1114</v>
      </c>
      <c r="B575" s="942" t="str">
        <f>_xlfn.CONCAT('Fusion Portfolio'!C483,", ",'Fusion Portfolio'!D483)</f>
        <v xml:space="preserve">, </v>
      </c>
      <c r="C575" s="942"/>
    </row>
    <row r="576" spans="1:3" ht="28.5" customHeight="1" x14ac:dyDescent="0.25">
      <c r="A576" s="878" t="s">
        <v>1115</v>
      </c>
      <c r="B576" s="942" t="str">
        <f>_xlfn.CONCAT('Fusion Portfolio'!C484,", ",'Fusion Portfolio'!D484)</f>
        <v xml:space="preserve">, </v>
      </c>
      <c r="C576" s="942"/>
    </row>
    <row r="577" spans="1:3" ht="28.5" customHeight="1" x14ac:dyDescent="0.25">
      <c r="A577" s="878" t="s">
        <v>1116</v>
      </c>
      <c r="B577" s="942" t="str">
        <f>_xlfn.CONCAT('Fusion Portfolio'!C485,", ",'Fusion Portfolio'!D485)</f>
        <v xml:space="preserve">, </v>
      </c>
      <c r="C577" s="942"/>
    </row>
    <row r="578" spans="1:3" ht="28.5" customHeight="1" x14ac:dyDescent="0.25">
      <c r="A578" s="878" t="s">
        <v>1117</v>
      </c>
      <c r="B578" s="942" t="str">
        <f>_xlfn.CONCAT('Fusion Portfolio'!C486,", ",'Fusion Portfolio'!D486)</f>
        <v xml:space="preserve">, </v>
      </c>
      <c r="C578" s="942"/>
    </row>
    <row r="579" spans="1:3" ht="28.5" customHeight="1" x14ac:dyDescent="0.25">
      <c r="A579" s="878" t="s">
        <v>1118</v>
      </c>
      <c r="B579" s="942" t="str">
        <f>_xlfn.CONCAT('Fusion Portfolio'!C487,", ",'Fusion Portfolio'!D487)</f>
        <v xml:space="preserve">, </v>
      </c>
      <c r="C579" s="942"/>
    </row>
    <row r="580" spans="1:3" ht="28.5" customHeight="1" x14ac:dyDescent="0.25">
      <c r="A580" s="878" t="s">
        <v>1119</v>
      </c>
      <c r="B580" s="942" t="str">
        <f>_xlfn.CONCAT('Fusion Portfolio'!C488,", ",'Fusion Portfolio'!D488)</f>
        <v xml:space="preserve">, </v>
      </c>
      <c r="C580" s="942"/>
    </row>
    <row r="581" spans="1:3" ht="28.5" customHeight="1" x14ac:dyDescent="0.25">
      <c r="A581" s="878" t="s">
        <v>1120</v>
      </c>
      <c r="B581" s="942" t="str">
        <f>_xlfn.CONCAT('Fusion Portfolio'!C489,", ",'Fusion Portfolio'!D489)</f>
        <v xml:space="preserve">, </v>
      </c>
      <c r="C581" s="942"/>
    </row>
    <row r="582" spans="1:3" ht="28.5" customHeight="1" x14ac:dyDescent="0.25">
      <c r="A582" s="878" t="s">
        <v>1121</v>
      </c>
      <c r="B582" s="942" t="str">
        <f>_xlfn.CONCAT('Fusion Portfolio'!C490,", ",'Fusion Portfolio'!D490)</f>
        <v xml:space="preserve">, </v>
      </c>
      <c r="C582" s="942"/>
    </row>
    <row r="583" spans="1:3" ht="28.5" customHeight="1" x14ac:dyDescent="0.25">
      <c r="A583" s="878" t="s">
        <v>1122</v>
      </c>
      <c r="B583" s="942" t="str">
        <f>_xlfn.CONCAT('Fusion Portfolio'!C491,", ",'Fusion Portfolio'!D491)</f>
        <v xml:space="preserve">, </v>
      </c>
      <c r="C583" s="942"/>
    </row>
    <row r="584" spans="1:3" ht="28.5" customHeight="1" x14ac:dyDescent="0.25">
      <c r="A584" s="878" t="s">
        <v>1123</v>
      </c>
      <c r="B584" s="942" t="str">
        <f>_xlfn.CONCAT('Fusion Portfolio'!C492,", ",'Fusion Portfolio'!D492)</f>
        <v xml:space="preserve">, </v>
      </c>
      <c r="C584" s="942"/>
    </row>
    <row r="585" spans="1:3" ht="28.5" customHeight="1" x14ac:dyDescent="0.25">
      <c r="A585" s="878" t="s">
        <v>1124</v>
      </c>
      <c r="B585" s="942" t="str">
        <f>_xlfn.CONCAT('Fusion Portfolio'!C493,", ",'Fusion Portfolio'!D493)</f>
        <v xml:space="preserve">, </v>
      </c>
      <c r="C585" s="942"/>
    </row>
    <row r="586" spans="1:3" ht="28.5" customHeight="1" x14ac:dyDescent="0.25">
      <c r="A586" s="878" t="s">
        <v>1125</v>
      </c>
      <c r="B586" s="942" t="str">
        <f>_xlfn.CONCAT('Fusion Portfolio'!C494,", ",'Fusion Portfolio'!D494)</f>
        <v xml:space="preserve">, </v>
      </c>
      <c r="C586" s="942"/>
    </row>
    <row r="587" spans="1:3" ht="28.5" customHeight="1" x14ac:dyDescent="0.25">
      <c r="A587" s="878" t="s">
        <v>1126</v>
      </c>
      <c r="B587" s="942" t="str">
        <f>_xlfn.CONCAT('Fusion Portfolio'!C495,", ",'Fusion Portfolio'!D495)</f>
        <v xml:space="preserve">, </v>
      </c>
      <c r="C587" s="942"/>
    </row>
    <row r="588" spans="1:3" ht="28.5" customHeight="1" x14ac:dyDescent="0.25">
      <c r="A588" s="878" t="s">
        <v>1127</v>
      </c>
      <c r="B588" s="942" t="str">
        <f>_xlfn.CONCAT('Fusion Portfolio'!C496,", ",'Fusion Portfolio'!D496)</f>
        <v xml:space="preserve">, </v>
      </c>
      <c r="C588" s="942"/>
    </row>
    <row r="589" spans="1:3" ht="28.5" customHeight="1" x14ac:dyDescent="0.25">
      <c r="A589" s="878" t="s">
        <v>1128</v>
      </c>
      <c r="B589" s="942" t="str">
        <f>_xlfn.CONCAT('Fusion Portfolio'!C497,", ",'Fusion Portfolio'!D497)</f>
        <v xml:space="preserve">, </v>
      </c>
      <c r="C589" s="942"/>
    </row>
    <row r="590" spans="1:3" ht="28.5" customHeight="1" x14ac:dyDescent="0.25">
      <c r="A590" s="878" t="s">
        <v>1129</v>
      </c>
      <c r="B590" s="942" t="str">
        <f>_xlfn.CONCAT('Fusion Portfolio'!C498,", ",'Fusion Portfolio'!D498)</f>
        <v xml:space="preserve">, </v>
      </c>
      <c r="C590" s="942"/>
    </row>
    <row r="591" spans="1:3" ht="28.5" customHeight="1" x14ac:dyDescent="0.25">
      <c r="A591" s="878" t="s">
        <v>1130</v>
      </c>
      <c r="B591" s="942" t="str">
        <f>_xlfn.CONCAT('Fusion Portfolio'!C499,", ",'Fusion Portfolio'!D499)</f>
        <v xml:space="preserve">, </v>
      </c>
      <c r="C591" s="942"/>
    </row>
    <row r="592" spans="1:3" ht="28.5" customHeight="1" x14ac:dyDescent="0.25">
      <c r="A592" s="878" t="s">
        <v>1131</v>
      </c>
      <c r="B592" s="942" t="str">
        <f>_xlfn.CONCAT('Fusion Portfolio'!C500,", ",'Fusion Portfolio'!D500)</f>
        <v xml:space="preserve">, </v>
      </c>
      <c r="C592" s="942"/>
    </row>
    <row r="593" spans="1:3" ht="28.5" customHeight="1" x14ac:dyDescent="0.25">
      <c r="A593" s="878" t="s">
        <v>1132</v>
      </c>
      <c r="B593" s="942" t="str">
        <f>_xlfn.CONCAT('Fusion Portfolio'!C501,", ",'Fusion Portfolio'!D501)</f>
        <v xml:space="preserve">, </v>
      </c>
      <c r="C593" s="942"/>
    </row>
    <row r="594" spans="1:3" ht="28.5" customHeight="1" x14ac:dyDescent="0.25">
      <c r="A594" s="878" t="s">
        <v>1133</v>
      </c>
      <c r="B594" s="942" t="str">
        <f>_xlfn.CONCAT('Fusion Portfolio'!C502,", ",'Fusion Portfolio'!D502)</f>
        <v xml:space="preserve">, </v>
      </c>
      <c r="C594" s="942"/>
    </row>
    <row r="595" spans="1:3" ht="28.5" customHeight="1" x14ac:dyDescent="0.25">
      <c r="A595" s="878" t="s">
        <v>1134</v>
      </c>
      <c r="B595" s="942" t="str">
        <f>_xlfn.CONCAT('Fusion Portfolio'!C503,", ",'Fusion Portfolio'!D503)</f>
        <v xml:space="preserve">, </v>
      </c>
      <c r="C595" s="942"/>
    </row>
    <row r="596" spans="1:3" ht="28.5" customHeight="1" x14ac:dyDescent="0.25">
      <c r="A596" s="878" t="s">
        <v>1135</v>
      </c>
      <c r="B596" s="942" t="str">
        <f>_xlfn.CONCAT('Fusion Portfolio'!C504,", ",'Fusion Portfolio'!D504)</f>
        <v xml:space="preserve">, </v>
      </c>
      <c r="C596" s="942"/>
    </row>
    <row r="597" spans="1:3" ht="28.5" customHeight="1" x14ac:dyDescent="0.25">
      <c r="A597" s="878" t="s">
        <v>1136</v>
      </c>
      <c r="B597" s="942" t="str">
        <f>_xlfn.CONCAT('Fusion Portfolio'!C505,", ",'Fusion Portfolio'!D505)</f>
        <v xml:space="preserve">, </v>
      </c>
      <c r="C597" s="942"/>
    </row>
    <row r="598" spans="1:3" ht="28.5" customHeight="1" x14ac:dyDescent="0.25">
      <c r="A598" s="878" t="s">
        <v>1137</v>
      </c>
      <c r="B598" s="942" t="str">
        <f>_xlfn.CONCAT('Fusion Portfolio'!C506,", ",'Fusion Portfolio'!D506)</f>
        <v xml:space="preserve">, </v>
      </c>
      <c r="C598" s="942"/>
    </row>
    <row r="599" spans="1:3" ht="28.5" customHeight="1" x14ac:dyDescent="0.25">
      <c r="A599" s="878" t="s">
        <v>1138</v>
      </c>
      <c r="B599" s="942" t="str">
        <f>_xlfn.CONCAT('Fusion Portfolio'!C507,", ",'Fusion Portfolio'!D507)</f>
        <v xml:space="preserve">, </v>
      </c>
      <c r="C599" s="942"/>
    </row>
    <row r="600" spans="1:3" ht="28.5" customHeight="1" x14ac:dyDescent="0.25">
      <c r="A600" s="878" t="s">
        <v>1139</v>
      </c>
      <c r="B600" s="942" t="str">
        <f>_xlfn.CONCAT('Fusion Portfolio'!C508,", ",'Fusion Portfolio'!D508)</f>
        <v xml:space="preserve">, </v>
      </c>
      <c r="C600" s="942"/>
    </row>
    <row r="601" spans="1:3" ht="28.5" customHeight="1" x14ac:dyDescent="0.25">
      <c r="A601" s="878" t="s">
        <v>1140</v>
      </c>
      <c r="B601" s="942" t="str">
        <f>_xlfn.CONCAT('Fusion Portfolio'!C509,", ",'Fusion Portfolio'!D509)</f>
        <v xml:space="preserve">, </v>
      </c>
      <c r="C601" s="942"/>
    </row>
    <row r="602" spans="1:3" ht="28.5" customHeight="1" x14ac:dyDescent="0.25">
      <c r="A602" s="878" t="s">
        <v>1141</v>
      </c>
      <c r="B602" s="942" t="str">
        <f>_xlfn.CONCAT('Fusion Portfolio'!C510,", ",'Fusion Portfolio'!D510)</f>
        <v xml:space="preserve">, </v>
      </c>
      <c r="C602" s="942"/>
    </row>
    <row r="603" spans="1:3" ht="28.5" customHeight="1" x14ac:dyDescent="0.25">
      <c r="A603" s="878" t="s">
        <v>1142</v>
      </c>
      <c r="B603" s="942" t="str">
        <f>_xlfn.CONCAT('Fusion Portfolio'!C511,", ",'Fusion Portfolio'!D511)</f>
        <v xml:space="preserve">, </v>
      </c>
      <c r="C603" s="942"/>
    </row>
    <row r="604" spans="1:3" ht="28.5" customHeight="1" x14ac:dyDescent="0.25">
      <c r="A604" s="878" t="s">
        <v>1143</v>
      </c>
      <c r="B604" s="942" t="str">
        <f>_xlfn.CONCAT('Fusion Portfolio'!C512,", ",'Fusion Portfolio'!D512)</f>
        <v xml:space="preserve">, </v>
      </c>
      <c r="C604" s="942"/>
    </row>
    <row r="605" spans="1:3" ht="28.5" customHeight="1" x14ac:dyDescent="0.25">
      <c r="A605" s="878" t="s">
        <v>1144</v>
      </c>
      <c r="B605" s="942" t="str">
        <f>_xlfn.CONCAT('Fusion Portfolio'!C513,", ",'Fusion Portfolio'!D513)</f>
        <v xml:space="preserve">, </v>
      </c>
      <c r="C605" s="942"/>
    </row>
    <row r="606" spans="1:3" ht="28.5" customHeight="1" x14ac:dyDescent="0.25">
      <c r="A606" s="878" t="s">
        <v>1145</v>
      </c>
      <c r="B606" s="942" t="str">
        <f>_xlfn.CONCAT('Fusion Portfolio'!C514,", ",'Fusion Portfolio'!D514)</f>
        <v xml:space="preserve">, </v>
      </c>
      <c r="C606" s="942"/>
    </row>
    <row r="607" spans="1:3" ht="28.5" customHeight="1" x14ac:dyDescent="0.25">
      <c r="A607" s="878" t="s">
        <v>1146</v>
      </c>
      <c r="B607" s="942" t="str">
        <f>_xlfn.CONCAT('Fusion Portfolio'!C515,", ",'Fusion Portfolio'!D515)</f>
        <v xml:space="preserve">, </v>
      </c>
      <c r="C607" s="942"/>
    </row>
    <row r="608" spans="1:3" ht="28.5" customHeight="1" x14ac:dyDescent="0.25">
      <c r="A608" s="878" t="s">
        <v>1147</v>
      </c>
      <c r="B608" s="942" t="str">
        <f>_xlfn.CONCAT('Fusion Portfolio'!C516,", ",'Fusion Portfolio'!D516)</f>
        <v xml:space="preserve">, </v>
      </c>
      <c r="C608" s="942"/>
    </row>
    <row r="609" spans="1:3" ht="28.5" customHeight="1" x14ac:dyDescent="0.25">
      <c r="A609" s="878" t="s">
        <v>1148</v>
      </c>
      <c r="B609" s="942" t="str">
        <f>_xlfn.CONCAT('Fusion Portfolio'!C517,", ",'Fusion Portfolio'!D517)</f>
        <v xml:space="preserve">, </v>
      </c>
      <c r="C609" s="942"/>
    </row>
    <row r="610" spans="1:3" ht="28.5" customHeight="1" x14ac:dyDescent="0.25">
      <c r="A610" s="878" t="s">
        <v>1149</v>
      </c>
      <c r="B610" s="942" t="str">
        <f>_xlfn.CONCAT('Fusion Portfolio'!C518,", ",'Fusion Portfolio'!D518)</f>
        <v xml:space="preserve">, </v>
      </c>
      <c r="C610" s="942"/>
    </row>
    <row r="611" spans="1:3" ht="28.5" customHeight="1" x14ac:dyDescent="0.25">
      <c r="A611" s="878" t="s">
        <v>1150</v>
      </c>
      <c r="B611" s="942" t="str">
        <f>_xlfn.CONCAT('Fusion Portfolio'!C519,", ",'Fusion Portfolio'!D519)</f>
        <v xml:space="preserve">, </v>
      </c>
      <c r="C611" s="942"/>
    </row>
    <row r="612" spans="1:3" ht="28.5" customHeight="1" x14ac:dyDescent="0.25">
      <c r="A612" s="878" t="s">
        <v>1151</v>
      </c>
      <c r="B612" s="942" t="str">
        <f>_xlfn.CONCAT('Fusion Portfolio'!C520,", ",'Fusion Portfolio'!D520)</f>
        <v xml:space="preserve">, </v>
      </c>
      <c r="C612" s="942"/>
    </row>
    <row r="613" spans="1:3" ht="28.5" customHeight="1" x14ac:dyDescent="0.25">
      <c r="A613" s="878" t="s">
        <v>1152</v>
      </c>
      <c r="B613" s="942" t="str">
        <f>_xlfn.CONCAT('Fusion Portfolio'!C521,", ",'Fusion Portfolio'!D521)</f>
        <v xml:space="preserve">, </v>
      </c>
      <c r="C613" s="942"/>
    </row>
    <row r="614" spans="1:3" ht="28.5" customHeight="1" x14ac:dyDescent="0.25">
      <c r="A614" s="878" t="s">
        <v>1153</v>
      </c>
      <c r="B614" s="942" t="str">
        <f>_xlfn.CONCAT('Fusion Portfolio'!C522,", ",'Fusion Portfolio'!D522)</f>
        <v xml:space="preserve">, </v>
      </c>
      <c r="C614" s="942"/>
    </row>
    <row r="615" spans="1:3" ht="28.5" customHeight="1" x14ac:dyDescent="0.25">
      <c r="A615" s="878" t="s">
        <v>1154</v>
      </c>
      <c r="B615" s="942" t="str">
        <f>_xlfn.CONCAT('Fusion Portfolio'!C523,", ",'Fusion Portfolio'!D523)</f>
        <v xml:space="preserve">, </v>
      </c>
      <c r="C615" s="942"/>
    </row>
    <row r="616" spans="1:3" ht="28.5" customHeight="1" x14ac:dyDescent="0.25">
      <c r="A616" s="878" t="s">
        <v>1155</v>
      </c>
      <c r="B616" s="942" t="str">
        <f>_xlfn.CONCAT('Fusion Portfolio'!C524,", ",'Fusion Portfolio'!D524)</f>
        <v xml:space="preserve">, </v>
      </c>
      <c r="C616" s="942"/>
    </row>
    <row r="617" spans="1:3" ht="28.5" customHeight="1" x14ac:dyDescent="0.25">
      <c r="A617" s="878" t="s">
        <v>1156</v>
      </c>
      <c r="B617" s="942" t="str">
        <f>_xlfn.CONCAT('Fusion Portfolio'!C525,", ",'Fusion Portfolio'!D525)</f>
        <v xml:space="preserve">, </v>
      </c>
      <c r="C617" s="942"/>
    </row>
    <row r="618" spans="1:3" ht="28.5" customHeight="1" x14ac:dyDescent="0.25">
      <c r="A618" s="878" t="s">
        <v>1157</v>
      </c>
      <c r="B618" s="942" t="str">
        <f>_xlfn.CONCAT('Fusion Portfolio'!C526,", ",'Fusion Portfolio'!D526)</f>
        <v xml:space="preserve">, </v>
      </c>
      <c r="C618" s="942"/>
    </row>
    <row r="619" spans="1:3" ht="28.5" customHeight="1" x14ac:dyDescent="0.25">
      <c r="A619" s="878" t="s">
        <v>1158</v>
      </c>
      <c r="B619" s="942" t="str">
        <f>_xlfn.CONCAT('Fusion Portfolio'!C527,", ",'Fusion Portfolio'!D527)</f>
        <v xml:space="preserve">, </v>
      </c>
      <c r="C619" s="942"/>
    </row>
    <row r="620" spans="1:3" ht="28.5" customHeight="1" x14ac:dyDescent="0.25">
      <c r="A620" s="878" t="s">
        <v>1159</v>
      </c>
      <c r="B620" s="942" t="str">
        <f>_xlfn.CONCAT('Fusion Portfolio'!C528,", ",'Fusion Portfolio'!D528)</f>
        <v xml:space="preserve">, </v>
      </c>
      <c r="C620" s="942"/>
    </row>
    <row r="621" spans="1:3" ht="28.5" customHeight="1" x14ac:dyDescent="0.25">
      <c r="A621" s="878" t="s">
        <v>1160</v>
      </c>
      <c r="B621" s="942" t="str">
        <f>_xlfn.CONCAT('Fusion Portfolio'!C529,", ",'Fusion Portfolio'!D529)</f>
        <v xml:space="preserve">, </v>
      </c>
      <c r="C621" s="942"/>
    </row>
    <row r="622" spans="1:3" ht="28.5" customHeight="1" x14ac:dyDescent="0.25">
      <c r="A622" s="878" t="s">
        <v>1161</v>
      </c>
      <c r="B622" s="942" t="str">
        <f>_xlfn.CONCAT('Fusion Portfolio'!C530,", ",'Fusion Portfolio'!D530)</f>
        <v xml:space="preserve">, </v>
      </c>
      <c r="C622" s="942"/>
    </row>
    <row r="623" spans="1:3" ht="28.5" customHeight="1" x14ac:dyDescent="0.25">
      <c r="A623" s="878" t="s">
        <v>1162</v>
      </c>
      <c r="B623" s="942" t="str">
        <f>_xlfn.CONCAT('Fusion Portfolio'!C531,", ",'Fusion Portfolio'!D531)</f>
        <v xml:space="preserve">, </v>
      </c>
      <c r="C623" s="942"/>
    </row>
    <row r="624" spans="1:3" ht="28.5" customHeight="1" x14ac:dyDescent="0.25">
      <c r="A624" s="878" t="s">
        <v>1163</v>
      </c>
      <c r="B624" s="942" t="str">
        <f>_xlfn.CONCAT('Fusion Portfolio'!C532,", ",'Fusion Portfolio'!D532)</f>
        <v xml:space="preserve">, </v>
      </c>
      <c r="C624" s="942"/>
    </row>
    <row r="625" spans="1:3" ht="28.5" customHeight="1" x14ac:dyDescent="0.25">
      <c r="A625" s="878" t="s">
        <v>1164</v>
      </c>
      <c r="B625" s="942" t="str">
        <f>_xlfn.CONCAT('Fusion Portfolio'!C533,", ",'Fusion Portfolio'!D533)</f>
        <v xml:space="preserve">, </v>
      </c>
      <c r="C625" s="942"/>
    </row>
    <row r="626" spans="1:3" ht="28.5" customHeight="1" x14ac:dyDescent="0.25">
      <c r="A626" s="878" t="s">
        <v>1165</v>
      </c>
      <c r="B626" s="942" t="str">
        <f>_xlfn.CONCAT('Fusion Portfolio'!C534,", ",'Fusion Portfolio'!D534)</f>
        <v xml:space="preserve">, </v>
      </c>
      <c r="C626" s="942"/>
    </row>
    <row r="627" spans="1:3" ht="28.5" customHeight="1" x14ac:dyDescent="0.25">
      <c r="A627" s="878" t="s">
        <v>1166</v>
      </c>
      <c r="B627" s="942" t="str">
        <f>_xlfn.CONCAT('Fusion Portfolio'!C535,", ",'Fusion Portfolio'!D535)</f>
        <v xml:space="preserve">, </v>
      </c>
      <c r="C627" s="942"/>
    </row>
    <row r="628" spans="1:3" ht="28.5" customHeight="1" x14ac:dyDescent="0.25">
      <c r="A628" s="878" t="s">
        <v>1167</v>
      </c>
      <c r="B628" s="942" t="str">
        <f>_xlfn.CONCAT('Fusion Portfolio'!C536,", ",'Fusion Portfolio'!D536)</f>
        <v xml:space="preserve">, </v>
      </c>
      <c r="C628" s="942"/>
    </row>
    <row r="629" spans="1:3" ht="28.5" customHeight="1" x14ac:dyDescent="0.25">
      <c r="A629" s="878" t="s">
        <v>1168</v>
      </c>
      <c r="B629" s="942" t="str">
        <f>_xlfn.CONCAT('Fusion Portfolio'!C537,", ",'Fusion Portfolio'!D537)</f>
        <v xml:space="preserve">, </v>
      </c>
      <c r="C629" s="942"/>
    </row>
    <row r="630" spans="1:3" ht="28.5" customHeight="1" x14ac:dyDescent="0.25">
      <c r="A630" s="878" t="s">
        <v>1169</v>
      </c>
      <c r="B630" s="942" t="str">
        <f>_xlfn.CONCAT('Fusion Portfolio'!C538,", ",'Fusion Portfolio'!D538)</f>
        <v xml:space="preserve">, </v>
      </c>
      <c r="C630" s="942"/>
    </row>
    <row r="631" spans="1:3" ht="28.5" customHeight="1" x14ac:dyDescent="0.25">
      <c r="A631" s="878" t="s">
        <v>1170</v>
      </c>
      <c r="B631" s="942" t="str">
        <f>_xlfn.CONCAT('Fusion Portfolio'!C539,", ",'Fusion Portfolio'!D539)</f>
        <v xml:space="preserve">, </v>
      </c>
      <c r="C631" s="942"/>
    </row>
    <row r="632" spans="1:3" ht="28.5" customHeight="1" x14ac:dyDescent="0.25">
      <c r="A632" s="878" t="s">
        <v>1171</v>
      </c>
      <c r="B632" s="942" t="str">
        <f>_xlfn.CONCAT('Fusion Portfolio'!C540,", ",'Fusion Portfolio'!D540)</f>
        <v xml:space="preserve">, </v>
      </c>
      <c r="C632" s="942"/>
    </row>
    <row r="633" spans="1:3" ht="28.5" customHeight="1" x14ac:dyDescent="0.25">
      <c r="A633" s="878" t="s">
        <v>1172</v>
      </c>
      <c r="B633" s="942" t="str">
        <f>_xlfn.CONCAT('Fusion Portfolio'!C541,", ",'Fusion Portfolio'!D541)</f>
        <v xml:space="preserve">, </v>
      </c>
      <c r="C633" s="942"/>
    </row>
    <row r="634" spans="1:3" ht="28.5" customHeight="1" x14ac:dyDescent="0.25">
      <c r="A634" s="878" t="s">
        <v>1173</v>
      </c>
      <c r="B634" s="942" t="str">
        <f>_xlfn.CONCAT('Fusion Portfolio'!C542,", ",'Fusion Portfolio'!D542)</f>
        <v xml:space="preserve">, </v>
      </c>
      <c r="C634" s="942"/>
    </row>
    <row r="635" spans="1:3" ht="28.5" customHeight="1" x14ac:dyDescent="0.25">
      <c r="A635" s="878" t="s">
        <v>1174</v>
      </c>
      <c r="B635" s="942" t="str">
        <f>_xlfn.CONCAT('Fusion Portfolio'!C543,", ",'Fusion Portfolio'!D543)</f>
        <v xml:space="preserve">, </v>
      </c>
      <c r="C635" s="942"/>
    </row>
    <row r="636" spans="1:3" ht="28.5" customHeight="1" x14ac:dyDescent="0.25">
      <c r="A636" s="878" t="s">
        <v>1175</v>
      </c>
      <c r="B636" s="942" t="str">
        <f>_xlfn.CONCAT('Fusion Portfolio'!C544,", ",'Fusion Portfolio'!D544)</f>
        <v xml:space="preserve">, </v>
      </c>
      <c r="C636" s="942"/>
    </row>
    <row r="637" spans="1:3" ht="28.5" customHeight="1" x14ac:dyDescent="0.25">
      <c r="A637" s="878" t="s">
        <v>1176</v>
      </c>
      <c r="B637" s="942" t="str">
        <f>_xlfn.CONCAT('Fusion Portfolio'!C545,", ",'Fusion Portfolio'!D545)</f>
        <v xml:space="preserve">, </v>
      </c>
      <c r="C637" s="942"/>
    </row>
    <row r="638" spans="1:3" ht="28.5" customHeight="1" x14ac:dyDescent="0.25">
      <c r="A638" s="878" t="s">
        <v>1177</v>
      </c>
      <c r="B638" s="942" t="str">
        <f>_xlfn.CONCAT('Fusion Portfolio'!C546,", ",'Fusion Portfolio'!D546)</f>
        <v xml:space="preserve">, </v>
      </c>
      <c r="C638" s="942"/>
    </row>
    <row r="639" spans="1:3" ht="28.5" customHeight="1" x14ac:dyDescent="0.25">
      <c r="A639" s="878" t="s">
        <v>1178</v>
      </c>
      <c r="B639" s="942" t="str">
        <f>_xlfn.CONCAT('Fusion Portfolio'!C547,", ",'Fusion Portfolio'!D547)</f>
        <v xml:space="preserve">, </v>
      </c>
      <c r="C639" s="942"/>
    </row>
    <row r="640" spans="1:3" ht="28.5" customHeight="1" x14ac:dyDescent="0.25">
      <c r="A640" s="878" t="s">
        <v>1179</v>
      </c>
      <c r="B640" s="942" t="str">
        <f>_xlfn.CONCAT('Fusion Portfolio'!C548,", ",'Fusion Portfolio'!D548)</f>
        <v xml:space="preserve">, </v>
      </c>
      <c r="C640" s="942"/>
    </row>
    <row r="641" spans="1:3" ht="28.5" customHeight="1" x14ac:dyDescent="0.25">
      <c r="A641" s="878" t="s">
        <v>1180</v>
      </c>
      <c r="B641" s="942" t="str">
        <f>_xlfn.CONCAT('Fusion Portfolio'!C549,", ",'Fusion Portfolio'!D549)</f>
        <v xml:space="preserve">, </v>
      </c>
      <c r="C641" s="942"/>
    </row>
    <row r="642" spans="1:3" ht="28.5" customHeight="1" x14ac:dyDescent="0.25">
      <c r="A642" s="878" t="s">
        <v>1181</v>
      </c>
      <c r="B642" s="942" t="str">
        <f>_xlfn.CONCAT('Fusion Portfolio'!C550,", ",'Fusion Portfolio'!D550)</f>
        <v xml:space="preserve">, </v>
      </c>
      <c r="C642" s="942"/>
    </row>
    <row r="643" spans="1:3" ht="28.5" customHeight="1" x14ac:dyDescent="0.25">
      <c r="A643" s="878" t="s">
        <v>1182</v>
      </c>
      <c r="B643" s="942" t="str">
        <f>_xlfn.CONCAT('Fusion Portfolio'!C551,", ",'Fusion Portfolio'!D551)</f>
        <v xml:space="preserve">, </v>
      </c>
      <c r="C643" s="942"/>
    </row>
    <row r="644" spans="1:3" ht="28.5" customHeight="1" x14ac:dyDescent="0.25">
      <c r="A644" s="878" t="s">
        <v>1183</v>
      </c>
      <c r="B644" s="942" t="str">
        <f>_xlfn.CONCAT('Fusion Portfolio'!C552,", ",'Fusion Portfolio'!D552)</f>
        <v xml:space="preserve">, </v>
      </c>
      <c r="C644" s="942"/>
    </row>
    <row r="645" spans="1:3" ht="28.5" customHeight="1" x14ac:dyDescent="0.25">
      <c r="A645" s="878" t="s">
        <v>1184</v>
      </c>
      <c r="B645" s="942" t="str">
        <f>_xlfn.CONCAT('Fusion Portfolio'!C553,", ",'Fusion Portfolio'!D553)</f>
        <v xml:space="preserve">, </v>
      </c>
      <c r="C645" s="942"/>
    </row>
    <row r="646" spans="1:3" ht="28.5" customHeight="1" x14ac:dyDescent="0.25">
      <c r="A646" s="878" t="s">
        <v>1185</v>
      </c>
      <c r="B646" s="942" t="str">
        <f>_xlfn.CONCAT('Fusion Portfolio'!C554,", ",'Fusion Portfolio'!D554)</f>
        <v xml:space="preserve">, </v>
      </c>
      <c r="C646" s="942"/>
    </row>
    <row r="647" spans="1:3" ht="28.5" customHeight="1" x14ac:dyDescent="0.25">
      <c r="A647" s="878" t="s">
        <v>1186</v>
      </c>
      <c r="B647" s="942" t="str">
        <f>_xlfn.CONCAT('Fusion Portfolio'!C555,", ",'Fusion Portfolio'!D555)</f>
        <v xml:space="preserve">, </v>
      </c>
      <c r="C647" s="942"/>
    </row>
    <row r="648" spans="1:3" ht="28.5" customHeight="1" x14ac:dyDescent="0.25">
      <c r="A648" s="878" t="s">
        <v>1187</v>
      </c>
      <c r="B648" s="942" t="str">
        <f>_xlfn.CONCAT('Fusion Portfolio'!C556,", ",'Fusion Portfolio'!D556)</f>
        <v xml:space="preserve">, </v>
      </c>
      <c r="C648" s="942"/>
    </row>
    <row r="649" spans="1:3" ht="28.5" customHeight="1" x14ac:dyDescent="0.25">
      <c r="A649" s="878" t="s">
        <v>1188</v>
      </c>
      <c r="B649" s="942" t="str">
        <f>_xlfn.CONCAT('Fusion Portfolio'!C557,", ",'Fusion Portfolio'!D557)</f>
        <v xml:space="preserve">, </v>
      </c>
      <c r="C649" s="942"/>
    </row>
    <row r="650" spans="1:3" ht="28.5" customHeight="1" x14ac:dyDescent="0.25">
      <c r="A650" s="878" t="s">
        <v>1189</v>
      </c>
      <c r="B650" s="942" t="str">
        <f>_xlfn.CONCAT('Fusion Portfolio'!C558,", ",'Fusion Portfolio'!D558)</f>
        <v xml:space="preserve">, </v>
      </c>
      <c r="C650" s="942"/>
    </row>
    <row r="651" spans="1:3" ht="28.5" customHeight="1" x14ac:dyDescent="0.25">
      <c r="A651" s="878" t="s">
        <v>1190</v>
      </c>
      <c r="B651" s="942" t="str">
        <f>_xlfn.CONCAT('Fusion Portfolio'!C559,", ",'Fusion Portfolio'!D559)</f>
        <v xml:space="preserve">, </v>
      </c>
      <c r="C651" s="942"/>
    </row>
    <row r="652" spans="1:3" ht="28.5" customHeight="1" x14ac:dyDescent="0.25">
      <c r="A652" s="878" t="s">
        <v>1191</v>
      </c>
      <c r="B652" s="942" t="str">
        <f>_xlfn.CONCAT('Fusion Portfolio'!C560,", ",'Fusion Portfolio'!D560)</f>
        <v xml:space="preserve">, </v>
      </c>
      <c r="C652" s="942"/>
    </row>
    <row r="653" spans="1:3" ht="28.5" customHeight="1" x14ac:dyDescent="0.25">
      <c r="A653" s="878" t="s">
        <v>1192</v>
      </c>
      <c r="B653" s="942" t="str">
        <f>_xlfn.CONCAT('Fusion Portfolio'!C561,", ",'Fusion Portfolio'!D561)</f>
        <v xml:space="preserve">, </v>
      </c>
      <c r="C653" s="942"/>
    </row>
    <row r="654" spans="1:3" ht="28.5" customHeight="1" x14ac:dyDescent="0.25">
      <c r="A654" s="878" t="s">
        <v>1193</v>
      </c>
      <c r="B654" s="942" t="str">
        <f>_xlfn.CONCAT('Fusion Portfolio'!C562,", ",'Fusion Portfolio'!D562)</f>
        <v xml:space="preserve">, </v>
      </c>
      <c r="C654" s="942"/>
    </row>
    <row r="655" spans="1:3" ht="28.5" customHeight="1" x14ac:dyDescent="0.25">
      <c r="A655" s="878" t="s">
        <v>1194</v>
      </c>
      <c r="B655" s="942" t="str">
        <f>_xlfn.CONCAT('Fusion Portfolio'!C563,", ",'Fusion Portfolio'!D563)</f>
        <v xml:space="preserve">, </v>
      </c>
      <c r="C655" s="942"/>
    </row>
    <row r="656" spans="1:3" ht="28.5" customHeight="1" x14ac:dyDescent="0.25">
      <c r="A656" s="878" t="s">
        <v>1195</v>
      </c>
      <c r="B656" s="942" t="str">
        <f>_xlfn.CONCAT('Fusion Portfolio'!C564,", ",'Fusion Portfolio'!D564)</f>
        <v xml:space="preserve">, </v>
      </c>
      <c r="C656" s="942"/>
    </row>
    <row r="657" spans="1:3" ht="28.5" customHeight="1" x14ac:dyDescent="0.25">
      <c r="A657" s="878" t="s">
        <v>1196</v>
      </c>
      <c r="B657" s="942" t="str">
        <f>_xlfn.CONCAT('Fusion Portfolio'!C565,", ",'Fusion Portfolio'!D565)</f>
        <v xml:space="preserve">, </v>
      </c>
      <c r="C657" s="942"/>
    </row>
    <row r="658" spans="1:3" ht="28.5" customHeight="1" x14ac:dyDescent="0.25">
      <c r="A658" s="878" t="s">
        <v>1197</v>
      </c>
      <c r="B658" s="942" t="str">
        <f>_xlfn.CONCAT('Fusion Portfolio'!C566,", ",'Fusion Portfolio'!D566)</f>
        <v xml:space="preserve">, </v>
      </c>
      <c r="C658" s="942"/>
    </row>
    <row r="659" spans="1:3" ht="28.5" customHeight="1" x14ac:dyDescent="0.25">
      <c r="A659" s="878" t="s">
        <v>1198</v>
      </c>
      <c r="B659" s="942" t="str">
        <f>_xlfn.CONCAT('Fusion Portfolio'!C567,", ",'Fusion Portfolio'!D567)</f>
        <v xml:space="preserve">, </v>
      </c>
      <c r="C659" s="942"/>
    </row>
    <row r="660" spans="1:3" ht="28.5" customHeight="1" x14ac:dyDescent="0.25">
      <c r="A660" s="878" t="s">
        <v>1199</v>
      </c>
      <c r="B660" s="942" t="str">
        <f>_xlfn.CONCAT('Fusion Portfolio'!C568,", ",'Fusion Portfolio'!D568)</f>
        <v xml:space="preserve">, </v>
      </c>
      <c r="C660" s="942"/>
    </row>
    <row r="661" spans="1:3" ht="28.5" customHeight="1" x14ac:dyDescent="0.25">
      <c r="A661" s="878" t="s">
        <v>1200</v>
      </c>
      <c r="B661" s="942" t="str">
        <f>_xlfn.CONCAT('Fusion Portfolio'!C569,", ",'Fusion Portfolio'!D569)</f>
        <v xml:space="preserve">, </v>
      </c>
      <c r="C661" s="942"/>
    </row>
    <row r="662" spans="1:3" ht="28.5" customHeight="1" x14ac:dyDescent="0.25">
      <c r="A662" s="878" t="s">
        <v>1201</v>
      </c>
      <c r="B662" s="942" t="str">
        <f>_xlfn.CONCAT('Fusion Portfolio'!C570,", ",'Fusion Portfolio'!D570)</f>
        <v xml:space="preserve">, </v>
      </c>
      <c r="C662" s="942"/>
    </row>
    <row r="663" spans="1:3" ht="28.5" customHeight="1" x14ac:dyDescent="0.25">
      <c r="A663" s="878" t="s">
        <v>1202</v>
      </c>
      <c r="B663" s="942" t="str">
        <f>_xlfn.CONCAT('Fusion Portfolio'!C571,", ",'Fusion Portfolio'!D571)</f>
        <v xml:space="preserve">, </v>
      </c>
      <c r="C663" s="942"/>
    </row>
    <row r="664" spans="1:3" ht="28.5" customHeight="1" x14ac:dyDescent="0.25">
      <c r="A664" s="878" t="s">
        <v>1203</v>
      </c>
      <c r="B664" s="942" t="str">
        <f>_xlfn.CONCAT('Fusion Portfolio'!C572,", ",'Fusion Portfolio'!D572)</f>
        <v xml:space="preserve">, </v>
      </c>
      <c r="C664" s="942"/>
    </row>
    <row r="665" spans="1:3" ht="28.5" customHeight="1" x14ac:dyDescent="0.25">
      <c r="A665" s="878" t="s">
        <v>1204</v>
      </c>
      <c r="B665" s="942" t="str">
        <f>_xlfn.CONCAT('Fusion Portfolio'!C573,", ",'Fusion Portfolio'!D573)</f>
        <v xml:space="preserve">, </v>
      </c>
      <c r="C665" s="942"/>
    </row>
    <row r="666" spans="1:3" ht="28.5" customHeight="1" x14ac:dyDescent="0.25">
      <c r="A666" s="878" t="s">
        <v>1205</v>
      </c>
      <c r="B666" s="942" t="str">
        <f>_xlfn.CONCAT('Fusion Portfolio'!C574,", ",'Fusion Portfolio'!D574)</f>
        <v xml:space="preserve">, </v>
      </c>
      <c r="C666" s="942"/>
    </row>
    <row r="667" spans="1:3" ht="28.5" customHeight="1" x14ac:dyDescent="0.25">
      <c r="A667" s="878" t="s">
        <v>1206</v>
      </c>
      <c r="B667" s="942" t="str">
        <f>_xlfn.CONCAT('Fusion Portfolio'!C575,", ",'Fusion Portfolio'!D575)</f>
        <v xml:space="preserve">, </v>
      </c>
      <c r="C667" s="942"/>
    </row>
    <row r="668" spans="1:3" ht="28.5" customHeight="1" x14ac:dyDescent="0.25">
      <c r="A668" s="878" t="s">
        <v>1207</v>
      </c>
      <c r="B668" s="942" t="str">
        <f>_xlfn.CONCAT('Fusion Portfolio'!C576,", ",'Fusion Portfolio'!D576)</f>
        <v xml:space="preserve">, </v>
      </c>
      <c r="C668" s="942"/>
    </row>
    <row r="669" spans="1:3" ht="28.5" customHeight="1" x14ac:dyDescent="0.25">
      <c r="A669" s="878" t="s">
        <v>1208</v>
      </c>
      <c r="B669" s="942" t="str">
        <f>_xlfn.CONCAT('Fusion Portfolio'!C577,", ",'Fusion Portfolio'!D577)</f>
        <v xml:space="preserve">, </v>
      </c>
      <c r="C669" s="942"/>
    </row>
    <row r="670" spans="1:3" ht="28.5" customHeight="1" x14ac:dyDescent="0.25">
      <c r="A670" s="878" t="s">
        <v>1209</v>
      </c>
      <c r="B670" s="942" t="str">
        <f>_xlfn.CONCAT('Fusion Portfolio'!C578,", ",'Fusion Portfolio'!D578)</f>
        <v xml:space="preserve">, </v>
      </c>
      <c r="C670" s="942"/>
    </row>
    <row r="671" spans="1:3" ht="28.5" customHeight="1" x14ac:dyDescent="0.25">
      <c r="A671" s="878" t="s">
        <v>1210</v>
      </c>
      <c r="B671" s="942" t="str">
        <f>_xlfn.CONCAT('Fusion Portfolio'!C579,", ",'Fusion Portfolio'!D579)</f>
        <v xml:space="preserve">, </v>
      </c>
      <c r="C671" s="942"/>
    </row>
    <row r="672" spans="1:3" ht="28.5" customHeight="1" x14ac:dyDescent="0.25">
      <c r="A672" s="878" t="s">
        <v>1211</v>
      </c>
      <c r="B672" s="942" t="str">
        <f>_xlfn.CONCAT('Fusion Portfolio'!C580,", ",'Fusion Portfolio'!D580)</f>
        <v xml:space="preserve">, </v>
      </c>
      <c r="C672" s="942"/>
    </row>
    <row r="673" spans="1:3" ht="28.5" customHeight="1" x14ac:dyDescent="0.25">
      <c r="A673" s="878" t="s">
        <v>1212</v>
      </c>
      <c r="B673" s="942" t="str">
        <f>_xlfn.CONCAT('Fusion Portfolio'!C581,", ",'Fusion Portfolio'!D581)</f>
        <v xml:space="preserve">, </v>
      </c>
      <c r="C673" s="942"/>
    </row>
    <row r="674" spans="1:3" ht="28.5" customHeight="1" x14ac:dyDescent="0.25">
      <c r="A674" s="878" t="s">
        <v>1213</v>
      </c>
      <c r="B674" s="942" t="str">
        <f>_xlfn.CONCAT('Fusion Portfolio'!C582,", ",'Fusion Portfolio'!D582)</f>
        <v xml:space="preserve">, </v>
      </c>
      <c r="C674" s="942"/>
    </row>
    <row r="675" spans="1:3" ht="28.5" customHeight="1" x14ac:dyDescent="0.25">
      <c r="A675" s="878" t="s">
        <v>1214</v>
      </c>
      <c r="B675" s="942" t="str">
        <f>_xlfn.CONCAT('Fusion Portfolio'!C583,", ",'Fusion Portfolio'!D583)</f>
        <v xml:space="preserve">, </v>
      </c>
      <c r="C675" s="942"/>
    </row>
    <row r="676" spans="1:3" ht="28.5" customHeight="1" x14ac:dyDescent="0.25">
      <c r="A676" s="878" t="s">
        <v>1215</v>
      </c>
      <c r="B676" s="942" t="str">
        <f>_xlfn.CONCAT('Fusion Portfolio'!C584,", ",'Fusion Portfolio'!D584)</f>
        <v xml:space="preserve">, </v>
      </c>
      <c r="C676" s="942"/>
    </row>
    <row r="677" spans="1:3" ht="28.5" customHeight="1" x14ac:dyDescent="0.25">
      <c r="A677" s="878" t="s">
        <v>1216</v>
      </c>
      <c r="B677" s="942" t="str">
        <f>_xlfn.CONCAT('Fusion Portfolio'!C585,", ",'Fusion Portfolio'!D585)</f>
        <v xml:space="preserve">, </v>
      </c>
      <c r="C677" s="942"/>
    </row>
    <row r="678" spans="1:3" ht="28.5" customHeight="1" x14ac:dyDescent="0.25">
      <c r="A678" s="878" t="s">
        <v>1217</v>
      </c>
      <c r="B678" s="942" t="str">
        <f>_xlfn.CONCAT('Fusion Portfolio'!C586,", ",'Fusion Portfolio'!D586)</f>
        <v xml:space="preserve">, </v>
      </c>
      <c r="C678" s="942"/>
    </row>
    <row r="679" spans="1:3" ht="28.5" customHeight="1" x14ac:dyDescent="0.25">
      <c r="A679" s="878" t="s">
        <v>1218</v>
      </c>
      <c r="B679" s="942" t="str">
        <f>_xlfn.CONCAT('Fusion Portfolio'!C587,", ",'Fusion Portfolio'!D587)</f>
        <v xml:space="preserve">, </v>
      </c>
      <c r="C679" s="942"/>
    </row>
    <row r="680" spans="1:3" ht="28.5" customHeight="1" x14ac:dyDescent="0.25">
      <c r="A680" s="878" t="s">
        <v>1219</v>
      </c>
      <c r="B680" s="942" t="str">
        <f>_xlfn.CONCAT('Fusion Portfolio'!C588,", ",'Fusion Portfolio'!D588)</f>
        <v xml:space="preserve">, </v>
      </c>
      <c r="C680" s="942"/>
    </row>
    <row r="681" spans="1:3" ht="28.5" customHeight="1" x14ac:dyDescent="0.25">
      <c r="A681" s="878" t="s">
        <v>1220</v>
      </c>
      <c r="B681" s="942" t="str">
        <f>_xlfn.CONCAT('Fusion Portfolio'!C589,", ",'Fusion Portfolio'!D589)</f>
        <v xml:space="preserve">, </v>
      </c>
      <c r="C681" s="942"/>
    </row>
    <row r="682" spans="1:3" ht="28.5" customHeight="1" x14ac:dyDescent="0.25">
      <c r="A682" s="878" t="s">
        <v>1221</v>
      </c>
      <c r="B682" s="942" t="str">
        <f>_xlfn.CONCAT('Fusion Portfolio'!C590,", ",'Fusion Portfolio'!D590)</f>
        <v xml:space="preserve">, </v>
      </c>
      <c r="C682" s="942"/>
    </row>
    <row r="683" spans="1:3" ht="28.5" customHeight="1" x14ac:dyDescent="0.25">
      <c r="A683" s="878" t="s">
        <v>1222</v>
      </c>
      <c r="B683" s="942" t="str">
        <f>_xlfn.CONCAT('Fusion Portfolio'!C591,", ",'Fusion Portfolio'!D591)</f>
        <v xml:space="preserve">, </v>
      </c>
      <c r="C683" s="942"/>
    </row>
    <row r="684" spans="1:3" ht="28.5" customHeight="1" x14ac:dyDescent="0.25">
      <c r="A684" s="878" t="s">
        <v>1223</v>
      </c>
      <c r="B684" s="942" t="str">
        <f>_xlfn.CONCAT('Fusion Portfolio'!C592,", ",'Fusion Portfolio'!D592)</f>
        <v xml:space="preserve">, </v>
      </c>
      <c r="C684" s="942"/>
    </row>
    <row r="685" spans="1:3" ht="28.5" customHeight="1" x14ac:dyDescent="0.25">
      <c r="A685" s="878" t="s">
        <v>1224</v>
      </c>
      <c r="B685" s="942" t="str">
        <f>_xlfn.CONCAT('Fusion Portfolio'!C593,", ",'Fusion Portfolio'!D593)</f>
        <v xml:space="preserve">, </v>
      </c>
      <c r="C685" s="942"/>
    </row>
    <row r="686" spans="1:3" ht="28.5" customHeight="1" x14ac:dyDescent="0.25">
      <c r="A686" s="878" t="s">
        <v>1225</v>
      </c>
      <c r="B686" s="942" t="str">
        <f>_xlfn.CONCAT('Fusion Portfolio'!C594,", ",'Fusion Portfolio'!D594)</f>
        <v xml:space="preserve">, </v>
      </c>
      <c r="C686" s="942"/>
    </row>
    <row r="687" spans="1:3" ht="28.5" customHeight="1" x14ac:dyDescent="0.25">
      <c r="A687" s="878" t="s">
        <v>1226</v>
      </c>
      <c r="B687" s="942" t="str">
        <f>_xlfn.CONCAT('Fusion Portfolio'!C595,", ",'Fusion Portfolio'!D595)</f>
        <v xml:space="preserve">, </v>
      </c>
      <c r="C687" s="942"/>
    </row>
    <row r="688" spans="1:3" ht="28.5" customHeight="1" x14ac:dyDescent="0.25">
      <c r="A688" s="878" t="s">
        <v>1227</v>
      </c>
      <c r="B688" s="942" t="str">
        <f>_xlfn.CONCAT('Fusion Portfolio'!C596,", ",'Fusion Portfolio'!D596)</f>
        <v xml:space="preserve">, </v>
      </c>
      <c r="C688" s="942"/>
    </row>
    <row r="689" spans="1:3" ht="28.5" customHeight="1" x14ac:dyDescent="0.25">
      <c r="A689" s="878" t="s">
        <v>1228</v>
      </c>
      <c r="B689" s="942" t="str">
        <f>_xlfn.CONCAT('Fusion Portfolio'!C597,", ",'Fusion Portfolio'!D597)</f>
        <v xml:space="preserve">, </v>
      </c>
      <c r="C689" s="942"/>
    </row>
    <row r="690" spans="1:3" ht="28.5" customHeight="1" x14ac:dyDescent="0.25">
      <c r="A690" s="878" t="s">
        <v>1229</v>
      </c>
      <c r="B690" s="942" t="str">
        <f>_xlfn.CONCAT('Fusion Portfolio'!C598,", ",'Fusion Portfolio'!D598)</f>
        <v xml:space="preserve">, </v>
      </c>
      <c r="C690" s="942"/>
    </row>
    <row r="691" spans="1:3" ht="28.5" customHeight="1" x14ac:dyDescent="0.25">
      <c r="A691" s="878" t="s">
        <v>1230</v>
      </c>
      <c r="B691" s="942" t="str">
        <f>_xlfn.CONCAT('Fusion Portfolio'!C599,", ",'Fusion Portfolio'!D599)</f>
        <v xml:space="preserve">, </v>
      </c>
      <c r="C691" s="942"/>
    </row>
    <row r="692" spans="1:3" ht="28.5" customHeight="1" x14ac:dyDescent="0.25">
      <c r="A692" s="878" t="s">
        <v>1231</v>
      </c>
      <c r="B692" s="942" t="str">
        <f>_xlfn.CONCAT('Fusion Portfolio'!C600,", ",'Fusion Portfolio'!D600)</f>
        <v xml:space="preserve">, </v>
      </c>
      <c r="C692" s="942"/>
    </row>
    <row r="693" spans="1:3" ht="28.5" customHeight="1" x14ac:dyDescent="0.25">
      <c r="A693" s="878" t="s">
        <v>1232</v>
      </c>
      <c r="B693" s="942" t="str">
        <f>_xlfn.CONCAT('Fusion Portfolio'!C601,", ",'Fusion Portfolio'!D601)</f>
        <v xml:space="preserve">, </v>
      </c>
      <c r="C693" s="942"/>
    </row>
    <row r="694" spans="1:3" ht="28.5" customHeight="1" x14ac:dyDescent="0.25">
      <c r="A694" s="878" t="s">
        <v>1233</v>
      </c>
      <c r="B694" s="942" t="str">
        <f>_xlfn.CONCAT('Fusion Portfolio'!C602,", ",'Fusion Portfolio'!D602)</f>
        <v xml:space="preserve">, </v>
      </c>
      <c r="C694" s="942"/>
    </row>
    <row r="695" spans="1:3" ht="28.5" customHeight="1" x14ac:dyDescent="0.25">
      <c r="A695" s="878" t="s">
        <v>1234</v>
      </c>
      <c r="B695" s="942" t="str">
        <f>_xlfn.CONCAT('Fusion Portfolio'!C603,", ",'Fusion Portfolio'!D603)</f>
        <v xml:space="preserve">, </v>
      </c>
      <c r="C695" s="942"/>
    </row>
    <row r="696" spans="1:3" ht="28.5" customHeight="1" x14ac:dyDescent="0.25">
      <c r="A696" s="878" t="s">
        <v>1235</v>
      </c>
      <c r="B696" s="942" t="str">
        <f>_xlfn.CONCAT('Fusion Portfolio'!C604,", ",'Fusion Portfolio'!D604)</f>
        <v xml:space="preserve">, </v>
      </c>
      <c r="C696" s="942"/>
    </row>
    <row r="697" spans="1:3" ht="28.5" customHeight="1" x14ac:dyDescent="0.25">
      <c r="A697" s="878" t="s">
        <v>1236</v>
      </c>
      <c r="B697" s="942" t="str">
        <f>_xlfn.CONCAT('Fusion Portfolio'!C605,", ",'Fusion Portfolio'!D605)</f>
        <v xml:space="preserve">, </v>
      </c>
      <c r="C697" s="942"/>
    </row>
    <row r="698" spans="1:3" ht="28.5" customHeight="1" x14ac:dyDescent="0.25">
      <c r="A698" s="878" t="s">
        <v>1237</v>
      </c>
      <c r="B698" s="942" t="str">
        <f>_xlfn.CONCAT('Fusion Portfolio'!C606,", ",'Fusion Portfolio'!D606)</f>
        <v xml:space="preserve">, </v>
      </c>
      <c r="C698" s="942"/>
    </row>
    <row r="699" spans="1:3" ht="28.5" customHeight="1" x14ac:dyDescent="0.25">
      <c r="A699" s="878" t="s">
        <v>1238</v>
      </c>
      <c r="B699" s="942" t="str">
        <f>_xlfn.CONCAT('Fusion Portfolio'!C607,", ",'Fusion Portfolio'!D607)</f>
        <v xml:space="preserve">, </v>
      </c>
      <c r="C699" s="942"/>
    </row>
    <row r="700" spans="1:3" ht="28.5" customHeight="1" x14ac:dyDescent="0.25">
      <c r="A700" s="878" t="s">
        <v>1239</v>
      </c>
      <c r="B700" s="942" t="str">
        <f>_xlfn.CONCAT('Fusion Portfolio'!C608,", ",'Fusion Portfolio'!D608)</f>
        <v xml:space="preserve">, </v>
      </c>
      <c r="C700" s="942"/>
    </row>
    <row r="701" spans="1:3" ht="28.5" customHeight="1" x14ac:dyDescent="0.25">
      <c r="A701" s="878" t="s">
        <v>1240</v>
      </c>
      <c r="B701" s="942" t="str">
        <f>_xlfn.CONCAT('Fusion Portfolio'!C609,", ",'Fusion Portfolio'!D609)</f>
        <v xml:space="preserve">, </v>
      </c>
      <c r="C701" s="942"/>
    </row>
    <row r="702" spans="1:3" ht="28.5" customHeight="1" x14ac:dyDescent="0.25">
      <c r="A702" s="878" t="s">
        <v>1241</v>
      </c>
      <c r="B702" s="942" t="str">
        <f>_xlfn.CONCAT('Fusion Portfolio'!C610,", ",'Fusion Portfolio'!D610)</f>
        <v xml:space="preserve">, </v>
      </c>
      <c r="C702" s="942"/>
    </row>
    <row r="703" spans="1:3" ht="28.5" customHeight="1" x14ac:dyDescent="0.25">
      <c r="A703" s="878" t="s">
        <v>1242</v>
      </c>
      <c r="B703" s="942" t="str">
        <f>_xlfn.CONCAT('Fusion Portfolio'!C611,", ",'Fusion Portfolio'!D611)</f>
        <v xml:space="preserve">, </v>
      </c>
      <c r="C703" s="942"/>
    </row>
    <row r="704" spans="1:3" ht="28.5" customHeight="1" x14ac:dyDescent="0.25">
      <c r="A704" s="878" t="s">
        <v>1243</v>
      </c>
      <c r="B704" s="942" t="str">
        <f>_xlfn.CONCAT('Fusion Portfolio'!C612,", ",'Fusion Portfolio'!D612)</f>
        <v xml:space="preserve">, </v>
      </c>
      <c r="C704" s="942"/>
    </row>
    <row r="705" spans="1:3" ht="28.5" customHeight="1" x14ac:dyDescent="0.25">
      <c r="A705" s="878" t="s">
        <v>1244</v>
      </c>
      <c r="B705" s="942" t="str">
        <f>_xlfn.CONCAT('Fusion Portfolio'!C613,", ",'Fusion Portfolio'!D613)</f>
        <v xml:space="preserve">, </v>
      </c>
      <c r="C705" s="942"/>
    </row>
    <row r="706" spans="1:3" ht="28.5" customHeight="1" x14ac:dyDescent="0.25">
      <c r="A706" s="878" t="s">
        <v>1245</v>
      </c>
      <c r="B706" s="942" t="str">
        <f>_xlfn.CONCAT('Fusion Portfolio'!C614,", ",'Fusion Portfolio'!D614)</f>
        <v xml:space="preserve">, </v>
      </c>
      <c r="C706" s="942"/>
    </row>
    <row r="707" spans="1:3" ht="28.5" customHeight="1" x14ac:dyDescent="0.25">
      <c r="A707" s="878" t="s">
        <v>1246</v>
      </c>
      <c r="B707" s="942" t="str">
        <f>_xlfn.CONCAT('Fusion Portfolio'!C615,", ",'Fusion Portfolio'!D615)</f>
        <v xml:space="preserve">, </v>
      </c>
      <c r="C707" s="942"/>
    </row>
    <row r="708" spans="1:3" ht="28.5" customHeight="1" x14ac:dyDescent="0.25">
      <c r="A708" s="878" t="s">
        <v>1247</v>
      </c>
      <c r="B708" s="942" t="str">
        <f>_xlfn.CONCAT('Fusion Portfolio'!C616,", ",'Fusion Portfolio'!D616)</f>
        <v xml:space="preserve">, </v>
      </c>
      <c r="C708" s="942"/>
    </row>
    <row r="709" spans="1:3" ht="28.5" customHeight="1" x14ac:dyDescent="0.25">
      <c r="A709" s="878" t="s">
        <v>1248</v>
      </c>
      <c r="B709" s="942" t="str">
        <f>_xlfn.CONCAT('Fusion Portfolio'!C617,", ",'Fusion Portfolio'!D617)</f>
        <v xml:space="preserve">, </v>
      </c>
      <c r="C709" s="942"/>
    </row>
    <row r="710" spans="1:3" ht="28.5" customHeight="1" x14ac:dyDescent="0.25">
      <c r="A710" s="878" t="s">
        <v>1249</v>
      </c>
      <c r="B710" s="942" t="str">
        <f>_xlfn.CONCAT('Fusion Portfolio'!C618,", ",'Fusion Portfolio'!D618)</f>
        <v xml:space="preserve">, </v>
      </c>
      <c r="C710" s="942"/>
    </row>
    <row r="711" spans="1:3" ht="28.5" customHeight="1" x14ac:dyDescent="0.25">
      <c r="A711" s="878" t="s">
        <v>1250</v>
      </c>
      <c r="B711" s="942" t="str">
        <f>_xlfn.CONCAT('Fusion Portfolio'!C619,", ",'Fusion Portfolio'!D619)</f>
        <v xml:space="preserve">, </v>
      </c>
      <c r="C711" s="942"/>
    </row>
    <row r="712" spans="1:3" ht="28.5" customHeight="1" x14ac:dyDescent="0.25">
      <c r="A712" s="878" t="s">
        <v>1251</v>
      </c>
      <c r="B712" s="942" t="str">
        <f>_xlfn.CONCAT('Fusion Portfolio'!C620,", ",'Fusion Portfolio'!D620)</f>
        <v xml:space="preserve">, </v>
      </c>
      <c r="C712" s="942"/>
    </row>
    <row r="713" spans="1:3" ht="28.5" customHeight="1" x14ac:dyDescent="0.25">
      <c r="A713" s="878" t="s">
        <v>1252</v>
      </c>
      <c r="B713" s="942" t="str">
        <f>_xlfn.CONCAT('Fusion Portfolio'!C621,", ",'Fusion Portfolio'!D621)</f>
        <v xml:space="preserve">, </v>
      </c>
      <c r="C713" s="942"/>
    </row>
    <row r="714" spans="1:3" ht="28.5" customHeight="1" x14ac:dyDescent="0.25">
      <c r="A714" s="878" t="s">
        <v>1253</v>
      </c>
      <c r="B714" s="942" t="str">
        <f>_xlfn.CONCAT('Fusion Portfolio'!C622,", ",'Fusion Portfolio'!D622)</f>
        <v xml:space="preserve">, </v>
      </c>
      <c r="C714" s="942"/>
    </row>
    <row r="715" spans="1:3" ht="28.5" customHeight="1" x14ac:dyDescent="0.25">
      <c r="A715" s="878" t="s">
        <v>1254</v>
      </c>
      <c r="B715" s="942" t="str">
        <f>_xlfn.CONCAT('Fusion Portfolio'!C623,", ",'Fusion Portfolio'!D623)</f>
        <v xml:space="preserve">, </v>
      </c>
      <c r="C715" s="942"/>
    </row>
    <row r="716" spans="1:3" ht="28.5" customHeight="1" x14ac:dyDescent="0.25">
      <c r="A716" s="878" t="s">
        <v>1255</v>
      </c>
      <c r="B716" s="942" t="str">
        <f>_xlfn.CONCAT('Fusion Portfolio'!C624,", ",'Fusion Portfolio'!D624)</f>
        <v xml:space="preserve">, </v>
      </c>
      <c r="C716" s="942"/>
    </row>
    <row r="717" spans="1:3" ht="28.5" customHeight="1" x14ac:dyDescent="0.25">
      <c r="A717" s="878" t="s">
        <v>1256</v>
      </c>
      <c r="B717" s="942" t="str">
        <f>_xlfn.CONCAT('Fusion Portfolio'!C625,", ",'Fusion Portfolio'!D625)</f>
        <v xml:space="preserve">, </v>
      </c>
      <c r="C717" s="942"/>
    </row>
    <row r="718" spans="1:3" ht="28.5" customHeight="1" x14ac:dyDescent="0.25">
      <c r="A718" s="878" t="s">
        <v>1257</v>
      </c>
      <c r="B718" s="942" t="str">
        <f>_xlfn.CONCAT('Fusion Portfolio'!C626,", ",'Fusion Portfolio'!D626)</f>
        <v xml:space="preserve">, </v>
      </c>
      <c r="C718" s="942"/>
    </row>
    <row r="719" spans="1:3" ht="28.5" customHeight="1" x14ac:dyDescent="0.25">
      <c r="A719" s="878" t="s">
        <v>1258</v>
      </c>
      <c r="B719" s="942" t="str">
        <f>_xlfn.CONCAT('Fusion Portfolio'!C627,", ",'Fusion Portfolio'!D627)</f>
        <v xml:space="preserve">, </v>
      </c>
      <c r="C719" s="942"/>
    </row>
    <row r="720" spans="1:3" ht="28.5" customHeight="1" x14ac:dyDescent="0.25">
      <c r="A720" s="878" t="s">
        <v>1259</v>
      </c>
      <c r="B720" s="942" t="str">
        <f>_xlfn.CONCAT('Fusion Portfolio'!C628,", ",'Fusion Portfolio'!D628)</f>
        <v xml:space="preserve">, </v>
      </c>
      <c r="C720" s="942"/>
    </row>
    <row r="721" spans="1:3" ht="28.5" customHeight="1" x14ac:dyDescent="0.25">
      <c r="A721" s="878" t="s">
        <v>1260</v>
      </c>
      <c r="B721" s="942" t="str">
        <f>_xlfn.CONCAT('Fusion Portfolio'!C629,", ",'Fusion Portfolio'!D629)</f>
        <v xml:space="preserve">, </v>
      </c>
      <c r="C721" s="942"/>
    </row>
    <row r="722" spans="1:3" ht="28.5" customHeight="1" x14ac:dyDescent="0.25">
      <c r="A722" s="878" t="s">
        <v>1261</v>
      </c>
      <c r="B722" s="942" t="str">
        <f>_xlfn.CONCAT('Fusion Portfolio'!C630,", ",'Fusion Portfolio'!D630)</f>
        <v xml:space="preserve">, </v>
      </c>
      <c r="C722" s="942"/>
    </row>
    <row r="723" spans="1:3" ht="28.5" customHeight="1" x14ac:dyDescent="0.25">
      <c r="A723" s="878" t="s">
        <v>1262</v>
      </c>
      <c r="B723" s="942" t="str">
        <f>_xlfn.CONCAT('Fusion Portfolio'!C631,", ",'Fusion Portfolio'!D631)</f>
        <v xml:space="preserve">, </v>
      </c>
      <c r="C723" s="942"/>
    </row>
    <row r="724" spans="1:3" ht="28.5" customHeight="1" x14ac:dyDescent="0.25">
      <c r="A724" s="878" t="s">
        <v>1263</v>
      </c>
      <c r="B724" s="942" t="str">
        <f>_xlfn.CONCAT('Fusion Portfolio'!C632,", ",'Fusion Portfolio'!D632)</f>
        <v xml:space="preserve">, </v>
      </c>
      <c r="C724" s="942"/>
    </row>
    <row r="725" spans="1:3" ht="28.5" customHeight="1" x14ac:dyDescent="0.25">
      <c r="A725" s="878" t="s">
        <v>1264</v>
      </c>
      <c r="B725" s="942" t="str">
        <f>_xlfn.CONCAT('Fusion Portfolio'!C633,", ",'Fusion Portfolio'!D633)</f>
        <v xml:space="preserve">, </v>
      </c>
      <c r="C725" s="942"/>
    </row>
    <row r="726" spans="1:3" ht="28.5" customHeight="1" x14ac:dyDescent="0.25">
      <c r="A726" s="878" t="s">
        <v>1265</v>
      </c>
      <c r="B726" s="942" t="str">
        <f>_xlfn.CONCAT('Fusion Portfolio'!C634,", ",'Fusion Portfolio'!D634)</f>
        <v xml:space="preserve">, </v>
      </c>
      <c r="C726" s="942"/>
    </row>
    <row r="727" spans="1:3" ht="28.5" customHeight="1" x14ac:dyDescent="0.25">
      <c r="A727" s="878" t="s">
        <v>1266</v>
      </c>
      <c r="B727" s="942" t="str">
        <f>_xlfn.CONCAT('Fusion Portfolio'!C635,", ",'Fusion Portfolio'!D635)</f>
        <v xml:space="preserve">, </v>
      </c>
      <c r="C727" s="942"/>
    </row>
    <row r="728" spans="1:3" ht="28.5" customHeight="1" x14ac:dyDescent="0.25">
      <c r="A728" s="878" t="s">
        <v>1267</v>
      </c>
      <c r="B728" s="942" t="str">
        <f>_xlfn.CONCAT('Fusion Portfolio'!C636,", ",'Fusion Portfolio'!D636)</f>
        <v xml:space="preserve">, </v>
      </c>
      <c r="C728" s="942"/>
    </row>
    <row r="729" spans="1:3" ht="28.5" customHeight="1" x14ac:dyDescent="0.25">
      <c r="A729" s="878" t="s">
        <v>1268</v>
      </c>
      <c r="B729" s="942" t="str">
        <f>_xlfn.CONCAT('Fusion Portfolio'!C637,", ",'Fusion Portfolio'!D637)</f>
        <v xml:space="preserve">, </v>
      </c>
      <c r="C729" s="942"/>
    </row>
    <row r="730" spans="1:3" ht="28.5" customHeight="1" x14ac:dyDescent="0.25">
      <c r="A730" s="878" t="s">
        <v>1269</v>
      </c>
      <c r="B730" s="942" t="str">
        <f>_xlfn.CONCAT('Fusion Portfolio'!C638,", ",'Fusion Portfolio'!D638)</f>
        <v xml:space="preserve">, </v>
      </c>
      <c r="C730" s="942"/>
    </row>
    <row r="731" spans="1:3" ht="28.5" customHeight="1" x14ac:dyDescent="0.25">
      <c r="A731" s="878" t="s">
        <v>1270</v>
      </c>
      <c r="B731" s="942" t="str">
        <f>_xlfn.CONCAT('Fusion Portfolio'!C639,", ",'Fusion Portfolio'!D639)</f>
        <v xml:space="preserve">, </v>
      </c>
      <c r="C731" s="942"/>
    </row>
    <row r="732" spans="1:3" ht="28.5" customHeight="1" x14ac:dyDescent="0.25">
      <c r="A732" s="878" t="s">
        <v>1271</v>
      </c>
      <c r="B732" s="942" t="str">
        <f>_xlfn.CONCAT('Fusion Portfolio'!C640,", ",'Fusion Portfolio'!D640)</f>
        <v xml:space="preserve">, </v>
      </c>
      <c r="C732" s="942"/>
    </row>
    <row r="733" spans="1:3" ht="28.5" customHeight="1" x14ac:dyDescent="0.25">
      <c r="A733" s="878" t="s">
        <v>1272</v>
      </c>
      <c r="B733" s="942" t="str">
        <f>_xlfn.CONCAT('Fusion Portfolio'!C641,", ",'Fusion Portfolio'!D641)</f>
        <v xml:space="preserve">, </v>
      </c>
      <c r="C733" s="942"/>
    </row>
    <row r="734" spans="1:3" ht="28.5" customHeight="1" x14ac:dyDescent="0.25">
      <c r="A734" s="878" t="s">
        <v>1273</v>
      </c>
      <c r="B734" s="942" t="str">
        <f>_xlfn.CONCAT('Fusion Portfolio'!C642,", ",'Fusion Portfolio'!D642)</f>
        <v xml:space="preserve">, </v>
      </c>
      <c r="C734" s="942"/>
    </row>
    <row r="735" spans="1:3" ht="28.5" customHeight="1" x14ac:dyDescent="0.25">
      <c r="A735" s="878" t="s">
        <v>1274</v>
      </c>
      <c r="B735" s="942" t="str">
        <f>_xlfn.CONCAT('Fusion Portfolio'!C643,", ",'Fusion Portfolio'!D643)</f>
        <v xml:space="preserve">, </v>
      </c>
      <c r="C735" s="942"/>
    </row>
    <row r="736" spans="1:3" ht="28.5" customHeight="1" x14ac:dyDescent="0.25">
      <c r="A736" s="878" t="s">
        <v>1275</v>
      </c>
      <c r="B736" s="942" t="str">
        <f>_xlfn.CONCAT('Fusion Portfolio'!C644,", ",'Fusion Portfolio'!D644)</f>
        <v xml:space="preserve">, </v>
      </c>
      <c r="C736" s="942"/>
    </row>
    <row r="737" spans="1:3" ht="28.5" customHeight="1" x14ac:dyDescent="0.25">
      <c r="A737" s="878" t="s">
        <v>1276</v>
      </c>
      <c r="B737" s="942" t="str">
        <f>_xlfn.CONCAT('Fusion Portfolio'!C645,", ",'Fusion Portfolio'!D645)</f>
        <v xml:space="preserve">, </v>
      </c>
      <c r="C737" s="942"/>
    </row>
    <row r="738" spans="1:3" ht="28.5" customHeight="1" x14ac:dyDescent="0.25">
      <c r="A738" s="878" t="s">
        <v>1277</v>
      </c>
      <c r="B738" s="942" t="str">
        <f>_xlfn.CONCAT('Fusion Portfolio'!C646,", ",'Fusion Portfolio'!D646)</f>
        <v xml:space="preserve">, </v>
      </c>
      <c r="C738" s="942"/>
    </row>
    <row r="739" spans="1:3" ht="28.5" customHeight="1" x14ac:dyDescent="0.25">
      <c r="A739" s="878" t="s">
        <v>1278</v>
      </c>
      <c r="B739" s="942" t="str">
        <f>_xlfn.CONCAT('Fusion Portfolio'!C647,", ",'Fusion Portfolio'!D647)</f>
        <v xml:space="preserve">, </v>
      </c>
      <c r="C739" s="942"/>
    </row>
    <row r="740" spans="1:3" ht="28.5" customHeight="1" x14ac:dyDescent="0.25">
      <c r="A740" s="878" t="s">
        <v>1279</v>
      </c>
      <c r="B740" s="942" t="str">
        <f>_xlfn.CONCAT('Fusion Portfolio'!C648,", ",'Fusion Portfolio'!D648)</f>
        <v xml:space="preserve">, </v>
      </c>
      <c r="C740" s="942"/>
    </row>
    <row r="741" spans="1:3" ht="28.5" customHeight="1" x14ac:dyDescent="0.25">
      <c r="A741" s="878" t="s">
        <v>1280</v>
      </c>
      <c r="B741" s="942" t="str">
        <f>_xlfn.CONCAT('Fusion Portfolio'!C649,", ",'Fusion Portfolio'!D649)</f>
        <v xml:space="preserve">, </v>
      </c>
      <c r="C741" s="942"/>
    </row>
    <row r="742" spans="1:3" ht="28.5" customHeight="1" x14ac:dyDescent="0.25">
      <c r="A742" s="878" t="s">
        <v>1281</v>
      </c>
      <c r="B742" s="942" t="str">
        <f>_xlfn.CONCAT('Fusion Portfolio'!C650,", ",'Fusion Portfolio'!D650)</f>
        <v xml:space="preserve">, </v>
      </c>
      <c r="C742" s="942"/>
    </row>
    <row r="743" spans="1:3" ht="28.5" customHeight="1" x14ac:dyDescent="0.25">
      <c r="A743" s="878" t="s">
        <v>1282</v>
      </c>
      <c r="B743" s="942" t="str">
        <f>_xlfn.CONCAT('Fusion Portfolio'!C651,", ",'Fusion Portfolio'!D651)</f>
        <v xml:space="preserve">, </v>
      </c>
      <c r="C743" s="942"/>
    </row>
    <row r="744" spans="1:3" ht="28.5" customHeight="1" x14ac:dyDescent="0.25">
      <c r="A744" s="878" t="s">
        <v>1283</v>
      </c>
      <c r="B744" s="942" t="str">
        <f>_xlfn.CONCAT('Fusion Portfolio'!C652,", ",'Fusion Portfolio'!D652)</f>
        <v xml:space="preserve">, </v>
      </c>
      <c r="C744" s="942"/>
    </row>
    <row r="745" spans="1:3" ht="28.5" customHeight="1" x14ac:dyDescent="0.25">
      <c r="A745" s="878" t="s">
        <v>1284</v>
      </c>
      <c r="B745" s="942" t="str">
        <f>_xlfn.CONCAT('Fusion Portfolio'!C653,", ",'Fusion Portfolio'!D653)</f>
        <v xml:space="preserve">, </v>
      </c>
      <c r="C745" s="942"/>
    </row>
    <row r="746" spans="1:3" ht="28.5" customHeight="1" x14ac:dyDescent="0.25">
      <c r="A746" s="878" t="s">
        <v>1285</v>
      </c>
      <c r="B746" s="942" t="str">
        <f>_xlfn.CONCAT('Fusion Portfolio'!C654,", ",'Fusion Portfolio'!D654)</f>
        <v xml:space="preserve">, </v>
      </c>
      <c r="C746" s="942"/>
    </row>
    <row r="747" spans="1:3" ht="28.5" customHeight="1" x14ac:dyDescent="0.25">
      <c r="A747" s="878" t="s">
        <v>1286</v>
      </c>
      <c r="B747" s="942" t="str">
        <f>_xlfn.CONCAT('Fusion Portfolio'!C655,", ",'Fusion Portfolio'!D655)</f>
        <v xml:space="preserve">, </v>
      </c>
      <c r="C747" s="942"/>
    </row>
    <row r="748" spans="1:3" ht="28.5" customHeight="1" x14ac:dyDescent="0.25">
      <c r="A748" s="878" t="s">
        <v>1287</v>
      </c>
      <c r="B748" s="942" t="str">
        <f>_xlfn.CONCAT('Fusion Portfolio'!C656,", ",'Fusion Portfolio'!D656)</f>
        <v xml:space="preserve">, </v>
      </c>
      <c r="C748" s="942"/>
    </row>
    <row r="749" spans="1:3" ht="28.5" customHeight="1" x14ac:dyDescent="0.25">
      <c r="A749" s="878" t="s">
        <v>1288</v>
      </c>
      <c r="B749" s="942" t="str">
        <f>_xlfn.CONCAT('Fusion Portfolio'!C657,", ",'Fusion Portfolio'!D657)</f>
        <v xml:space="preserve">, </v>
      </c>
      <c r="C749" s="942"/>
    </row>
    <row r="750" spans="1:3" ht="28.5" customHeight="1" x14ac:dyDescent="0.25">
      <c r="A750" s="878" t="s">
        <v>1289</v>
      </c>
      <c r="B750" s="942" t="str">
        <f>_xlfn.CONCAT('Fusion Portfolio'!C658,", ",'Fusion Portfolio'!D658)</f>
        <v xml:space="preserve">, </v>
      </c>
      <c r="C750" s="942"/>
    </row>
    <row r="751" spans="1:3" ht="28.5" customHeight="1" x14ac:dyDescent="0.25">
      <c r="A751" s="878" t="s">
        <v>1290</v>
      </c>
      <c r="B751" s="942" t="str">
        <f>_xlfn.CONCAT('Fusion Portfolio'!C659,", ",'Fusion Portfolio'!D659)</f>
        <v xml:space="preserve">, </v>
      </c>
      <c r="C751" s="942"/>
    </row>
    <row r="752" spans="1:3" ht="28.5" customHeight="1" x14ac:dyDescent="0.25">
      <c r="A752" s="878" t="s">
        <v>1291</v>
      </c>
      <c r="B752" s="942" t="str">
        <f>_xlfn.CONCAT('Fusion Portfolio'!C660,", ",'Fusion Portfolio'!D660)</f>
        <v xml:space="preserve">, </v>
      </c>
      <c r="C752" s="942"/>
    </row>
    <row r="753" spans="1:3" ht="28.5" customHeight="1" x14ac:dyDescent="0.25">
      <c r="A753" s="878" t="s">
        <v>1292</v>
      </c>
      <c r="B753" s="942" t="str">
        <f>_xlfn.CONCAT('Fusion Portfolio'!C661,", ",'Fusion Portfolio'!D661)</f>
        <v xml:space="preserve">, </v>
      </c>
      <c r="C753" s="942"/>
    </row>
    <row r="754" spans="1:3" ht="28.5" customHeight="1" x14ac:dyDescent="0.25">
      <c r="A754" s="878" t="s">
        <v>1293</v>
      </c>
      <c r="B754" s="942" t="str">
        <f>_xlfn.CONCAT('Fusion Portfolio'!C662,", ",'Fusion Portfolio'!D662)</f>
        <v xml:space="preserve">, </v>
      </c>
      <c r="C754" s="942"/>
    </row>
    <row r="755" spans="1:3" ht="28.5" customHeight="1" x14ac:dyDescent="0.25">
      <c r="A755" s="878" t="s">
        <v>1294</v>
      </c>
      <c r="B755" s="942" t="str">
        <f>_xlfn.CONCAT('Fusion Portfolio'!C663,", ",'Fusion Portfolio'!D663)</f>
        <v xml:space="preserve">, </v>
      </c>
      <c r="C755" s="942"/>
    </row>
    <row r="756" spans="1:3" ht="28.5" customHeight="1" x14ac:dyDescent="0.25">
      <c r="A756" s="878" t="s">
        <v>1295</v>
      </c>
      <c r="B756" s="942" t="str">
        <f>_xlfn.CONCAT('Fusion Portfolio'!C664,", ",'Fusion Portfolio'!D664)</f>
        <v xml:space="preserve">, </v>
      </c>
      <c r="C756" s="942"/>
    </row>
    <row r="757" spans="1:3" ht="28.5" customHeight="1" x14ac:dyDescent="0.25">
      <c r="A757" s="878" t="s">
        <v>1296</v>
      </c>
      <c r="B757" s="942" t="str">
        <f>_xlfn.CONCAT('Fusion Portfolio'!C665,", ",'Fusion Portfolio'!D665)</f>
        <v xml:space="preserve">, </v>
      </c>
      <c r="C757" s="942"/>
    </row>
    <row r="758" spans="1:3" ht="28.5" customHeight="1" x14ac:dyDescent="0.25">
      <c r="A758" s="878" t="s">
        <v>1297</v>
      </c>
      <c r="B758" s="942" t="str">
        <f>_xlfn.CONCAT('Fusion Portfolio'!C666,", ",'Fusion Portfolio'!D666)</f>
        <v xml:space="preserve">, </v>
      </c>
      <c r="C758" s="942"/>
    </row>
    <row r="759" spans="1:3" ht="28.5" customHeight="1" x14ac:dyDescent="0.25">
      <c r="A759" s="878" t="s">
        <v>1298</v>
      </c>
      <c r="B759" s="942" t="str">
        <f>_xlfn.CONCAT('Fusion Portfolio'!C667,", ",'Fusion Portfolio'!D667)</f>
        <v xml:space="preserve">, </v>
      </c>
      <c r="C759" s="942"/>
    </row>
    <row r="760" spans="1:3" ht="28.5" customHeight="1" x14ac:dyDescent="0.25">
      <c r="A760" s="878" t="s">
        <v>1299</v>
      </c>
      <c r="B760" s="942" t="str">
        <f>_xlfn.CONCAT('Fusion Portfolio'!C668,", ",'Fusion Portfolio'!D668)</f>
        <v xml:space="preserve">, </v>
      </c>
      <c r="C760" s="942"/>
    </row>
  </sheetData>
  <mergeCells count="671">
    <mergeCell ref="B278:C278"/>
    <mergeCell ref="B279:C279"/>
    <mergeCell ref="B272:C272"/>
    <mergeCell ref="B273:C273"/>
    <mergeCell ref="B274:C274"/>
    <mergeCell ref="B275:C275"/>
    <mergeCell ref="B276:C276"/>
    <mergeCell ref="B277:C277"/>
    <mergeCell ref="B266:C266"/>
    <mergeCell ref="B267:C267"/>
    <mergeCell ref="B268:C268"/>
    <mergeCell ref="B269:C269"/>
    <mergeCell ref="B270:C270"/>
    <mergeCell ref="B271:C271"/>
    <mergeCell ref="B260:C260"/>
    <mergeCell ref="B261:C261"/>
    <mergeCell ref="B262:C262"/>
    <mergeCell ref="B263:C263"/>
    <mergeCell ref="B264:C264"/>
    <mergeCell ref="B265:C265"/>
    <mergeCell ref="B254:C254"/>
    <mergeCell ref="B255:C255"/>
    <mergeCell ref="B256:C256"/>
    <mergeCell ref="B257:C257"/>
    <mergeCell ref="B258:C258"/>
    <mergeCell ref="B259:C259"/>
    <mergeCell ref="B248:C248"/>
    <mergeCell ref="B249:C249"/>
    <mergeCell ref="B250:C250"/>
    <mergeCell ref="B251:C251"/>
    <mergeCell ref="B252:C252"/>
    <mergeCell ref="B253:C253"/>
    <mergeCell ref="B242:C242"/>
    <mergeCell ref="B243:C243"/>
    <mergeCell ref="B244:C244"/>
    <mergeCell ref="B245:C245"/>
    <mergeCell ref="B246:C246"/>
    <mergeCell ref="B247:C247"/>
    <mergeCell ref="B236:C236"/>
    <mergeCell ref="B237:C237"/>
    <mergeCell ref="B238:C238"/>
    <mergeCell ref="B239:C239"/>
    <mergeCell ref="B240:C240"/>
    <mergeCell ref="B241:C241"/>
    <mergeCell ref="B230:C230"/>
    <mergeCell ref="B231:C231"/>
    <mergeCell ref="B232:C232"/>
    <mergeCell ref="B233:C233"/>
    <mergeCell ref="B234:C234"/>
    <mergeCell ref="B235:C235"/>
    <mergeCell ref="B224:C224"/>
    <mergeCell ref="B225:C225"/>
    <mergeCell ref="B226:C226"/>
    <mergeCell ref="B227:C227"/>
    <mergeCell ref="B228:C228"/>
    <mergeCell ref="B229:C229"/>
    <mergeCell ref="B218:C218"/>
    <mergeCell ref="B219:C219"/>
    <mergeCell ref="B220:C220"/>
    <mergeCell ref="B221:C221"/>
    <mergeCell ref="B222:C222"/>
    <mergeCell ref="B223:C223"/>
    <mergeCell ref="B212:C212"/>
    <mergeCell ref="B213:C213"/>
    <mergeCell ref="B214:C214"/>
    <mergeCell ref="B215:C215"/>
    <mergeCell ref="B216:C216"/>
    <mergeCell ref="B217:C217"/>
    <mergeCell ref="B206:C206"/>
    <mergeCell ref="B207:C207"/>
    <mergeCell ref="B208:C208"/>
    <mergeCell ref="B209:C209"/>
    <mergeCell ref="B210:C210"/>
    <mergeCell ref="B211:C211"/>
    <mergeCell ref="B200:C200"/>
    <mergeCell ref="B201:C201"/>
    <mergeCell ref="B202:C202"/>
    <mergeCell ref="B203:C203"/>
    <mergeCell ref="B204:C204"/>
    <mergeCell ref="B205:C205"/>
    <mergeCell ref="B194:C194"/>
    <mergeCell ref="B195:C195"/>
    <mergeCell ref="B196:C196"/>
    <mergeCell ref="B197:C197"/>
    <mergeCell ref="B198:C198"/>
    <mergeCell ref="B199:C199"/>
    <mergeCell ref="B188:C188"/>
    <mergeCell ref="B189:C189"/>
    <mergeCell ref="B190:C190"/>
    <mergeCell ref="B191:C191"/>
    <mergeCell ref="B192:C192"/>
    <mergeCell ref="B193:C193"/>
    <mergeCell ref="B182:C182"/>
    <mergeCell ref="B183:C183"/>
    <mergeCell ref="B184:C184"/>
    <mergeCell ref="B185:C185"/>
    <mergeCell ref="B186:C186"/>
    <mergeCell ref="B187:C187"/>
    <mergeCell ref="B176:C176"/>
    <mergeCell ref="B177:C177"/>
    <mergeCell ref="B178:C178"/>
    <mergeCell ref="B179:C179"/>
    <mergeCell ref="B180:C180"/>
    <mergeCell ref="B181:C181"/>
    <mergeCell ref="B170:C170"/>
    <mergeCell ref="B171:C171"/>
    <mergeCell ref="B172:C172"/>
    <mergeCell ref="B173:C173"/>
    <mergeCell ref="B174:C174"/>
    <mergeCell ref="B175:C175"/>
    <mergeCell ref="B164:C164"/>
    <mergeCell ref="B165:C165"/>
    <mergeCell ref="B166:C166"/>
    <mergeCell ref="B167:C167"/>
    <mergeCell ref="B168:C168"/>
    <mergeCell ref="B169:C169"/>
    <mergeCell ref="B158:C158"/>
    <mergeCell ref="B159:C159"/>
    <mergeCell ref="B160:C160"/>
    <mergeCell ref="B161:C161"/>
    <mergeCell ref="B162:C162"/>
    <mergeCell ref="B163:C163"/>
    <mergeCell ref="B152:C152"/>
    <mergeCell ref="B153:C153"/>
    <mergeCell ref="B154:C154"/>
    <mergeCell ref="B155:C155"/>
    <mergeCell ref="B156:C156"/>
    <mergeCell ref="B157:C157"/>
    <mergeCell ref="B146:C146"/>
    <mergeCell ref="B147:C147"/>
    <mergeCell ref="B148:C148"/>
    <mergeCell ref="B149:C149"/>
    <mergeCell ref="B150:C150"/>
    <mergeCell ref="B151:C151"/>
    <mergeCell ref="B140:C140"/>
    <mergeCell ref="B141:C141"/>
    <mergeCell ref="B142:C142"/>
    <mergeCell ref="B143:C143"/>
    <mergeCell ref="B144:C144"/>
    <mergeCell ref="B145:C145"/>
    <mergeCell ref="B134:C134"/>
    <mergeCell ref="B135:C135"/>
    <mergeCell ref="B136:C136"/>
    <mergeCell ref="B137:C137"/>
    <mergeCell ref="B138:C138"/>
    <mergeCell ref="B139:C139"/>
    <mergeCell ref="B128:C128"/>
    <mergeCell ref="B129:C129"/>
    <mergeCell ref="B130:C130"/>
    <mergeCell ref="B131:C131"/>
    <mergeCell ref="B132:C132"/>
    <mergeCell ref="B133:C133"/>
    <mergeCell ref="B122:C122"/>
    <mergeCell ref="B123:C123"/>
    <mergeCell ref="B124:C124"/>
    <mergeCell ref="B125:C125"/>
    <mergeCell ref="B126:C126"/>
    <mergeCell ref="B127:C127"/>
    <mergeCell ref="B116:C116"/>
    <mergeCell ref="B117:C117"/>
    <mergeCell ref="B118:C118"/>
    <mergeCell ref="B119:C119"/>
    <mergeCell ref="B120:C120"/>
    <mergeCell ref="B121:C121"/>
    <mergeCell ref="B110:C110"/>
    <mergeCell ref="B111:C111"/>
    <mergeCell ref="B112:C112"/>
    <mergeCell ref="B113:C113"/>
    <mergeCell ref="B114:C114"/>
    <mergeCell ref="B115:C115"/>
    <mergeCell ref="B107:C107"/>
    <mergeCell ref="B108:C108"/>
    <mergeCell ref="B109:C109"/>
    <mergeCell ref="B73:C73"/>
    <mergeCell ref="B90:C90"/>
    <mergeCell ref="B100:C100"/>
    <mergeCell ref="B101:C101"/>
    <mergeCell ref="B102:C102"/>
    <mergeCell ref="B103:C103"/>
    <mergeCell ref="B3:C3"/>
    <mergeCell ref="B7:C7"/>
    <mergeCell ref="B30:C30"/>
    <mergeCell ref="B45:C45"/>
    <mergeCell ref="B57:C57"/>
    <mergeCell ref="B71:C71"/>
    <mergeCell ref="B104:C104"/>
    <mergeCell ref="B105:C105"/>
    <mergeCell ref="B106:C106"/>
    <mergeCell ref="B295:C295"/>
    <mergeCell ref="B296:C296"/>
    <mergeCell ref="B297:C297"/>
    <mergeCell ref="B280:C280"/>
    <mergeCell ref="B281:C281"/>
    <mergeCell ref="B282:C282"/>
    <mergeCell ref="B283:C283"/>
    <mergeCell ref="B284:C284"/>
    <mergeCell ref="B285:C285"/>
    <mergeCell ref="B286:C286"/>
    <mergeCell ref="B287:C287"/>
    <mergeCell ref="B288:C288"/>
    <mergeCell ref="B307:C307"/>
    <mergeCell ref="B308:C308"/>
    <mergeCell ref="B309:C309"/>
    <mergeCell ref="B310:C310"/>
    <mergeCell ref="B311:C311"/>
    <mergeCell ref="B312:C312"/>
    <mergeCell ref="B313:C313"/>
    <mergeCell ref="B6:C6"/>
    <mergeCell ref="B80:C80"/>
    <mergeCell ref="B298:C298"/>
    <mergeCell ref="B299:C299"/>
    <mergeCell ref="B300:C300"/>
    <mergeCell ref="B301:C301"/>
    <mergeCell ref="B302:C302"/>
    <mergeCell ref="B303:C303"/>
    <mergeCell ref="B304:C304"/>
    <mergeCell ref="B305:C305"/>
    <mergeCell ref="B306:C306"/>
    <mergeCell ref="B289:C289"/>
    <mergeCell ref="B290:C290"/>
    <mergeCell ref="B291:C291"/>
    <mergeCell ref="B292:C292"/>
    <mergeCell ref="B293:C293"/>
    <mergeCell ref="B294:C294"/>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55:C755"/>
    <mergeCell ref="B756:C756"/>
    <mergeCell ref="B757:C757"/>
    <mergeCell ref="B758:C758"/>
    <mergeCell ref="B759:C759"/>
    <mergeCell ref="B760:C760"/>
    <mergeCell ref="B746:C746"/>
    <mergeCell ref="B747:C747"/>
    <mergeCell ref="B748:C748"/>
    <mergeCell ref="B749:C749"/>
    <mergeCell ref="B750:C750"/>
    <mergeCell ref="B751:C751"/>
    <mergeCell ref="B752:C752"/>
    <mergeCell ref="B753:C753"/>
    <mergeCell ref="B754:C754"/>
  </mergeCells>
  <phoneticPr fontId="7" type="noConversion"/>
  <conditionalFormatting sqref="B101:C760">
    <cfRule type="expression" dxfId="158" priority="58">
      <formula>B101&lt;&gt;", "</formula>
    </cfRule>
  </conditionalFormatting>
  <conditionalFormatting sqref="A101:A760">
    <cfRule type="expression" dxfId="157" priority="57">
      <formula>A101=", "</formula>
    </cfRule>
  </conditionalFormatting>
  <conditionalFormatting sqref="A101:A760">
    <cfRule type="expression" dxfId="156" priority="56">
      <formula>B101&lt;&gt;", "</formula>
    </cfRule>
  </conditionalFormatting>
  <dataValidations count="1">
    <dataValidation type="list" allowBlank="1" showInputMessage="1" showErrorMessage="1" sqref="G24" xr:uid="{B5DED0F5-335A-446B-8F92-7BAA61AAC292}">
      <formula1>"monthly,qauterly"</formula1>
    </dataValidation>
  </dataValidations>
  <pageMargins left="1" right="1" top="1" bottom="1" header="0.5" footer="0.5"/>
  <pageSetup paperSize="9" scale="59" fitToWidth="0" fitToHeight="0" orientation="portrait" r:id="rId1"/>
  <headerFooter>
    <oddHeader>&amp;L&amp;G&amp;R&amp;"-,Bold"&amp;16&amp;K002060Premier Fusion DIP 
&amp;D</oddHeader>
    <oddFooter xml:space="preserve">&amp;R&amp;P   
</oddFooter>
  </headerFooter>
  <rowBreaks count="22" manualBreakCount="22">
    <brk id="39" max="2" man="1"/>
    <brk id="59" max="2" man="1"/>
    <brk id="66" max="2" man="1"/>
    <brk id="99" max="2" man="1"/>
    <brk id="128" max="2" man="1"/>
    <brk id="158" max="2" man="1"/>
    <brk id="188" max="2" man="1"/>
    <brk id="218" max="2" man="1"/>
    <brk id="248" max="2" man="1"/>
    <brk id="278" max="2" man="1"/>
    <brk id="308" max="2" man="1"/>
    <brk id="338" max="2" man="1"/>
    <brk id="368" max="2" man="1"/>
    <brk id="398" max="2" man="1"/>
    <brk id="428" max="2" man="1"/>
    <brk id="458" max="2" man="1"/>
    <brk id="488" max="2" man="1"/>
    <brk id="518" max="2" man="1"/>
    <brk id="548" max="2" man="1"/>
    <brk id="578" max="2" man="1"/>
    <brk id="608" max="2" man="1"/>
    <brk id="742" max="2" man="1"/>
  </rowBreaks>
  <legacyDrawingHF r:id="rId2"/>
  <extLst>
    <ext xmlns:x14="http://schemas.microsoft.com/office/spreadsheetml/2009/9/main" uri="{78C0D931-6437-407d-A8EE-F0AAD7539E65}">
      <x14:conditionalFormattings>
        <x14:conditionalFormatting xmlns:xm="http://schemas.microsoft.com/office/excel/2006/main">
          <x14:cfRule type="expression" priority="4" id="{F854CAA0-718C-4734-8359-48B79D97B65A}">
            <xm:f>OR('Input Sheet'!$F$7&lt;=0,'Input Sheet'!$F$7="")</xm:f>
            <x14:dxf>
              <font>
                <color theme="0"/>
              </font>
              <fill>
                <patternFill>
                  <bgColor theme="0"/>
                </patternFill>
              </fill>
            </x14:dxf>
          </x14:cfRule>
          <xm:sqref>B21:C21</xm:sqref>
        </x14:conditionalFormatting>
        <x14:conditionalFormatting xmlns:xm="http://schemas.microsoft.com/office/excel/2006/main">
          <x14:cfRule type="expression" priority="3" id="{BBFCB3EF-3665-41A6-A971-DFE7749E568D}">
            <xm:f>'Input Sheet'!$F$20&lt;=0</xm:f>
            <x14:dxf>
              <font>
                <color theme="0"/>
              </font>
              <fill>
                <patternFill>
                  <bgColor theme="0"/>
                </patternFill>
              </fill>
            </x14:dxf>
          </x14:cfRule>
          <xm:sqref>B19:C19</xm:sqref>
        </x14:conditionalFormatting>
        <x14:conditionalFormatting xmlns:xm="http://schemas.microsoft.com/office/excel/2006/main">
          <x14:cfRule type="expression" priority="2" id="{317FEF92-20E0-4AC4-AE8B-0B54CA4F2532}">
            <xm:f>'Input Sheet'!$F$20&lt;=0</xm:f>
            <x14:dxf>
              <font>
                <color theme="0"/>
              </font>
              <fill>
                <patternFill>
                  <bgColor theme="0"/>
                </patternFill>
              </fill>
            </x14:dxf>
          </x14:cfRule>
          <xm:sqref>B36:C36</xm:sqref>
        </x14:conditionalFormatting>
        <x14:conditionalFormatting xmlns:xm="http://schemas.microsoft.com/office/excel/2006/main">
          <x14:cfRule type="expression" priority="1" id="{52F88817-0522-4FFF-BF38-7C4BA26156E0}">
            <xm:f>OR('Input Sheet'!$F$9&lt;=0,'Input Sheet'!$F$9="")</xm:f>
            <x14:dxf>
              <font>
                <color theme="0"/>
              </font>
              <fill>
                <patternFill>
                  <bgColor theme="0"/>
                </patternFill>
              </fill>
            </x14:dxf>
          </x14:cfRule>
          <xm:sqref>B22:C22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D51B-BB1E-4641-AF40-1066B4E44F65}">
  <sheetPr codeName="Sheet15">
    <pageSetUpPr fitToPage="1"/>
  </sheetPr>
  <dimension ref="A1:XFD54"/>
  <sheetViews>
    <sheetView showGridLines="0" view="pageBreakPreview" zoomScale="90" zoomScaleNormal="100" zoomScaleSheetLayoutView="90" workbookViewId="0">
      <selection activeCell="D3" sqref="D3"/>
    </sheetView>
  </sheetViews>
  <sheetFormatPr defaultColWidth="0" defaultRowHeight="15" customHeight="1" x14ac:dyDescent="0.25"/>
  <cols>
    <col min="1" max="1" width="4.28515625" customWidth="1"/>
    <col min="2" max="2" width="19.140625" customWidth="1"/>
    <col min="3" max="3" width="2.140625" customWidth="1"/>
    <col min="4" max="4" width="20.42578125" bestFit="1" customWidth="1"/>
    <col min="5" max="5" width="6" customWidth="1"/>
    <col min="6" max="6" width="14.42578125" customWidth="1"/>
    <col min="7" max="8" width="13" customWidth="1"/>
    <col min="9" max="9" width="14.85546875" customWidth="1"/>
    <col min="10" max="10" width="4.28515625" style="91" customWidth="1"/>
    <col min="11" max="11" width="24" hidden="1" customWidth="1"/>
    <col min="12" max="16382" width="9.140625" hidden="1"/>
    <col min="16383" max="16384" width="12.7109375" customWidth="1"/>
  </cols>
  <sheetData>
    <row r="1" spans="1:11" ht="15.75" x14ac:dyDescent="0.25">
      <c r="A1" s="108"/>
      <c r="B1" s="109"/>
      <c r="C1" s="109"/>
      <c r="D1" s="972"/>
      <c r="E1" s="972"/>
      <c r="F1" s="972"/>
      <c r="G1" s="972"/>
      <c r="H1" s="972"/>
      <c r="I1" s="972"/>
      <c r="J1" s="110"/>
      <c r="K1" s="91"/>
    </row>
    <row r="2" spans="1:11" ht="15.75" x14ac:dyDescent="0.25">
      <c r="A2" s="111"/>
      <c r="B2" s="90"/>
      <c r="C2" s="90"/>
      <c r="D2" s="973"/>
      <c r="E2" s="973"/>
      <c r="F2" s="973"/>
      <c r="G2" s="973"/>
      <c r="H2" s="973"/>
      <c r="I2" s="973"/>
      <c r="J2" s="112"/>
      <c r="K2" s="91"/>
    </row>
    <row r="3" spans="1:11" ht="18.75" customHeight="1" x14ac:dyDescent="0.3">
      <c r="A3" s="111"/>
      <c r="B3" s="101"/>
      <c r="C3" s="101"/>
      <c r="D3" s="119" t="s">
        <v>72</v>
      </c>
      <c r="E3" s="119"/>
      <c r="F3" s="119" t="s">
        <v>60</v>
      </c>
      <c r="G3" s="102"/>
      <c r="H3" s="102"/>
      <c r="I3" s="103"/>
      <c r="J3" s="112"/>
      <c r="K3" s="91"/>
    </row>
    <row r="4" spans="1:11" ht="56.25" customHeight="1" x14ac:dyDescent="0.25">
      <c r="A4" s="111"/>
      <c r="B4" s="104"/>
      <c r="C4" s="104"/>
      <c r="D4" s="974" t="str">
        <f>'Input Sheet'!$C$8</f>
        <v>xxxxx</v>
      </c>
      <c r="E4" s="974"/>
      <c r="F4" s="975" t="str">
        <f>IF('Input Sheet'!$C$16="Yes", "Multi-Property",'Input Sheet'!$C$9)</f>
        <v>xxxxx</v>
      </c>
      <c r="G4" s="975"/>
      <c r="H4" s="120" t="str">
        <f>'Input Sheet'!B7</f>
        <v>Reference</v>
      </c>
      <c r="I4" s="147" t="str">
        <f>'Input Sheet'!$C$7</f>
        <v>HubSpot reference</v>
      </c>
      <c r="J4" s="112"/>
      <c r="K4" s="91"/>
    </row>
    <row r="5" spans="1:11" ht="16.5" thickBot="1" x14ac:dyDescent="0.3">
      <c r="A5" s="111"/>
      <c r="B5" s="104"/>
      <c r="C5" s="104"/>
      <c r="D5" s="976" t="str">
        <f xml:space="preserve"> 'Input Sheet'!B27 &amp;": "&amp; TEXT('Input Sheet'!C28,"£#,#")&amp;" "&amp;"  Monthly rent: "&amp;TEXT(IF(OR('Input Sheet'!C29 ="", 'Input Sheet'!C29 =0),"N/A", 'Input Sheet'!C29),"£#,#")</f>
        <v>Purchase Price: £   Monthly rent: N/A</v>
      </c>
      <c r="E5" s="976"/>
      <c r="F5" s="976"/>
      <c r="G5" s="976"/>
      <c r="H5" s="976"/>
      <c r="I5" s="976"/>
      <c r="J5" s="112"/>
      <c r="K5" s="91"/>
    </row>
    <row r="6" spans="1:11" ht="16.5" thickBot="1" x14ac:dyDescent="0.3">
      <c r="A6" s="111"/>
      <c r="B6" s="104"/>
      <c r="C6" s="104"/>
      <c r="D6" s="84"/>
      <c r="E6" s="84"/>
      <c r="F6" s="85"/>
      <c r="G6" s="85"/>
      <c r="H6" s="85"/>
      <c r="I6" s="86"/>
      <c r="J6" s="112"/>
      <c r="K6" s="91"/>
    </row>
    <row r="7" spans="1:11" ht="15.75" thickBot="1" x14ac:dyDescent="0.3">
      <c r="A7" s="951" t="s">
        <v>61</v>
      </c>
      <c r="B7" s="952"/>
      <c r="C7" s="106"/>
      <c r="D7" s="977" t="s">
        <v>69</v>
      </c>
      <c r="E7" s="978"/>
      <c r="F7" s="979" t="s">
        <v>70</v>
      </c>
      <c r="G7" s="980"/>
      <c r="H7" s="981" t="s">
        <v>71</v>
      </c>
      <c r="I7" s="982"/>
      <c r="J7" s="112"/>
      <c r="K7" s="91"/>
    </row>
    <row r="8" spans="1:11" ht="28.5" customHeight="1" x14ac:dyDescent="0.25">
      <c r="A8" s="951" t="s">
        <v>62</v>
      </c>
      <c r="B8" s="952"/>
      <c r="C8" s="106"/>
      <c r="D8" s="966" t="str">
        <f>'Input Sheet'!$F$4 &amp; " "&amp; 'Input Sheet'!$F$5</f>
        <v xml:space="preserve">Please select product type </v>
      </c>
      <c r="E8" s="967"/>
      <c r="F8" s="968" t="str">
        <f>IF('Input Sheet'!$C$13="Mix Rate", "Mix Rate",'Input Sheet'!$I$4)</f>
        <v>Please select product type</v>
      </c>
      <c r="G8" s="969"/>
      <c r="H8" s="970" t="str">
        <f>IF('Input Sheet'!$C$13="Mix Rate", "Mix Rate",'Input Sheet'!$I$4)</f>
        <v>Please select product type</v>
      </c>
      <c r="I8" s="971"/>
      <c r="J8" s="112"/>
      <c r="K8" s="91"/>
    </row>
    <row r="9" spans="1:11" x14ac:dyDescent="0.25">
      <c r="A9" s="951" t="s">
        <v>463</v>
      </c>
      <c r="B9" s="952"/>
      <c r="C9" s="106"/>
      <c r="D9" s="953" t="str">
        <f>IF('Input Sheet'!$F$5="","",TEXT(('Input Sheet'!$F$11-BBR),"0.00%")&amp;" + BBR (pa)")</f>
        <v/>
      </c>
      <c r="E9" s="954"/>
      <c r="F9" s="953" t="str">
        <f>IF('Input Sheet'!I5="","",TEXT('Input Sheet'!I5,"0.00%")&amp;" + BBR (pm)")</f>
        <v/>
      </c>
      <c r="G9" s="954"/>
      <c r="H9" s="953" t="str">
        <f>IF('Input Sheet'!L5="","",TEXT('Input Sheet'!L11,"0.00%")&amp;" (pm)")</f>
        <v/>
      </c>
      <c r="I9" s="954"/>
      <c r="J9" s="112"/>
      <c r="K9" s="91"/>
    </row>
    <row r="10" spans="1:11" ht="15.75" thickBot="1" x14ac:dyDescent="0.3">
      <c r="A10" s="951" t="s">
        <v>464</v>
      </c>
      <c r="B10" s="952"/>
      <c r="C10" s="106"/>
      <c r="D10" s="953" t="str">
        <f>IF('Input Sheet'!$F$5="","",TEXT(('Input Sheet'!$F$11-BBR-'Input Sheet'!$F$9),"0.00%")&amp;" + BBR (pa)")</f>
        <v/>
      </c>
      <c r="E10" s="954"/>
      <c r="F10" s="953" t="str">
        <f>$F$9</f>
        <v/>
      </c>
      <c r="G10" s="954"/>
      <c r="H10" s="953" t="str">
        <f>$H$9</f>
        <v/>
      </c>
      <c r="I10" s="954"/>
      <c r="J10" s="112"/>
      <c r="K10" s="91"/>
    </row>
    <row r="11" spans="1:11" ht="26.25" customHeight="1" thickBot="1" x14ac:dyDescent="0.3">
      <c r="A11" s="956" t="s">
        <v>175</v>
      </c>
      <c r="B11" s="957"/>
      <c r="C11" s="107"/>
      <c r="D11" s="960" t="str">
        <f>IFERROR(TEXT('Input Sheet'!F12,"£0,#"),0) &amp; " @ "&amp;TEXT('Input Sheet'!$F$13,"0%")&amp;" LTV"</f>
        <v>£0 @ 0% LTV</v>
      </c>
      <c r="E11" s="961"/>
      <c r="F11" s="960" t="str">
        <f>IFERROR(TEXT('Input Sheet'!I12,"£0,#"),0)&amp;" "&amp;"@ "&amp;TEXT('Input Sheet'!$I$13,"0%")&amp;" LTV"</f>
        <v>£0 @ 0% LTV</v>
      </c>
      <c r="G11" s="961"/>
      <c r="H11" s="960" t="str">
        <f>IFERROR(TEXT('Input Sheet'!L12,"£0,#"),0) &amp; " @ "&amp;TEXT('Input Sheet'!$L$13,"0%")&amp;" LTV"</f>
        <v>£0 @ 0% LTV</v>
      </c>
      <c r="I11" s="961"/>
      <c r="J11" s="112"/>
      <c r="K11" s="91"/>
    </row>
    <row r="12" spans="1:11" ht="23.25" customHeight="1" thickBot="1" x14ac:dyDescent="0.3">
      <c r="A12" s="956" t="s">
        <v>174</v>
      </c>
      <c r="B12" s="957"/>
      <c r="C12" s="107"/>
      <c r="D12" s="960" t="str">
        <f>TEXT('Input Sheet'!F15,"£0,#") &amp; " " &amp; "@ " &amp; TEXT('Input Sheet'!F16,"0%") &amp; " LTV"</f>
        <v>£0 @ 0% LTV</v>
      </c>
      <c r="E12" s="961"/>
      <c r="F12" s="960" t="str">
        <f>IFERROR(TEXT('Input Sheet'!I15,"£0,#"),0) &amp; " " &amp;IFERROR("@ " &amp; TEXT('Input Sheet'!I16,"0%") &amp; " LTV","")</f>
        <v>£0 @ 0% LTV</v>
      </c>
      <c r="G12" s="961"/>
      <c r="H12" s="960" t="str">
        <f>IFERROR(TEXT('Input Sheet'!L15,"£0,#"),0) &amp; " @ " &amp; TEXT('Input Sheet'!L16,"0%") &amp; " LTV"</f>
        <v>£0 @ 0% LTV</v>
      </c>
      <c r="I12" s="961"/>
      <c r="J12" s="112"/>
      <c r="K12" s="91"/>
    </row>
    <row r="13" spans="1:11" x14ac:dyDescent="0.25">
      <c r="A13" s="951" t="s">
        <v>27</v>
      </c>
      <c r="B13" s="952"/>
      <c r="C13" s="106"/>
      <c r="D13" s="962" t="str">
        <f>IFERROR(TEXT('Input Sheet'!F18,"£0,#"),0) &amp;" " &amp;"(" &amp; TEXT('Main Calculations'!$D$13,"0.00%") &amp;")"</f>
        <v>£0 (2.00%)</v>
      </c>
      <c r="E13" s="963"/>
      <c r="F13" s="962" t="str">
        <f>IFERROR(TEXT('Input Sheet'!I18,"£0,#")&amp;" "&amp;"("&amp;TEXT('Main Calculations'!$F$13,"0.00%")&amp;")","")</f>
        <v/>
      </c>
      <c r="G13" s="963"/>
      <c r="H13" s="962" t="str">
        <f>IFERROR(TEXT('Input Sheet'!L18,"£0,#")&amp; " (" &amp; TEXT('Main Calculations'!$H$13,"0.00%") &amp;")","")</f>
        <v/>
      </c>
      <c r="I13" s="963"/>
      <c r="J13" s="112"/>
      <c r="K13" s="91"/>
    </row>
    <row r="14" spans="1:11" x14ac:dyDescent="0.25">
      <c r="A14" s="951" t="s">
        <v>127</v>
      </c>
      <c r="B14" s="952"/>
      <c r="C14" s="106"/>
      <c r="D14" s="958" t="s">
        <v>79</v>
      </c>
      <c r="E14" s="959"/>
      <c r="F14" s="983" t="str">
        <f>'Input Sheet'!I8 &amp; " Months"</f>
        <v>12 Months</v>
      </c>
      <c r="G14" s="984"/>
      <c r="H14" s="983" t="str">
        <f>'Input Sheet'!L8 &amp; " Months"</f>
        <v>12 Months</v>
      </c>
      <c r="I14" s="984"/>
      <c r="J14" s="112"/>
      <c r="K14" s="91"/>
    </row>
    <row r="15" spans="1:11" ht="15.75" thickBot="1" x14ac:dyDescent="0.3">
      <c r="A15" s="951" t="s">
        <v>63</v>
      </c>
      <c r="B15" s="952"/>
      <c r="C15" s="106"/>
      <c r="D15" s="964" t="str">
        <f>IFERROR(TEXT('Input Sheet'!F23,"£0,#"),0) &amp; " " &amp;"(" &amp; 'Input Sheet'!F7 &amp; " months"&amp;")"</f>
        <v>£0 (6 months)</v>
      </c>
      <c r="E15" s="965"/>
      <c r="F15" s="964" t="str">
        <f>IFERROR(TEXT('Input Sheet'!I23,"£0,#"),0) &amp; " " &amp;"(" &amp; 'Input Sheet'!I7 &amp; IF('Input Sheet'!I7="", "0 months",IF('Input Sheet'!I7=1, " month", " months"))&amp;")"</f>
        <v>£0 (3 months)</v>
      </c>
      <c r="G15" s="965"/>
      <c r="H15" s="964" t="str">
        <f>IFERROR(TEXT('Input Sheet'!L23,"£0,#"),0)&amp; " (" &amp; 'Input Sheet'!L7 &amp; IF('Input Sheet'!L7="", "0 months",IF('Input Sheet'!L7 = 1, " month"," months"))&amp;")"</f>
        <v>£0 (3 months)</v>
      </c>
      <c r="I15" s="965"/>
      <c r="J15" s="112"/>
      <c r="K15" s="91"/>
    </row>
    <row r="16" spans="1:11" ht="15.75" thickBot="1" x14ac:dyDescent="0.3">
      <c r="A16" s="951" t="s">
        <v>78</v>
      </c>
      <c r="B16" s="952"/>
      <c r="C16" s="106"/>
      <c r="D16" s="960" t="str">
        <f>TEXT('Input Sheet'!F29,"£0,#") &amp; " " &amp;"from month " &amp; 'Input Sheet'!F7+1</f>
        <v>£0 from month 7</v>
      </c>
      <c r="E16" s="961"/>
      <c r="F16" s="960" t="str">
        <f>TEXT(IF('Input Sheet'!$I$8='Input Sheet'!$I$7,"Fully Rolled",'Input Sheet'!I29), "£0,#")&amp; " " &amp; IF('Input Sheet'!$I$7&gt;='Input Sheet'!$I$8, "","from month " &amp; 'Input Sheet'!$I$7+1)</f>
        <v>£0 from month 4</v>
      </c>
      <c r="G16" s="961"/>
      <c r="H16" s="960" t="str">
        <f>TEXT(IF('Input Sheet'!L8='Input Sheet'!L7,"Fully Rolled",'Input Sheet'!L29),"£0,#") &amp;" " &amp;IF('Input Sheet'!$L$7&gt;='Input Sheet'!$L$8,"","from month " &amp; 'Input Sheet'!$L$7+1)</f>
        <v>£0 from month 4</v>
      </c>
      <c r="I16" s="961"/>
      <c r="J16" s="112"/>
      <c r="K16" s="91"/>
    </row>
    <row r="17" spans="1:11" x14ac:dyDescent="0.25">
      <c r="A17" s="951" t="s">
        <v>64</v>
      </c>
      <c r="B17" s="952"/>
      <c r="C17" s="106"/>
      <c r="D17" s="985" t="str">
        <f>IF('Input Sheet'!F24&gt;0,TEXT('Input Sheet'!F24,"£0#,#") &amp; " " &amp;"("&amp;TEXT('Input Sheet'!F9,"0.00%"&amp;")"),"N/A")</f>
        <v>N/A</v>
      </c>
      <c r="E17" s="986"/>
      <c r="F17" s="983" t="s">
        <v>117</v>
      </c>
      <c r="G17" s="984"/>
      <c r="H17" s="983" t="s">
        <v>117</v>
      </c>
      <c r="I17" s="984"/>
      <c r="J17" s="112"/>
      <c r="K17" s="91"/>
    </row>
    <row r="18" spans="1:11" ht="24" customHeight="1" x14ac:dyDescent="0.25">
      <c r="A18" s="137"/>
      <c r="B18" s="106" t="s">
        <v>128</v>
      </c>
      <c r="C18" s="106"/>
      <c r="D18" s="994" t="s">
        <v>249</v>
      </c>
      <c r="E18" s="995"/>
      <c r="F18" s="958" t="s">
        <v>129</v>
      </c>
      <c r="G18" s="996"/>
      <c r="H18" s="958" t="s">
        <v>129</v>
      </c>
      <c r="I18" s="996"/>
      <c r="J18" s="112"/>
      <c r="K18" s="91"/>
    </row>
    <row r="19" spans="1:11" ht="33.75" customHeight="1" x14ac:dyDescent="0.25">
      <c r="A19" s="951" t="s">
        <v>141</v>
      </c>
      <c r="B19" s="952"/>
      <c r="C19" s="106"/>
      <c r="D19" s="997" t="str">
        <f>"3% in Yr1, 1.5% in Yr2" &amp;" (25% capital repayment allowed from month 7, no ERC after 21 months)"</f>
        <v>3% in Yr1, 1.5% in Yr2 (25% capital repayment allowed from month 7, no ERC after 21 months)</v>
      </c>
      <c r="E19" s="998"/>
      <c r="F19" s="999" t="str">
        <f>IF('Input Sheet'!$C$38&lt;=0,"N/A",'Input Sheet'!$C$38)</f>
        <v>N/A</v>
      </c>
      <c r="G19" s="1000"/>
      <c r="H19" s="999" t="str">
        <f>IF('Input Sheet'!$C$38&lt;=0,"N/A",'Input Sheet'!$C$38)</f>
        <v>N/A</v>
      </c>
      <c r="I19" s="1000"/>
      <c r="J19" s="112"/>
      <c r="K19" s="91"/>
    </row>
    <row r="20" spans="1:11" x14ac:dyDescent="0.25">
      <c r="A20" s="951" t="s">
        <v>421</v>
      </c>
      <c r="B20" s="952"/>
      <c r="C20" s="106"/>
      <c r="D20" s="990">
        <f>IFERROR(IF('Input Sheet'!$C$35="TBC", "TBC",'Input Sheet'!$F$19),0)</f>
        <v>0</v>
      </c>
      <c r="E20" s="991"/>
      <c r="F20" s="990">
        <f>IFERROR(IF('Input Sheet'!$C$35="TBC", "TBC",'Input Sheet'!$I$19),0)</f>
        <v>0</v>
      </c>
      <c r="G20" s="992"/>
      <c r="H20" s="990">
        <f>IFERROR(IF('Input Sheet'!$C$35="TBC", "TBC",'Input Sheet'!$L$19),0)</f>
        <v>0</v>
      </c>
      <c r="I20" s="992"/>
      <c r="J20" s="112"/>
      <c r="K20" s="91"/>
    </row>
    <row r="21" spans="1:11" ht="20.25" customHeight="1" thickBot="1" x14ac:dyDescent="0.3">
      <c r="A21" s="956" t="s">
        <v>202</v>
      </c>
      <c r="B21" s="952"/>
      <c r="C21" s="106"/>
      <c r="D21" s="987">
        <f>IFERROR('Input Sheet'!F20,0)</f>
        <v>0</v>
      </c>
      <c r="E21" s="988"/>
      <c r="F21" s="987">
        <f>IFERROR('Input Sheet'!I20,0)</f>
        <v>0</v>
      </c>
      <c r="G21" s="989"/>
      <c r="H21" s="1002">
        <f>IFERROR('Input Sheet'!L20,0)</f>
        <v>0</v>
      </c>
      <c r="I21" s="1003"/>
      <c r="J21" s="112"/>
      <c r="K21" s="91"/>
    </row>
    <row r="22" spans="1:11" ht="14.25" customHeight="1" x14ac:dyDescent="0.25">
      <c r="A22" s="113"/>
      <c r="B22" s="97"/>
      <c r="C22" s="97"/>
      <c r="D22" s="959"/>
      <c r="E22" s="959"/>
      <c r="F22" s="959"/>
      <c r="G22" s="959"/>
      <c r="H22" s="959"/>
      <c r="I22" s="959"/>
      <c r="J22" s="112"/>
      <c r="K22" s="91"/>
    </row>
    <row r="23" spans="1:11" x14ac:dyDescent="0.25">
      <c r="A23" s="951" t="s">
        <v>73</v>
      </c>
      <c r="B23" s="952"/>
      <c r="C23" s="97"/>
      <c r="D23" s="95" t="str">
        <f>IF('Input Sheet'!$C$39=0, "TBC by the Underwriter", 'Input Sheet'!$C$39)</f>
        <v>TBC by the Underwriter</v>
      </c>
      <c r="E23" s="96"/>
      <c r="F23" s="1004" t="s">
        <v>77</v>
      </c>
      <c r="G23" s="1004"/>
      <c r="H23" s="1004"/>
      <c r="I23" s="1004"/>
      <c r="J23" s="112"/>
      <c r="K23" s="91"/>
    </row>
    <row r="24" spans="1:11" x14ac:dyDescent="0.25">
      <c r="A24" s="951" t="s">
        <v>65</v>
      </c>
      <c r="B24" s="952"/>
      <c r="C24" s="97"/>
      <c r="D24" s="884" t="s">
        <v>66</v>
      </c>
      <c r="E24" s="87"/>
      <c r="F24" s="1001" t="s">
        <v>1335</v>
      </c>
      <c r="G24" s="1001"/>
      <c r="H24" s="1001"/>
      <c r="I24" s="1001"/>
      <c r="J24" s="112"/>
      <c r="K24" s="91"/>
    </row>
    <row r="25" spans="1:11" x14ac:dyDescent="0.25">
      <c r="A25" s="951" t="s">
        <v>67</v>
      </c>
      <c r="B25" s="952"/>
      <c r="C25" s="97"/>
      <c r="D25" s="89" t="s">
        <v>66</v>
      </c>
      <c r="E25" s="88"/>
      <c r="F25" s="993" t="s">
        <v>68</v>
      </c>
      <c r="G25" s="993"/>
      <c r="H25" s="993"/>
      <c r="I25" s="993"/>
      <c r="J25" s="112"/>
      <c r="K25" s="91"/>
    </row>
    <row r="26" spans="1:11" x14ac:dyDescent="0.25">
      <c r="A26" s="137"/>
      <c r="B26" s="106" t="s">
        <v>105</v>
      </c>
      <c r="C26" s="97"/>
      <c r="D26" s="1005" t="str">
        <f>'Input Sheet'!$Q$12</f>
        <v/>
      </c>
      <c r="E26" s="1005"/>
      <c r="F26" s="1005" t="str">
        <f>'Input Sheet'!$Q$13</f>
        <v/>
      </c>
      <c r="G26" s="1005"/>
      <c r="H26" s="1005" t="str">
        <f>'Input Sheet'!$Q$14</f>
        <v/>
      </c>
      <c r="I26" s="1005"/>
      <c r="J26" s="112"/>
      <c r="K26" s="91"/>
    </row>
    <row r="27" spans="1:11" ht="18" x14ac:dyDescent="0.25">
      <c r="A27" s="114"/>
      <c r="B27" s="105"/>
      <c r="C27" s="105"/>
      <c r="D27" s="1007" t="s">
        <v>81</v>
      </c>
      <c r="E27" s="1007"/>
      <c r="F27" s="1007"/>
      <c r="G27" s="1007"/>
      <c r="H27" s="1007"/>
      <c r="I27" s="1007"/>
      <c r="J27" s="112"/>
      <c r="K27" s="91"/>
    </row>
    <row r="28" spans="1:11" ht="18" x14ac:dyDescent="0.25">
      <c r="A28" s="115"/>
      <c r="B28" s="105"/>
      <c r="C28" s="105"/>
      <c r="D28" s="1008"/>
      <c r="E28" s="1008"/>
      <c r="F28" s="1008"/>
      <c r="G28" s="1008"/>
      <c r="H28" s="1008"/>
      <c r="I28" s="1008"/>
      <c r="J28" s="112"/>
      <c r="K28" s="91"/>
    </row>
    <row r="29" spans="1:11" ht="18" x14ac:dyDescent="0.25">
      <c r="A29" s="116"/>
      <c r="B29" s="105"/>
      <c r="C29" s="105"/>
      <c r="D29" s="1008"/>
      <c r="E29" s="1008"/>
      <c r="F29" s="1008"/>
      <c r="G29" s="1008"/>
      <c r="H29" s="1008"/>
      <c r="I29" s="1008"/>
      <c r="J29" s="112"/>
      <c r="K29" s="91"/>
    </row>
    <row r="30" spans="1:11" ht="18" x14ac:dyDescent="0.25">
      <c r="A30" s="115"/>
      <c r="B30" s="105"/>
      <c r="C30" s="105"/>
      <c r="D30" s="1008"/>
      <c r="E30" s="1008"/>
      <c r="F30" s="1008"/>
      <c r="G30" s="1008"/>
      <c r="H30" s="1008"/>
      <c r="I30" s="1008"/>
      <c r="J30" s="112"/>
      <c r="K30" s="91"/>
    </row>
    <row r="31" spans="1:11" ht="18.75" thickBot="1" x14ac:dyDescent="0.3">
      <c r="A31" s="117"/>
      <c r="B31" s="105"/>
      <c r="C31" s="105"/>
      <c r="D31" s="1008"/>
      <c r="E31" s="1008"/>
      <c r="F31" s="1008"/>
      <c r="G31" s="1008"/>
      <c r="H31" s="1008"/>
      <c r="I31" s="1008"/>
      <c r="J31" s="118"/>
      <c r="K31" s="91"/>
    </row>
    <row r="32" spans="1:11" ht="18" x14ac:dyDescent="0.25">
      <c r="A32" s="904"/>
      <c r="B32" s="105"/>
      <c r="C32" s="105"/>
      <c r="D32" s="895"/>
      <c r="E32" s="895"/>
      <c r="F32" s="895"/>
      <c r="G32" s="895"/>
      <c r="H32" s="895"/>
      <c r="I32" s="895"/>
      <c r="K32" s="91"/>
    </row>
    <row r="33" spans="1:11 16383:16384" ht="18.75" thickBot="1" x14ac:dyDescent="0.3">
      <c r="A33" s="904"/>
      <c r="B33" s="105"/>
      <c r="C33" s="105"/>
      <c r="D33" s="895"/>
      <c r="E33" s="895"/>
      <c r="F33" s="895"/>
      <c r="G33" s="895"/>
      <c r="H33" s="895"/>
      <c r="I33" s="895"/>
      <c r="K33" s="91"/>
    </row>
    <row r="34" spans="1:11 16383:16384" ht="36" customHeight="1" x14ac:dyDescent="0.25">
      <c r="A34" s="327"/>
      <c r="B34" s="1009" t="s">
        <v>121</v>
      </c>
      <c r="C34" s="1009"/>
      <c r="D34" s="1009"/>
      <c r="E34" s="1009"/>
      <c r="F34" s="1009"/>
      <c r="G34" s="438" t="s">
        <v>1</v>
      </c>
      <c r="H34" s="438" t="s">
        <v>14</v>
      </c>
      <c r="I34" s="438" t="s">
        <v>231</v>
      </c>
      <c r="K34" s="91"/>
      <c r="XFC34" s="1010" t="s">
        <v>1323</v>
      </c>
      <c r="XFD34" s="1010"/>
    </row>
    <row r="35" spans="1:11 16383:16384" ht="18" customHeight="1" x14ac:dyDescent="0.25">
      <c r="A35" s="327"/>
      <c r="B35" s="955" t="str">
        <f>IF('Multi Property Deal'!$B$4="","",'Multi Property Deal'!$B$4)</f>
        <v/>
      </c>
      <c r="C35" s="955"/>
      <c r="D35" s="955"/>
      <c r="E35" s="955"/>
      <c r="F35" s="955"/>
      <c r="G35" s="440" t="str">
        <f>IF('Multi Property Deal'!$M$4="","",'Multi Property Deal'!$M$4)</f>
        <v/>
      </c>
      <c r="H35" s="439" t="str">
        <f>IF('Multi Property Deal'!$P$4="","",'Multi Property Deal'!$P$4)</f>
        <v/>
      </c>
      <c r="I35" s="332" t="str">
        <f>IF(B35="","",IF(SUM('Multi Property Deal'!$R$4:$R$6)=0,0,SUM('Multi Property Deal'!$R$4:$R$6)))</f>
        <v/>
      </c>
      <c r="K35" s="91"/>
      <c r="XFC35" s="1010"/>
      <c r="XFD35" s="1010"/>
    </row>
    <row r="36" spans="1:11 16383:16384" ht="18" customHeight="1" x14ac:dyDescent="0.25">
      <c r="A36" s="327"/>
      <c r="B36" s="955" t="str">
        <f>IF('Multi Property Deal'!$B$7="","",'Multi Property Deal'!$B$7)</f>
        <v/>
      </c>
      <c r="C36" s="955"/>
      <c r="D36" s="955"/>
      <c r="E36" s="955"/>
      <c r="F36" s="955"/>
      <c r="G36" s="440" t="str">
        <f>IF('Multi Property Deal'!$M$7="","",'Multi Property Deal'!$M$7)</f>
        <v/>
      </c>
      <c r="H36" s="439" t="str">
        <f>IF('Multi Property Deal'!$P$7="","",'Multi Property Deal'!$P$7)</f>
        <v/>
      </c>
      <c r="I36" s="332" t="str">
        <f>IF(B36="","",IF(SUM('Multi Property Deal'!$R$7:$R$9)=0,0,SUM('Multi Property Deal'!$R$7:$R$9)))</f>
        <v/>
      </c>
      <c r="K36" s="91"/>
      <c r="XFC36" s="1010"/>
      <c r="XFD36" s="1010"/>
    </row>
    <row r="37" spans="1:11 16383:16384" ht="18" customHeight="1" x14ac:dyDescent="0.25">
      <c r="A37" s="327"/>
      <c r="B37" s="955" t="str">
        <f>IF('Multi Property Deal'!$B$10="","",'Multi Property Deal'!$B$10)</f>
        <v/>
      </c>
      <c r="C37" s="955"/>
      <c r="D37" s="955"/>
      <c r="E37" s="955"/>
      <c r="F37" s="955"/>
      <c r="G37" s="440" t="str">
        <f>IF('Multi Property Deal'!$M$10="","",'Multi Property Deal'!$M$10)</f>
        <v/>
      </c>
      <c r="H37" s="439" t="str">
        <f>IF('Multi Property Deal'!$P$10="","",'Multi Property Deal'!$P$10)</f>
        <v/>
      </c>
      <c r="I37" s="332" t="str">
        <f>IF(B37="","",IF(SUM('Multi Property Deal'!$R$10:$R$12)=0,0,SUM('Multi Property Deal'!$R$10:$R$12)))</f>
        <v/>
      </c>
      <c r="K37" s="91"/>
      <c r="XFC37" s="1010"/>
      <c r="XFD37" s="1010"/>
    </row>
    <row r="38" spans="1:11 16383:16384" ht="18" customHeight="1" x14ac:dyDescent="0.25">
      <c r="A38" s="327"/>
      <c r="B38" s="955" t="str">
        <f>IF('Multi Property Deal'!$B$13="","",'Multi Property Deal'!$B$13)</f>
        <v/>
      </c>
      <c r="C38" s="955"/>
      <c r="D38" s="955"/>
      <c r="E38" s="955"/>
      <c r="F38" s="955"/>
      <c r="G38" s="440" t="str">
        <f>IF('Multi Property Deal'!$M$13="","",'Multi Property Deal'!$M$13)</f>
        <v/>
      </c>
      <c r="H38" s="439" t="str">
        <f>IF('Multi Property Deal'!$P$13="","",'Multi Property Deal'!$P$13)</f>
        <v/>
      </c>
      <c r="I38" s="332" t="str">
        <f>IF(B38="","",IF(SUM('Multi Property Deal'!$R$13:$R$15)=0,0,SUM('Multi Property Deal'!$R$13:$R$15)))</f>
        <v/>
      </c>
      <c r="K38" s="91"/>
      <c r="XFC38" s="1010"/>
      <c r="XFD38" s="1010"/>
    </row>
    <row r="39" spans="1:11 16383:16384" ht="18" customHeight="1" x14ac:dyDescent="0.25">
      <c r="A39" s="327"/>
      <c r="B39" s="955" t="str">
        <f>IF('Multi Property Deal'!$B$16="","",'Multi Property Deal'!$B$16)</f>
        <v/>
      </c>
      <c r="C39" s="955"/>
      <c r="D39" s="955"/>
      <c r="E39" s="955"/>
      <c r="F39" s="955"/>
      <c r="G39" s="440" t="str">
        <f>IF('Multi Property Deal'!$M$16="","",'Multi Property Deal'!$M$16)</f>
        <v/>
      </c>
      <c r="H39" s="439" t="str">
        <f>IF('Multi Property Deal'!$P$16="","",'Multi Property Deal'!$P$16)</f>
        <v/>
      </c>
      <c r="I39" s="332" t="str">
        <f>IF(B39="","",IF(SUM('Multi Property Deal'!$R$16:$R$18)=0,0,SUM('Multi Property Deal'!$R$16:$R$18)))</f>
        <v/>
      </c>
      <c r="K39" s="91"/>
      <c r="XFC39" s="1010"/>
      <c r="XFD39" s="1010"/>
    </row>
    <row r="40" spans="1:11 16383:16384" ht="18" customHeight="1" x14ac:dyDescent="0.25">
      <c r="A40" s="327"/>
      <c r="B40" s="955" t="str">
        <f>IF('Multi Property Deal'!$B$19="","",'Multi Property Deal'!$B$19)</f>
        <v/>
      </c>
      <c r="C40" s="955"/>
      <c r="D40" s="955"/>
      <c r="E40" s="955"/>
      <c r="F40" s="955"/>
      <c r="G40" s="440" t="str">
        <f>IF('Multi Property Deal'!$M$19="","",'Multi Property Deal'!$M$19)</f>
        <v/>
      </c>
      <c r="H40" s="439" t="str">
        <f>IF('Multi Property Deal'!$P$19="","",'Multi Property Deal'!$P$19)</f>
        <v/>
      </c>
      <c r="I40" s="332" t="str">
        <f>IF(B40="","",IF(SUM('Multi Property Deal'!$R$19:$R$21)=0,0,SUM('Multi Property Deal'!$R$19:$R$21)))</f>
        <v/>
      </c>
      <c r="K40" s="91"/>
      <c r="XFC40" s="1010"/>
      <c r="XFD40" s="1010"/>
    </row>
    <row r="41" spans="1:11 16383:16384" ht="18" x14ac:dyDescent="0.25">
      <c r="A41" s="327"/>
      <c r="B41" s="955" t="str">
        <f>IF('Multi Property Deal'!$B$22="","",'Multi Property Deal'!$B$22)</f>
        <v/>
      </c>
      <c r="C41" s="955"/>
      <c r="D41" s="955"/>
      <c r="E41" s="955"/>
      <c r="F41" s="955"/>
      <c r="G41" s="440" t="str">
        <f>IF('Multi Property Deal'!$M$22="","",'Multi Property Deal'!$M$22)</f>
        <v/>
      </c>
      <c r="H41" s="439" t="str">
        <f>IF('Multi Property Deal'!$P$22="","",'Multi Property Deal'!$P$22)</f>
        <v/>
      </c>
      <c r="I41" s="332" t="str">
        <f>IF(B41="","",IF(SUM('Multi Property Deal'!$R$22:$R$24)=0,0,SUM('Multi Property Deal'!$R$22:$R$24)))</f>
        <v/>
      </c>
      <c r="K41" s="91"/>
      <c r="XFC41" s="1010"/>
      <c r="XFD41" s="1010"/>
    </row>
    <row r="42" spans="1:11 16383:16384" ht="18" x14ac:dyDescent="0.25">
      <c r="A42" s="327"/>
      <c r="B42" s="955" t="str">
        <f>IF('Multi Property Deal'!$B$25="","",'Multi Property Deal'!$B$25)</f>
        <v/>
      </c>
      <c r="C42" s="955"/>
      <c r="D42" s="955"/>
      <c r="E42" s="955"/>
      <c r="F42" s="955"/>
      <c r="G42" s="440" t="str">
        <f>IF('Multi Property Deal'!$M$25="","",'Multi Property Deal'!$M$25)</f>
        <v/>
      </c>
      <c r="H42" s="439" t="str">
        <f>IF('Multi Property Deal'!$P$25="","",'Multi Property Deal'!$P$25)</f>
        <v/>
      </c>
      <c r="I42" s="332" t="str">
        <f>IF(B42="","",IF(SUM('Multi Property Deal'!$R$22:$R$24)=0,0,SUM('Multi Property Deal'!$R$22:$R$24)))</f>
        <v/>
      </c>
      <c r="K42" s="91"/>
      <c r="XFC42" s="1010"/>
      <c r="XFD42" s="1010"/>
    </row>
    <row r="43" spans="1:11 16383:16384" ht="15" customHeight="1" x14ac:dyDescent="0.25">
      <c r="A43" s="91"/>
      <c r="B43" s="955" t="str">
        <f>IF('Multi Property Deal'!$B$28="","",'Multi Property Deal'!$B$28)</f>
        <v/>
      </c>
      <c r="C43" s="955"/>
      <c r="D43" s="955"/>
      <c r="E43" s="955"/>
      <c r="F43" s="955"/>
      <c r="G43" s="440" t="str">
        <f>IF('Multi Property Deal'!$M$28="","",'Multi Property Deal'!$M$28)</f>
        <v/>
      </c>
      <c r="H43" s="439" t="str">
        <f>IF('Multi Property Deal'!$P$28="","",'Multi Property Deal'!$P$28)</f>
        <v/>
      </c>
      <c r="I43" s="332" t="str">
        <f>IF(B43="","",IF(SUM('Multi Property Deal'!$R$28:$R$30)=0,0,SUM('Multi Property Deal'!$R$28:$R$30)))</f>
        <v/>
      </c>
      <c r="XFC43" s="1010"/>
      <c r="XFD43" s="1010"/>
    </row>
    <row r="44" spans="1:11 16383:16384" ht="15" customHeight="1" x14ac:dyDescent="0.25">
      <c r="A44" s="91"/>
      <c r="B44" s="955" t="str">
        <f>IF('Multi Property Deal'!$B$31="","",'Multi Property Deal'!$B$31)</f>
        <v/>
      </c>
      <c r="C44" s="955"/>
      <c r="D44" s="955"/>
      <c r="E44" s="955"/>
      <c r="F44" s="955"/>
      <c r="G44" s="440" t="str">
        <f>IF('Multi Property Deal'!$M$31="","",'Multi Property Deal'!$M$31)</f>
        <v/>
      </c>
      <c r="H44" s="439" t="str">
        <f>IF('Multi Property Deal'!$P$31="","",'Multi Property Deal'!$P$31)</f>
        <v/>
      </c>
      <c r="I44" s="332" t="str">
        <f>IF(B44="","",IF(SUM('Multi Property Deal'!$R$31:$R$33)=0,0,SUM('Multi Property Deal'!$R$31:$R$33)))</f>
        <v/>
      </c>
      <c r="XFC44" s="1010"/>
      <c r="XFD44" s="1010"/>
    </row>
    <row r="45" spans="1:11 16383:16384" ht="15" customHeight="1" x14ac:dyDescent="0.25">
      <c r="A45" s="91"/>
      <c r="B45" s="955" t="str">
        <f>IF('Multi Property Deal'!$B$34="","",'Multi Property Deal'!$B$34)</f>
        <v/>
      </c>
      <c r="C45" s="955"/>
      <c r="D45" s="955"/>
      <c r="E45" s="955"/>
      <c r="F45" s="955"/>
      <c r="G45" s="440" t="str">
        <f>IF('Multi Property Deal'!$M$34="","",'Multi Property Deal'!$M$34)</f>
        <v/>
      </c>
      <c r="H45" s="439" t="str">
        <f>IF('Multi Property Deal'!$P$34="","",'Multi Property Deal'!$P$34)</f>
        <v/>
      </c>
      <c r="I45" s="332" t="str">
        <f>IF(B45="","",IF(SUM('Multi Property Deal'!$R$34:$R$36)=0,0,SUM('Multi Property Deal'!$R$34:$R$36)))</f>
        <v/>
      </c>
      <c r="XFC45" s="1010"/>
      <c r="XFD45" s="1010"/>
    </row>
    <row r="46" spans="1:11 16383:16384" ht="15" customHeight="1" thickBot="1" x14ac:dyDescent="0.3">
      <c r="A46" s="91"/>
      <c r="B46" s="91"/>
      <c r="C46" s="91"/>
      <c r="D46" s="91"/>
      <c r="E46" s="91"/>
      <c r="F46" s="91"/>
      <c r="G46" s="91"/>
      <c r="H46" s="91"/>
      <c r="I46" s="91"/>
      <c r="XFC46" s="1010"/>
      <c r="XFD46" s="1010"/>
    </row>
    <row r="47" spans="1:11 16383:16384" ht="15" customHeight="1" x14ac:dyDescent="0.25">
      <c r="B47" s="1006"/>
      <c r="C47" s="1006"/>
      <c r="D47" s="1006"/>
      <c r="E47" s="1006"/>
      <c r="F47" s="1006"/>
      <c r="G47" s="1006"/>
      <c r="H47" s="1006"/>
      <c r="I47" s="1006"/>
      <c r="XFC47" s="896"/>
    </row>
    <row r="48" spans="1:11 16383:16384" ht="15" customHeight="1" x14ac:dyDescent="0.25">
      <c r="B48" s="1006"/>
      <c r="C48" s="1006"/>
      <c r="D48" s="1006"/>
      <c r="E48" s="1006"/>
      <c r="F48" s="1006"/>
      <c r="G48" s="1006"/>
      <c r="H48" s="1006"/>
      <c r="I48" s="1006"/>
    </row>
    <row r="49" spans="2:9" ht="15" customHeight="1" x14ac:dyDescent="0.25">
      <c r="B49" s="1006"/>
      <c r="C49" s="1006"/>
      <c r="D49" s="1006"/>
      <c r="E49" s="1006"/>
      <c r="F49" s="1006"/>
      <c r="G49" s="1006"/>
      <c r="H49" s="1006"/>
      <c r="I49" s="1006"/>
    </row>
    <row r="50" spans="2:9" ht="15" customHeight="1" x14ac:dyDescent="0.25">
      <c r="B50" s="1006"/>
      <c r="C50" s="1006"/>
      <c r="D50" s="1006"/>
      <c r="E50" s="1006"/>
      <c r="F50" s="1006"/>
      <c r="G50" s="1006"/>
      <c r="H50" s="1006"/>
      <c r="I50" s="1006"/>
    </row>
    <row r="51" spans="2:9" ht="15" customHeight="1" x14ac:dyDescent="0.25">
      <c r="B51" s="1006"/>
      <c r="C51" s="1006"/>
      <c r="D51" s="1006"/>
      <c r="E51" s="1006"/>
      <c r="F51" s="1006"/>
      <c r="G51" s="1006"/>
      <c r="H51" s="1006"/>
      <c r="I51" s="1006"/>
    </row>
    <row r="52" spans="2:9" ht="15" customHeight="1" x14ac:dyDescent="0.25">
      <c r="B52" s="1006"/>
      <c r="C52" s="1006"/>
      <c r="D52" s="1006"/>
      <c r="E52" s="1006"/>
      <c r="F52" s="1006"/>
      <c r="G52" s="1006"/>
      <c r="H52" s="1006"/>
      <c r="I52" s="1006"/>
    </row>
    <row r="53" spans="2:9" ht="15" customHeight="1" x14ac:dyDescent="0.25">
      <c r="B53" s="1006"/>
      <c r="C53" s="1006"/>
      <c r="D53" s="1006"/>
      <c r="E53" s="1006"/>
      <c r="F53" s="1006"/>
      <c r="G53" s="1006"/>
      <c r="H53" s="1006"/>
      <c r="I53" s="1006"/>
    </row>
    <row r="54" spans="2:9" ht="15" customHeight="1" x14ac:dyDescent="0.25">
      <c r="B54" s="1006"/>
      <c r="C54" s="1006"/>
      <c r="D54" s="1006"/>
      <c r="E54" s="1006"/>
      <c r="F54" s="1006"/>
      <c r="G54" s="1006"/>
      <c r="H54" s="1006"/>
      <c r="I54" s="1006"/>
    </row>
  </sheetData>
  <mergeCells count="97">
    <mergeCell ref="XFC34:XFD46"/>
    <mergeCell ref="B49:I49"/>
    <mergeCell ref="B48:I48"/>
    <mergeCell ref="B47:I47"/>
    <mergeCell ref="B50:I50"/>
    <mergeCell ref="B35:F35"/>
    <mergeCell ref="B36:F36"/>
    <mergeCell ref="B37:F37"/>
    <mergeCell ref="B38:F38"/>
    <mergeCell ref="B39:F39"/>
    <mergeCell ref="B40:F40"/>
    <mergeCell ref="B43:F43"/>
    <mergeCell ref="B51:I51"/>
    <mergeCell ref="B52:I52"/>
    <mergeCell ref="B53:I53"/>
    <mergeCell ref="B54:I54"/>
    <mergeCell ref="D27:I31"/>
    <mergeCell ref="B44:F44"/>
    <mergeCell ref="B45:F45"/>
    <mergeCell ref="B34:F34"/>
    <mergeCell ref="D22:E22"/>
    <mergeCell ref="F22:G22"/>
    <mergeCell ref="H22:I22"/>
    <mergeCell ref="F23:I23"/>
    <mergeCell ref="D26:E26"/>
    <mergeCell ref="F26:G26"/>
    <mergeCell ref="H26:I26"/>
    <mergeCell ref="A25:B25"/>
    <mergeCell ref="F25:I25"/>
    <mergeCell ref="A23:B23"/>
    <mergeCell ref="A24:B24"/>
    <mergeCell ref="D18:E18"/>
    <mergeCell ref="F18:G18"/>
    <mergeCell ref="H18:I18"/>
    <mergeCell ref="A19:B19"/>
    <mergeCell ref="D19:E19"/>
    <mergeCell ref="F19:G19"/>
    <mergeCell ref="H19:I19"/>
    <mergeCell ref="A20:B20"/>
    <mergeCell ref="H20:I20"/>
    <mergeCell ref="A21:B21"/>
    <mergeCell ref="F24:I24"/>
    <mergeCell ref="H21:I21"/>
    <mergeCell ref="A15:B15"/>
    <mergeCell ref="A16:B16"/>
    <mergeCell ref="D21:E21"/>
    <mergeCell ref="F21:G21"/>
    <mergeCell ref="D20:E20"/>
    <mergeCell ref="F20:G20"/>
    <mergeCell ref="A17:B17"/>
    <mergeCell ref="F17:G17"/>
    <mergeCell ref="H16:I16"/>
    <mergeCell ref="F15:G15"/>
    <mergeCell ref="H15:I15"/>
    <mergeCell ref="H17:I17"/>
    <mergeCell ref="D17:E17"/>
    <mergeCell ref="H10:I10"/>
    <mergeCell ref="F14:G14"/>
    <mergeCell ref="F11:G11"/>
    <mergeCell ref="F12:G12"/>
    <mergeCell ref="F13:G13"/>
    <mergeCell ref="H11:I11"/>
    <mergeCell ref="H12:I12"/>
    <mergeCell ref="H13:I13"/>
    <mergeCell ref="H14:I14"/>
    <mergeCell ref="D1:I2"/>
    <mergeCell ref="D4:E4"/>
    <mergeCell ref="F4:G4"/>
    <mergeCell ref="D5:I5"/>
    <mergeCell ref="A7:B7"/>
    <mergeCell ref="D7:E7"/>
    <mergeCell ref="F7:G7"/>
    <mergeCell ref="H7:I7"/>
    <mergeCell ref="A8:B8"/>
    <mergeCell ref="D8:E8"/>
    <mergeCell ref="F8:G8"/>
    <mergeCell ref="H8:I8"/>
    <mergeCell ref="A9:B9"/>
    <mergeCell ref="D9:E9"/>
    <mergeCell ref="F9:G9"/>
    <mergeCell ref="H9:I9"/>
    <mergeCell ref="A10:B10"/>
    <mergeCell ref="D10:E10"/>
    <mergeCell ref="F10:G10"/>
    <mergeCell ref="B41:F41"/>
    <mergeCell ref="B42:F42"/>
    <mergeCell ref="A11:B11"/>
    <mergeCell ref="A12:B12"/>
    <mergeCell ref="A13:B13"/>
    <mergeCell ref="A14:B14"/>
    <mergeCell ref="D14:E14"/>
    <mergeCell ref="D11:E11"/>
    <mergeCell ref="D12:E12"/>
    <mergeCell ref="D13:E13"/>
    <mergeCell ref="F16:G16"/>
    <mergeCell ref="D15:E15"/>
    <mergeCell ref="D16:E16"/>
  </mergeCells>
  <conditionalFormatting sqref="D13:D18">
    <cfRule type="cellIs" dxfId="151" priority="56" operator="equal">
      <formula>0</formula>
    </cfRule>
  </conditionalFormatting>
  <conditionalFormatting sqref="D20:E21">
    <cfRule type="cellIs" dxfId="150" priority="50" operator="lessThanOrEqual">
      <formula>0</formula>
    </cfRule>
  </conditionalFormatting>
  <conditionalFormatting sqref="E18">
    <cfRule type="containsText" dxfId="149" priority="49" operator="containsText" text="(0.00%)">
      <formula>NOT(ISERROR(SEARCH("(0.00%)",E18)))</formula>
    </cfRule>
  </conditionalFormatting>
  <conditionalFormatting sqref="F13:F16">
    <cfRule type="cellIs" dxfId="148" priority="55" operator="equal">
      <formula>0</formula>
    </cfRule>
  </conditionalFormatting>
  <conditionalFormatting sqref="F19:I19">
    <cfRule type="cellIs" dxfId="147" priority="48" operator="lessThanOrEqual">
      <formula>0</formula>
    </cfRule>
  </conditionalFormatting>
  <conditionalFormatting sqref="F20:I21">
    <cfRule type="cellIs" dxfId="146" priority="51" operator="lessThanOrEqual">
      <formula>0</formula>
    </cfRule>
  </conditionalFormatting>
  <conditionalFormatting sqref="H13:H16">
    <cfRule type="cellIs" dxfId="145" priority="54" operator="equal">
      <formula>0</formula>
    </cfRule>
  </conditionalFormatting>
  <conditionalFormatting sqref="B35:I45">
    <cfRule type="notContainsBlanks" dxfId="144" priority="60">
      <formula>LEN(TRIM(B35))&gt;0</formula>
    </cfRule>
  </conditionalFormatting>
  <dataValidations disablePrompts="1" count="1">
    <dataValidation showInputMessage="1" showErrorMessage="1" sqref="A20:A21 A14" xr:uid="{37F1A5FC-C3B4-4BF6-B5FD-8B6984D91315}"/>
  </dataValidations>
  <pageMargins left="0" right="0" top="0" bottom="0.74803149606299213" header="0" footer="0"/>
  <pageSetup paperSize="9" scale="90" fitToHeight="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2" id="{E18857BB-A0E2-47FB-8526-5D3DE761D295}">
            <xm:f>'Input Sheet'!$C$17="Yes"</xm:f>
            <x14:dxf>
              <font>
                <color theme="8" tint="0.79998168889431442"/>
              </font>
            </x14:dxf>
          </x14:cfRule>
          <xm:sqref>D16</xm:sqref>
        </x14:conditionalFormatting>
        <x14:conditionalFormatting xmlns:xm="http://schemas.microsoft.com/office/excel/2006/main">
          <x14:cfRule type="expression" priority="46" id="{444A83C9-7C42-4F23-AC0C-5EF7C93C7B7D}">
            <xm:f>OR('Input Sheet'!$C$35="",'Input Sheet'!$C$35=0)</xm:f>
            <x14:dxf>
              <font>
                <color theme="0"/>
              </font>
            </x14:dxf>
          </x14:cfRule>
          <xm:sqref>A20:B20</xm:sqref>
        </x14:conditionalFormatting>
        <x14:conditionalFormatting xmlns:xm="http://schemas.microsoft.com/office/excel/2006/main">
          <x14:cfRule type="expression" priority="45" id="{7B839026-FDE0-492E-9F68-C5AD05CB3226}">
            <xm:f>OR('Input Sheet'!$I$20=0, 'Input Sheet'!$L$20=0)</xm:f>
            <x14:dxf>
              <font>
                <color theme="0"/>
              </font>
            </x14:dxf>
          </x14:cfRule>
          <xm:sqref>A21:B21</xm:sqref>
        </x14:conditionalFormatting>
        <x14:conditionalFormatting xmlns:xm="http://schemas.microsoft.com/office/excel/2006/main">
          <x14:cfRule type="expression" priority="11" id="{019B7179-AE68-4228-B94C-000F1ECF50A0}">
            <xm:f>'Input Sheet'!$C$16="Yes"</xm:f>
            <x14:dxf>
              <font>
                <b/>
                <i val="0"/>
                <color theme="0"/>
              </font>
              <fill>
                <patternFill>
                  <bgColor rgb="FF002060"/>
                </patternFill>
              </fill>
              <border>
                <left style="thin">
                  <color auto="1"/>
                </left>
                <right style="thin">
                  <color auto="1"/>
                </right>
                <top style="thin">
                  <color auto="1"/>
                </top>
                <bottom style="thin">
                  <color auto="1"/>
                </bottom>
              </border>
            </x14:dxf>
          </x14:cfRule>
          <xm:sqref>B34:I34</xm:sqref>
        </x14:conditionalFormatting>
        <x14:conditionalFormatting xmlns:xm="http://schemas.microsoft.com/office/excel/2006/main">
          <x14:cfRule type="expression" priority="7" id="{83016011-45BF-4D81-BA8A-EBDD5DB2D40F}">
            <xm:f>'Input Sheet'!$C$16&lt;&gt;"Yes"</xm:f>
            <x14:dxf>
              <font>
                <color theme="0"/>
              </font>
              <fill>
                <patternFill>
                  <bgColor theme="0"/>
                </patternFill>
              </fill>
              <border>
                <left/>
                <right/>
                <top/>
                <bottom/>
                <vertical/>
                <horizontal/>
              </border>
            </x14:dxf>
          </x14:cfRule>
          <xm:sqref>B35:I45</xm:sqref>
        </x14:conditionalFormatting>
        <x14:conditionalFormatting xmlns:xm="http://schemas.microsoft.com/office/excel/2006/main">
          <x14:cfRule type="expression" priority="673" id="{6634311D-F224-48B1-90D6-DA2898DEE2DF}">
            <xm:f>OR('Input Sheet'!$Q$6="No", AND('Input Sheet'!$Q$12="NA",'Input Sheet'!$Q$13="NA",'Input Sheet'!$Q$14="NA"))</xm:f>
            <x14:dxf>
              <font>
                <color theme="0"/>
              </font>
              <fill>
                <patternFill>
                  <bgColor theme="0"/>
                </patternFill>
              </fill>
              <border>
                <bottom/>
                <vertical/>
                <horizontal/>
              </border>
            </x14:dxf>
          </x14:cfRule>
          <xm:sqref>A26:I26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4D0D-A7CD-475C-99B9-98BE628AF57F}">
  <sheetPr codeName="Sheet16">
    <pageSetUpPr fitToPage="1"/>
  </sheetPr>
  <dimension ref="A1:XFD48"/>
  <sheetViews>
    <sheetView view="pageBreakPreview" zoomScale="85" zoomScaleNormal="100" zoomScaleSheetLayoutView="85" workbookViewId="0">
      <selection activeCell="D3" sqref="D3"/>
    </sheetView>
  </sheetViews>
  <sheetFormatPr defaultColWidth="9.140625" defaultRowHeight="15" customHeight="1" x14ac:dyDescent="0.25"/>
  <cols>
    <col min="1" max="1" width="4.28515625" customWidth="1"/>
    <col min="2" max="2" width="19.140625" customWidth="1"/>
    <col min="3" max="3" width="2.140625" customWidth="1"/>
    <col min="4" max="4" width="21.140625" customWidth="1"/>
    <col min="5" max="5" width="0.140625" customWidth="1"/>
    <col min="6" max="6" width="18.28515625" customWidth="1"/>
    <col min="7" max="7" width="11.85546875" customWidth="1"/>
    <col min="8" max="8" width="10.5703125" customWidth="1"/>
    <col min="9" max="9" width="19.28515625" customWidth="1"/>
    <col min="10" max="10" width="4.28515625" style="91" customWidth="1"/>
    <col min="11" max="11" width="24" hidden="1" customWidth="1"/>
    <col min="12" max="16382" width="0" hidden="1" customWidth="1"/>
    <col min="16383" max="16383" width="12.42578125" customWidth="1"/>
    <col min="16384" max="16384" width="15.42578125" customWidth="1"/>
  </cols>
  <sheetData>
    <row r="1" spans="1:11" ht="15" customHeight="1" thickBot="1" x14ac:dyDescent="0.3">
      <c r="A1" s="1031"/>
      <c r="B1" s="1031"/>
      <c r="C1" s="1031"/>
      <c r="D1" s="1031"/>
      <c r="E1" s="1031"/>
      <c r="F1" s="1031"/>
      <c r="G1" s="1031"/>
      <c r="H1" s="1031"/>
      <c r="I1" s="1031"/>
      <c r="J1" s="1031"/>
    </row>
    <row r="2" spans="1:11" ht="23.25" x14ac:dyDescent="0.25">
      <c r="A2" s="111"/>
      <c r="B2" s="90"/>
      <c r="C2" s="90"/>
      <c r="D2" s="973"/>
      <c r="E2" s="973"/>
      <c r="F2" s="973"/>
      <c r="G2" s="973"/>
      <c r="H2" s="973"/>
      <c r="I2" s="973"/>
      <c r="J2" s="112"/>
      <c r="K2" s="91"/>
    </row>
    <row r="3" spans="1:11" ht="18.75" customHeight="1" x14ac:dyDescent="0.3">
      <c r="A3" s="111"/>
      <c r="B3" s="101"/>
      <c r="C3" s="101"/>
      <c r="D3" s="119" t="s">
        <v>72</v>
      </c>
      <c r="E3" s="119"/>
      <c r="F3" s="119" t="s">
        <v>60</v>
      </c>
      <c r="G3" s="102"/>
      <c r="H3" s="102"/>
      <c r="I3" s="103"/>
      <c r="J3" s="112"/>
      <c r="K3" s="91"/>
    </row>
    <row r="4" spans="1:11" ht="56.25" customHeight="1" x14ac:dyDescent="0.25">
      <c r="A4" s="111"/>
      <c r="B4" s="104"/>
      <c r="C4" s="104"/>
      <c r="D4" s="974" t="str">
        <f>'Input Sheet'!$C$8</f>
        <v>xxxxx</v>
      </c>
      <c r="E4" s="974"/>
      <c r="F4" s="201" t="str">
        <f>IF('Input Sheet'!$C$16="Yes", "Multi-Property",'Input Sheet'!$C$9)</f>
        <v>xxxxx</v>
      </c>
      <c r="G4" s="202"/>
      <c r="H4" s="489" t="str">
        <f>'Input Sheet'!B7</f>
        <v>Reference</v>
      </c>
      <c r="I4" s="147" t="str">
        <f>'Input Sheet'!$C$7</f>
        <v>HubSpot reference</v>
      </c>
      <c r="J4" s="112"/>
      <c r="K4" s="91"/>
    </row>
    <row r="5" spans="1:11" ht="16.5" thickBot="1" x14ac:dyDescent="0.3">
      <c r="A5" s="111"/>
      <c r="B5" s="383">
        <f>IF(AND(D7="Variable Bridge",G7="Fixed Bridge"),1,0)</f>
        <v>0</v>
      </c>
      <c r="C5" s="104"/>
      <c r="D5" s="976" t="str">
        <f xml:space="preserve"> 'Input Sheet'!B27 &amp;": "&amp; TEXT('Input Sheet'!C28,"£#,#")&amp;" "&amp;"  Monthly rent: "&amp;TEXT(IF(OR('Input Sheet'!C29 ="", 'Input Sheet'!C29 =0),"N/A", 'Input Sheet'!C29),"£#,#")</f>
        <v>Purchase Price: £   Monthly rent: N/A</v>
      </c>
      <c r="E5" s="976"/>
      <c r="F5" s="976"/>
      <c r="G5" s="976"/>
      <c r="H5" s="976"/>
      <c r="I5" s="976"/>
      <c r="J5" s="112"/>
      <c r="K5" s="91"/>
    </row>
    <row r="6" spans="1:11" ht="16.5" thickBot="1" x14ac:dyDescent="0.3">
      <c r="A6" s="111"/>
      <c r="B6" s="104"/>
      <c r="C6" s="104"/>
      <c r="D6" s="84"/>
      <c r="E6" s="84"/>
      <c r="F6" s="85"/>
      <c r="G6" s="85"/>
      <c r="H6" s="85"/>
      <c r="I6" s="86"/>
      <c r="J6" s="112"/>
      <c r="K6" s="91"/>
    </row>
    <row r="7" spans="1:11" ht="15.75" thickBot="1" x14ac:dyDescent="0.3">
      <c r="A7" s="951" t="s">
        <v>61</v>
      </c>
      <c r="B7" s="952"/>
      <c r="C7" s="106"/>
      <c r="D7" s="1011" t="str">
        <f>IF('Input Sheet'!$G$2=TRUE,'Indicative All 3'!D7,'Indicative All 3'!F7)</f>
        <v>Fusion</v>
      </c>
      <c r="E7" s="1012"/>
      <c r="F7" s="1013"/>
      <c r="G7" s="1014" t="str">
        <f>IF('Input Sheet'!$K$2=TRUE,'Indicative All 3'!H7,'Indicative All 3'!F7)</f>
        <v>Fixed Bridge</v>
      </c>
      <c r="H7" s="1015"/>
      <c r="I7" s="1016"/>
    </row>
    <row r="8" spans="1:11" ht="28.5" customHeight="1" x14ac:dyDescent="0.25">
      <c r="A8" s="951" t="s">
        <v>62</v>
      </c>
      <c r="B8" s="952"/>
      <c r="C8" s="106"/>
      <c r="D8" s="1011" t="str">
        <f>IF($D$7="Fusion",'Indicative All 3'!D8,'Indicative All 3'!F8)</f>
        <v xml:space="preserve">Please select product type </v>
      </c>
      <c r="E8" s="1012"/>
      <c r="F8" s="1013"/>
      <c r="G8" s="1011" t="str">
        <f>IF('Input Sheet'!$K$2=TRUE,'Indicative All 3'!H8,'Indicative All 3'!F8)</f>
        <v>Please select product type</v>
      </c>
      <c r="H8" s="1012"/>
      <c r="I8" s="1013"/>
    </row>
    <row r="9" spans="1:11" ht="15.75" thickBot="1" x14ac:dyDescent="0.3">
      <c r="A9" s="951" t="s">
        <v>463</v>
      </c>
      <c r="B9" s="952"/>
      <c r="C9" s="106"/>
      <c r="D9" s="953" t="str">
        <f>IF($D$7="Fusion",'Indicative All 3'!D9,'Indicative All 3'!F9)</f>
        <v/>
      </c>
      <c r="E9" s="1017"/>
      <c r="F9" s="954"/>
      <c r="G9" s="953" t="str">
        <f>IF('Input Sheet'!$K$2=TRUE,'Indicative All 3'!H9,'Indicative All 3'!F9)</f>
        <v/>
      </c>
      <c r="H9" s="1017"/>
      <c r="I9" s="954"/>
    </row>
    <row r="10" spans="1:11" ht="15.75" hidden="1" customHeight="1" thickBot="1" x14ac:dyDescent="0.3">
      <c r="A10" s="951" t="s">
        <v>464</v>
      </c>
      <c r="B10" s="952"/>
      <c r="C10" s="106"/>
      <c r="D10" s="953" t="str">
        <f>IF($D$7="Fusion",'Indicative All 3'!D10,'Indicative All 3'!F10)</f>
        <v/>
      </c>
      <c r="E10" s="1017"/>
      <c r="F10" s="954"/>
      <c r="G10" s="953" t="str">
        <f>IF('Input Sheet'!$K$2=TRUE,'Indicative All 3'!H10,'Indicative All 3'!F10)</f>
        <v/>
      </c>
      <c r="H10" s="1017"/>
      <c r="I10" s="954"/>
    </row>
    <row r="11" spans="1:11" ht="26.25" customHeight="1" thickBot="1" x14ac:dyDescent="0.3">
      <c r="A11" s="956" t="s">
        <v>175</v>
      </c>
      <c r="B11" s="957"/>
      <c r="C11" s="107"/>
      <c r="D11" s="960" t="str">
        <f>IF($D$7="Fusion",'Indicative All 3'!D11,'Indicative All 3'!F11)</f>
        <v>£0 @ 0% LTV</v>
      </c>
      <c r="E11" s="1021"/>
      <c r="F11" s="961"/>
      <c r="G11" s="960" t="str">
        <f>IF('Input Sheet'!$K$2=TRUE,'Indicative All 3'!H11,'Indicative All 3'!F11)</f>
        <v>£0 @ 0% LTV</v>
      </c>
      <c r="H11" s="1021"/>
      <c r="I11" s="961"/>
    </row>
    <row r="12" spans="1:11" ht="23.25" customHeight="1" thickBot="1" x14ac:dyDescent="0.3">
      <c r="A12" s="956" t="s">
        <v>174</v>
      </c>
      <c r="B12" s="957"/>
      <c r="C12" s="107"/>
      <c r="D12" s="960" t="str">
        <f>IF($D$7="Fusion",'Indicative All 3'!D12,'Indicative All 3'!F12)</f>
        <v>£0 @ 0% LTV</v>
      </c>
      <c r="E12" s="1021"/>
      <c r="F12" s="961"/>
      <c r="G12" s="960" t="str">
        <f>IF('Input Sheet'!$K$2=TRUE,'Indicative All 3'!H12,'Indicative All 3'!F12)</f>
        <v>£0 @ 0% LTV</v>
      </c>
      <c r="H12" s="1021"/>
      <c r="I12" s="961"/>
    </row>
    <row r="13" spans="1:11" x14ac:dyDescent="0.25">
      <c r="A13" s="951" t="s">
        <v>27</v>
      </c>
      <c r="B13" s="952"/>
      <c r="C13" s="106"/>
      <c r="D13" s="962" t="str">
        <f>IF($D$7="Fusion",'Indicative All 3'!D13,'Indicative All 3'!F13)</f>
        <v>£0 (2.00%)</v>
      </c>
      <c r="E13" s="1022"/>
      <c r="F13" s="963"/>
      <c r="G13" s="962" t="str">
        <f>IF('Input Sheet'!$K$2=TRUE,'Indicative All 3'!H13,'Indicative All 3'!F13)</f>
        <v/>
      </c>
      <c r="H13" s="1022"/>
      <c r="I13" s="963"/>
    </row>
    <row r="14" spans="1:11" x14ac:dyDescent="0.25">
      <c r="A14" s="951" t="s">
        <v>127</v>
      </c>
      <c r="B14" s="952"/>
      <c r="C14" s="106"/>
      <c r="D14" s="1018" t="str">
        <f>IF($D$7="Fusion",'Indicative All 3'!D14,'Indicative All 3'!F14)</f>
        <v>24 Months</v>
      </c>
      <c r="E14" s="1019"/>
      <c r="F14" s="1020"/>
      <c r="G14" s="1018" t="str">
        <f>IF('Input Sheet'!$K$2=TRUE,'Indicative All 3'!H14,'Indicative All 3'!F14)</f>
        <v>12 Months</v>
      </c>
      <c r="H14" s="1019"/>
      <c r="I14" s="1020"/>
    </row>
    <row r="15" spans="1:11" ht="15.75" thickBot="1" x14ac:dyDescent="0.3">
      <c r="A15" s="951" t="s">
        <v>63</v>
      </c>
      <c r="B15" s="952"/>
      <c r="C15" s="106"/>
      <c r="D15" s="964" t="str">
        <f>IF($D$7="Fusion",'Indicative All 3'!D15,'Indicative All 3'!F15)</f>
        <v>£0 (6 months)</v>
      </c>
      <c r="E15" s="1023"/>
      <c r="F15" s="965"/>
      <c r="G15" s="964" t="str">
        <f>IF('Input Sheet'!$K$2=TRUE,'Indicative All 3'!H15,'Indicative All 3'!F15)</f>
        <v>£0 (3 months)</v>
      </c>
      <c r="H15" s="1023"/>
      <c r="I15" s="965"/>
    </row>
    <row r="16" spans="1:11" ht="15.75" thickBot="1" x14ac:dyDescent="0.3">
      <c r="A16" s="951" t="s">
        <v>78</v>
      </c>
      <c r="B16" s="952"/>
      <c r="C16" s="106"/>
      <c r="D16" s="960" t="str">
        <f>IF($D$7="Fusion",'Indicative All 3'!D16,'Indicative All 3'!F16)</f>
        <v>£0 from month 7</v>
      </c>
      <c r="E16" s="1021"/>
      <c r="F16" s="961"/>
      <c r="G16" s="960" t="str">
        <f>IF('Input Sheet'!$K$2=TRUE,'Indicative All 3'!H16,'Indicative All 3'!F16)</f>
        <v>£0 from month 4</v>
      </c>
      <c r="H16" s="1021"/>
      <c r="I16" s="961"/>
    </row>
    <row r="17" spans="1:11" ht="15" hidden="1" customHeight="1" x14ac:dyDescent="0.25">
      <c r="A17" s="137"/>
      <c r="B17" s="137" t="s">
        <v>64</v>
      </c>
      <c r="C17" s="97"/>
      <c r="D17" s="985" t="str">
        <f>IF($D$7="Fusion",'Indicative All 3'!D17,'Indicative All 3'!F17)</f>
        <v>N/A</v>
      </c>
      <c r="E17" s="1024"/>
      <c r="F17" s="986"/>
      <c r="G17" s="985" t="str">
        <f>IF('Input Sheet'!$K$2=TRUE,'Indicative All 3'!H17,'Indicative All 3'!F17)</f>
        <v>N/A</v>
      </c>
      <c r="H17" s="1024"/>
      <c r="I17" s="986"/>
    </row>
    <row r="18" spans="1:11" ht="20.25" customHeight="1" thickBot="1" x14ac:dyDescent="0.3">
      <c r="A18" s="137"/>
      <c r="B18" s="106" t="s">
        <v>128</v>
      </c>
      <c r="C18" s="106"/>
      <c r="D18" s="958" t="str">
        <f>IF($D$7="Fusion",'Indicative All 3'!D18,'Indicative All 3'!F18)</f>
        <v>6 Months</v>
      </c>
      <c r="E18" s="959"/>
      <c r="F18" s="996"/>
      <c r="G18" s="958" t="str">
        <f>IF('Input Sheet'!$K$2=TRUE,'Indicative All 3'!H18,'Indicative All 3'!F18)</f>
        <v>3 Months</v>
      </c>
      <c r="H18" s="959"/>
      <c r="I18" s="996"/>
    </row>
    <row r="19" spans="1:11" ht="27" customHeight="1" x14ac:dyDescent="0.25">
      <c r="A19" s="951" t="s">
        <v>141</v>
      </c>
      <c r="B19" s="952"/>
      <c r="C19" s="106"/>
      <c r="D19" s="1026" t="str">
        <f>IF($D$7="Fusion",'Indicative All 3'!D19,'Indicative All 3'!F19)</f>
        <v>3% in Yr1, 1.5% in Yr2 (25% capital repayment allowed from month 7, no ERC after 21 months)</v>
      </c>
      <c r="E19" s="1027"/>
      <c r="F19" s="1028"/>
      <c r="G19" s="1026" t="str">
        <f>IF('Input Sheet'!$K$2=TRUE,'Indicative All 3'!H19,'Indicative All 3'!F19)</f>
        <v>N/A</v>
      </c>
      <c r="H19" s="1027"/>
      <c r="I19" s="1028"/>
    </row>
    <row r="20" spans="1:11" x14ac:dyDescent="0.25">
      <c r="A20" s="951" t="s">
        <v>421</v>
      </c>
      <c r="B20" s="952"/>
      <c r="C20" s="106"/>
      <c r="D20" s="990">
        <f>IF($D$7="Fusion",'Indicative All 3'!D20,'Indicative All 3'!F20)</f>
        <v>0</v>
      </c>
      <c r="E20" s="991"/>
      <c r="F20" s="992"/>
      <c r="G20" s="990">
        <f>IF('Input Sheet'!$K$2=TRUE,'Indicative All 3'!H20,'Indicative All 3'!F20)</f>
        <v>0</v>
      </c>
      <c r="H20" s="991"/>
      <c r="I20" s="992"/>
    </row>
    <row r="21" spans="1:11" ht="20.25" customHeight="1" thickBot="1" x14ac:dyDescent="0.3">
      <c r="A21" s="956" t="s">
        <v>201</v>
      </c>
      <c r="B21" s="952"/>
      <c r="C21" s="106"/>
      <c r="D21" s="1002">
        <f>IF($D$7="Fusion",'Indicative All 3'!D21,'Indicative All 3'!F21)</f>
        <v>0</v>
      </c>
      <c r="E21" s="1029"/>
      <c r="F21" s="1003"/>
      <c r="G21" s="1002">
        <f>IF('Input Sheet'!$K$2=TRUE,'Indicative All 3'!H21,'Indicative All 3'!F21)</f>
        <v>0</v>
      </c>
      <c r="H21" s="1029"/>
      <c r="I21" s="1003"/>
    </row>
    <row r="22" spans="1:11" x14ac:dyDescent="0.25">
      <c r="A22" s="113"/>
      <c r="B22" s="97"/>
      <c r="C22" s="97"/>
      <c r="D22" s="959"/>
      <c r="E22" s="959"/>
      <c r="F22" s="959"/>
      <c r="G22" s="959"/>
      <c r="H22" s="959"/>
      <c r="I22" s="959"/>
      <c r="J22" s="112"/>
      <c r="K22" s="91"/>
    </row>
    <row r="23" spans="1:11" x14ac:dyDescent="0.25">
      <c r="A23" s="951" t="s">
        <v>73</v>
      </c>
      <c r="B23" s="952"/>
      <c r="C23" s="97"/>
      <c r="D23" s="95" t="str">
        <f>IF('Input Sheet'!$C$39=0, "TBC by the Underwriter", 'Input Sheet'!$C$39)</f>
        <v>TBC by the Underwriter</v>
      </c>
      <c r="E23" s="96"/>
      <c r="F23" s="1004" t="s">
        <v>77</v>
      </c>
      <c r="G23" s="1004"/>
      <c r="H23" s="1004"/>
      <c r="I23" s="1004"/>
      <c r="J23" s="112"/>
      <c r="K23" s="91"/>
    </row>
    <row r="24" spans="1:11" x14ac:dyDescent="0.25">
      <c r="A24" s="951" t="s">
        <v>65</v>
      </c>
      <c r="B24" s="952"/>
      <c r="C24" s="97"/>
      <c r="D24" s="884" t="s">
        <v>66</v>
      </c>
      <c r="E24" s="87"/>
      <c r="F24" s="1001" t="s">
        <v>1335</v>
      </c>
      <c r="G24" s="1001"/>
      <c r="H24" s="1001"/>
      <c r="I24" s="1001"/>
      <c r="J24" s="112"/>
      <c r="K24" s="91"/>
    </row>
    <row r="25" spans="1:11" x14ac:dyDescent="0.25">
      <c r="A25" s="951" t="s">
        <v>67</v>
      </c>
      <c r="B25" s="952"/>
      <c r="C25" s="97"/>
      <c r="D25" s="219" t="s">
        <v>66</v>
      </c>
      <c r="E25" s="87"/>
      <c r="F25" s="1025" t="s">
        <v>68</v>
      </c>
      <c r="G25" s="1025"/>
      <c r="H25" s="1025"/>
      <c r="I25" s="1025"/>
      <c r="J25" s="112"/>
      <c r="K25" s="91"/>
    </row>
    <row r="26" spans="1:11" x14ac:dyDescent="0.25">
      <c r="A26" s="137"/>
      <c r="B26" s="106" t="s">
        <v>105</v>
      </c>
      <c r="C26" s="97"/>
      <c r="D26" s="1005" t="str">
        <f>IF($D$7="Fusion",'Indicative All 3'!D26,'Indicative All 3'!F26)</f>
        <v/>
      </c>
      <c r="E26" s="1005"/>
      <c r="F26" s="1005"/>
      <c r="G26" s="1005" t="str">
        <f>IF('Input Sheet'!$K$2=TRUE,'Indicative All 3'!H26,'Indicative All 3'!F26)</f>
        <v/>
      </c>
      <c r="H26" s="1005"/>
      <c r="I26" s="1005"/>
      <c r="J26" s="112"/>
      <c r="K26" s="91"/>
    </row>
    <row r="27" spans="1:11" ht="18" x14ac:dyDescent="0.25">
      <c r="A27" s="905"/>
      <c r="B27" s="105"/>
      <c r="C27" s="105"/>
      <c r="D27" s="1008" t="s">
        <v>81</v>
      </c>
      <c r="E27" s="1008"/>
      <c r="F27" s="1008"/>
      <c r="G27" s="1008"/>
      <c r="H27" s="1008"/>
      <c r="I27" s="1008"/>
      <c r="J27" s="112"/>
      <c r="K27" s="91"/>
    </row>
    <row r="28" spans="1:11" ht="18" x14ac:dyDescent="0.25">
      <c r="A28" s="115"/>
      <c r="B28" s="105"/>
      <c r="C28" s="105"/>
      <c r="D28" s="1008"/>
      <c r="E28" s="1008"/>
      <c r="F28" s="1008"/>
      <c r="G28" s="1008"/>
      <c r="H28" s="1008"/>
      <c r="I28" s="1008"/>
      <c r="J28" s="112"/>
      <c r="K28" s="91"/>
    </row>
    <row r="29" spans="1:11" ht="18" x14ac:dyDescent="0.25">
      <c r="A29" s="906"/>
      <c r="B29" s="105"/>
      <c r="C29" s="105"/>
      <c r="D29" s="1008"/>
      <c r="E29" s="1008"/>
      <c r="F29" s="1008"/>
      <c r="G29" s="1008"/>
      <c r="H29" s="1008"/>
      <c r="I29" s="1008"/>
      <c r="J29" s="112"/>
      <c r="K29" s="91"/>
    </row>
    <row r="30" spans="1:11" ht="18" x14ac:dyDescent="0.25">
      <c r="A30" s="115"/>
      <c r="B30" s="105"/>
      <c r="C30" s="105"/>
      <c r="D30" s="1008"/>
      <c r="E30" s="1008"/>
      <c r="F30" s="1008"/>
      <c r="G30" s="1008"/>
      <c r="H30" s="1008"/>
      <c r="I30" s="1008"/>
      <c r="J30" s="112"/>
      <c r="K30" s="91"/>
    </row>
    <row r="31" spans="1:11" ht="18.75" thickBot="1" x14ac:dyDescent="0.3">
      <c r="A31" s="907"/>
      <c r="B31" s="105"/>
      <c r="C31" s="105"/>
      <c r="D31" s="1008"/>
      <c r="E31" s="1008"/>
      <c r="F31" s="1008"/>
      <c r="G31" s="1008"/>
      <c r="H31" s="1008"/>
      <c r="I31" s="1008"/>
      <c r="J31" s="118"/>
      <c r="K31" s="91"/>
    </row>
    <row r="32" spans="1:11" ht="18" x14ac:dyDescent="0.25">
      <c r="A32" s="327"/>
      <c r="B32" s="105"/>
      <c r="C32" s="105"/>
      <c r="D32" s="895"/>
      <c r="E32" s="895"/>
      <c r="F32" s="895"/>
      <c r="G32" s="895"/>
      <c r="H32" s="895"/>
      <c r="I32" s="895"/>
      <c r="K32" s="91"/>
    </row>
    <row r="33" spans="1:11 16383:16384" ht="18" x14ac:dyDescent="0.25">
      <c r="A33" s="327"/>
      <c r="B33" s="105"/>
      <c r="C33" s="105"/>
      <c r="D33" s="895"/>
      <c r="E33" s="895"/>
      <c r="F33" s="895"/>
      <c r="G33" s="895"/>
      <c r="H33" s="895"/>
      <c r="I33" s="895"/>
      <c r="K33" s="91"/>
    </row>
    <row r="34" spans="1:11 16383:16384" ht="18" x14ac:dyDescent="0.25">
      <c r="A34" s="327"/>
      <c r="B34" s="105"/>
      <c r="C34" s="105"/>
      <c r="D34" s="895"/>
      <c r="E34" s="895"/>
      <c r="F34" s="895"/>
      <c r="G34" s="895"/>
      <c r="H34" s="895"/>
      <c r="I34" s="895"/>
      <c r="K34" s="91"/>
    </row>
    <row r="35" spans="1:11 16383:16384" ht="27.75" customHeight="1" x14ac:dyDescent="0.25">
      <c r="A35" s="327"/>
      <c r="B35" s="1009" t="s">
        <v>121</v>
      </c>
      <c r="C35" s="1009"/>
      <c r="D35" s="1009"/>
      <c r="E35" s="1009"/>
      <c r="F35" s="1009"/>
      <c r="G35" s="438" t="s">
        <v>1</v>
      </c>
      <c r="H35" s="438" t="s">
        <v>14</v>
      </c>
      <c r="I35" s="438" t="s">
        <v>231</v>
      </c>
      <c r="K35" s="91"/>
      <c r="XFC35" s="1030" t="s">
        <v>1323</v>
      </c>
      <c r="XFD35" s="1030"/>
    </row>
    <row r="36" spans="1:11 16383:16384" ht="18" customHeight="1" x14ac:dyDescent="0.25">
      <c r="A36" s="327"/>
      <c r="B36" s="955" t="str">
        <f>IF('Multi Property Deal'!$B$4="","",'Multi Property Deal'!$B$4)</f>
        <v/>
      </c>
      <c r="C36" s="955"/>
      <c r="D36" s="955"/>
      <c r="E36" s="955"/>
      <c r="F36" s="955"/>
      <c r="G36" s="440" t="str">
        <f>IF('Multi Property Deal'!$M$4="","",'Multi Property Deal'!$M$4)</f>
        <v/>
      </c>
      <c r="H36" s="439" t="str">
        <f>IF('Multi Property Deal'!$P$4="","",'Multi Property Deal'!$P$4)</f>
        <v/>
      </c>
      <c r="I36" s="332" t="str">
        <f>IF(B36="","",IF(SUM('Multi Property Deal'!$R$4:$R$6)=0,0,SUM('Multi Property Deal'!$R$4:$R$6)))</f>
        <v/>
      </c>
      <c r="K36" s="91"/>
      <c r="XFC36" s="1030"/>
      <c r="XFD36" s="1030"/>
    </row>
    <row r="37" spans="1:11 16383:16384" ht="18" customHeight="1" x14ac:dyDescent="0.25">
      <c r="A37" s="327"/>
      <c r="B37" s="955" t="str">
        <f>IF('Multi Property Deal'!$B$7="","",'Multi Property Deal'!$B$7)</f>
        <v/>
      </c>
      <c r="C37" s="955"/>
      <c r="D37" s="955"/>
      <c r="E37" s="955"/>
      <c r="F37" s="955"/>
      <c r="G37" s="440" t="str">
        <f>IF('Multi Property Deal'!$M$7="","",'Multi Property Deal'!$M$7)</f>
        <v/>
      </c>
      <c r="H37" s="439" t="str">
        <f>IF('Multi Property Deal'!$P$7="","",'Multi Property Deal'!$P$7)</f>
        <v/>
      </c>
      <c r="I37" s="332" t="str">
        <f>IF(B37="","",IF(SUM('Multi Property Deal'!$R$7:$R$9)=0,0,SUM('Multi Property Deal'!$R$7:$R$9)))</f>
        <v/>
      </c>
      <c r="K37" s="91"/>
      <c r="XFC37" s="1030"/>
      <c r="XFD37" s="1030"/>
    </row>
    <row r="38" spans="1:11 16383:16384" ht="18" customHeight="1" x14ac:dyDescent="0.25">
      <c r="A38" s="327"/>
      <c r="B38" s="955" t="str">
        <f>IF('Multi Property Deal'!$B$10="","",'Multi Property Deal'!$B$10)</f>
        <v/>
      </c>
      <c r="C38" s="955"/>
      <c r="D38" s="955"/>
      <c r="E38" s="955"/>
      <c r="F38" s="955"/>
      <c r="G38" s="440" t="str">
        <f>IF('Multi Property Deal'!$M$10="","",'Multi Property Deal'!$M$10)</f>
        <v/>
      </c>
      <c r="H38" s="439" t="str">
        <f>IF('Multi Property Deal'!$P$10="","",'Multi Property Deal'!$P$10)</f>
        <v/>
      </c>
      <c r="I38" s="332" t="str">
        <f>IF(B38="","",IF(SUM('Multi Property Deal'!$R$10:$R$12)=0,0,SUM('Multi Property Deal'!$R$10:$R$12)))</f>
        <v/>
      </c>
      <c r="K38" s="91"/>
      <c r="XFC38" s="1030"/>
      <c r="XFD38" s="1030"/>
    </row>
    <row r="39" spans="1:11 16383:16384" ht="18" customHeight="1" x14ac:dyDescent="0.25">
      <c r="A39" s="327"/>
      <c r="B39" s="955" t="str">
        <f>IF('Multi Property Deal'!$B$13="","",'Multi Property Deal'!$B$13)</f>
        <v/>
      </c>
      <c r="C39" s="955"/>
      <c r="D39" s="955"/>
      <c r="E39" s="955"/>
      <c r="F39" s="955"/>
      <c r="G39" s="440" t="str">
        <f>IF('Multi Property Deal'!$M$13="","",'Multi Property Deal'!$M$13)</f>
        <v/>
      </c>
      <c r="H39" s="439" t="str">
        <f>IF('Multi Property Deal'!$P$13="","",'Multi Property Deal'!$P$13)</f>
        <v/>
      </c>
      <c r="I39" s="332" t="str">
        <f>IF(B39="","",IF(SUM('Multi Property Deal'!$R$13:$R$15)=0,0,SUM('Multi Property Deal'!$R$13:$R$15)))</f>
        <v/>
      </c>
      <c r="K39" s="91"/>
      <c r="XFC39" s="1030"/>
      <c r="XFD39" s="1030"/>
    </row>
    <row r="40" spans="1:11 16383:16384" ht="18" customHeight="1" x14ac:dyDescent="0.25">
      <c r="A40" s="327"/>
      <c r="B40" s="955" t="str">
        <f>IF('Multi Property Deal'!$B$16="","",'Multi Property Deal'!$B$16)</f>
        <v/>
      </c>
      <c r="C40" s="955"/>
      <c r="D40" s="955"/>
      <c r="E40" s="955"/>
      <c r="F40" s="955"/>
      <c r="G40" s="440" t="str">
        <f>IF('Multi Property Deal'!$M$16="","",'Multi Property Deal'!$M$16)</f>
        <v/>
      </c>
      <c r="H40" s="439" t="str">
        <f>IF('Multi Property Deal'!$P$16="","",'Multi Property Deal'!$P$16)</f>
        <v/>
      </c>
      <c r="I40" s="332" t="str">
        <f>IF(B40="","",IF(SUM('Multi Property Deal'!$R$16:$R$18)=0,0,SUM('Multi Property Deal'!$R$16:$R$18)))</f>
        <v/>
      </c>
      <c r="K40" s="91"/>
      <c r="XFC40" s="1030"/>
      <c r="XFD40" s="1030"/>
    </row>
    <row r="41" spans="1:11 16383:16384" ht="18" customHeight="1" x14ac:dyDescent="0.25">
      <c r="A41" s="327"/>
      <c r="B41" s="955" t="str">
        <f>IF('Multi Property Deal'!$B$19="","",'Multi Property Deal'!$B$19)</f>
        <v/>
      </c>
      <c r="C41" s="955"/>
      <c r="D41" s="955"/>
      <c r="E41" s="955"/>
      <c r="F41" s="955"/>
      <c r="G41" s="440" t="str">
        <f>IF('Multi Property Deal'!$M$19="","",'Multi Property Deal'!$M$19)</f>
        <v/>
      </c>
      <c r="H41" s="439" t="str">
        <f>IF('Multi Property Deal'!$P$19="","",'Multi Property Deal'!$P$19)</f>
        <v/>
      </c>
      <c r="I41" s="332" t="str">
        <f>IF(B41="","",IF(SUM('Multi Property Deal'!$R$19:$R$21)=0,0,SUM('Multi Property Deal'!$R$19:$R$21)))</f>
        <v/>
      </c>
      <c r="K41" s="91"/>
      <c r="XFC41" s="1030"/>
      <c r="XFD41" s="1030"/>
    </row>
    <row r="42" spans="1:11 16383:16384" x14ac:dyDescent="0.25">
      <c r="A42" s="91"/>
      <c r="B42" s="955" t="str">
        <f>IF('Multi Property Deal'!$B$22="","",'Multi Property Deal'!$B$22)</f>
        <v/>
      </c>
      <c r="C42" s="955"/>
      <c r="D42" s="955"/>
      <c r="E42" s="955"/>
      <c r="F42" s="955"/>
      <c r="G42" s="440" t="str">
        <f>IF('Multi Property Deal'!$M$22="","",'Multi Property Deal'!$M$22)</f>
        <v/>
      </c>
      <c r="H42" s="439" t="str">
        <f>IF('Multi Property Deal'!$P$22="","",'Multi Property Deal'!$P$22)</f>
        <v/>
      </c>
      <c r="I42" s="332" t="str">
        <f>IF(B42="","",IF(SUM('Multi Property Deal'!$R$22:$R$24)=0,0,SUM('Multi Property Deal'!$R$22:$R$24)))</f>
        <v/>
      </c>
      <c r="XFC42" s="1030"/>
      <c r="XFD42" s="1030"/>
    </row>
    <row r="43" spans="1:11 16383:16384" x14ac:dyDescent="0.25">
      <c r="A43" s="91"/>
      <c r="B43" s="955" t="str">
        <f>IF('Multi Property Deal'!$B$25="","",'Multi Property Deal'!$B$25)</f>
        <v/>
      </c>
      <c r="C43" s="955"/>
      <c r="D43" s="955"/>
      <c r="E43" s="955"/>
      <c r="F43" s="955"/>
      <c r="G43" s="440" t="str">
        <f>IF('Multi Property Deal'!$M$25="","",'Multi Property Deal'!$M$25)</f>
        <v/>
      </c>
      <c r="H43" s="439" t="str">
        <f>IF('Multi Property Deal'!$P$25="","",'Multi Property Deal'!$P$25)</f>
        <v/>
      </c>
      <c r="I43" s="332" t="str">
        <f>IF(B43="","",IF(SUM('Multi Property Deal'!$R$22:$R$24)=0,0,SUM('Multi Property Deal'!$R$22:$R$24)))</f>
        <v/>
      </c>
      <c r="XFC43" s="1030"/>
      <c r="XFD43" s="1030"/>
    </row>
    <row r="44" spans="1:11 16383:16384" x14ac:dyDescent="0.25">
      <c r="A44" s="91"/>
      <c r="B44" s="955" t="str">
        <f>IF('Multi Property Deal'!$B$28="","",'Multi Property Deal'!$B$28)</f>
        <v/>
      </c>
      <c r="C44" s="955"/>
      <c r="D44" s="955"/>
      <c r="E44" s="955"/>
      <c r="F44" s="955"/>
      <c r="G44" s="440" t="str">
        <f>IF('Multi Property Deal'!$M$28="","",'Multi Property Deal'!$M$28)</f>
        <v/>
      </c>
      <c r="H44" s="439" t="str">
        <f>IF('Multi Property Deal'!$P$28="","",'Multi Property Deal'!$P$28)</f>
        <v/>
      </c>
      <c r="I44" s="332" t="str">
        <f>IF(B44="","",IF(SUM('Multi Property Deal'!$R$28:$R$30)=0,0,SUM('Multi Property Deal'!$R$28:$R$30)))</f>
        <v/>
      </c>
      <c r="XFC44" s="1030"/>
      <c r="XFD44" s="1030"/>
    </row>
    <row r="45" spans="1:11 16383:16384" x14ac:dyDescent="0.25">
      <c r="A45" s="91"/>
      <c r="B45" s="955" t="str">
        <f>IF('Multi Property Deal'!$B$31="","",'Multi Property Deal'!$B$31)</f>
        <v/>
      </c>
      <c r="C45" s="955"/>
      <c r="D45" s="955"/>
      <c r="E45" s="955"/>
      <c r="F45" s="955"/>
      <c r="G45" s="440" t="str">
        <f>IF('Multi Property Deal'!$M$31="","",'Multi Property Deal'!$M$31)</f>
        <v/>
      </c>
      <c r="H45" s="439" t="str">
        <f>IF('Multi Property Deal'!$P$31="","",'Multi Property Deal'!$P$31)</f>
        <v/>
      </c>
      <c r="I45" s="332" t="str">
        <f>IF(B45="","",IF(SUM('Multi Property Deal'!$R$31:$R$33)=0,0,SUM('Multi Property Deal'!$R$31:$R$33)))</f>
        <v/>
      </c>
      <c r="XFC45" s="1030"/>
      <c r="XFD45" s="1030"/>
    </row>
    <row r="46" spans="1:11 16383:16384" x14ac:dyDescent="0.25">
      <c r="A46" s="91"/>
      <c r="B46" s="955" t="str">
        <f>IF('Multi Property Deal'!$B$34="","",'Multi Property Deal'!$B$34)</f>
        <v/>
      </c>
      <c r="C46" s="955"/>
      <c r="D46" s="955"/>
      <c r="E46" s="955"/>
      <c r="F46" s="955"/>
      <c r="G46" s="440" t="str">
        <f>IF('Multi Property Deal'!$M$34="","",'Multi Property Deal'!$M$34)</f>
        <v/>
      </c>
      <c r="H46" s="439" t="str">
        <f>IF('Multi Property Deal'!$P$34="","",'Multi Property Deal'!$P$34)</f>
        <v/>
      </c>
      <c r="I46" s="332" t="str">
        <f>IF(B46="","",IF(SUM('Multi Property Deal'!$R$34:$R$36)=0,0,SUM('Multi Property Deal'!$R$34:$R$36)))</f>
        <v/>
      </c>
      <c r="XFC46" s="1030"/>
      <c r="XFD46" s="1030"/>
    </row>
    <row r="47" spans="1:11 16383:16384" x14ac:dyDescent="0.25">
      <c r="A47" s="91"/>
      <c r="B47" s="91"/>
      <c r="C47" s="91"/>
      <c r="D47" s="91"/>
      <c r="E47" s="91"/>
      <c r="F47" s="91"/>
      <c r="G47" s="91"/>
      <c r="H47" s="91"/>
      <c r="I47" s="91"/>
      <c r="XFC47" s="1030"/>
      <c r="XFD47" s="1030"/>
    </row>
    <row r="48" spans="1:11 16383:16384" ht="15" customHeight="1" thickBot="1" x14ac:dyDescent="0.3">
      <c r="A48" s="91"/>
      <c r="B48" s="91"/>
      <c r="C48" s="91"/>
      <c r="D48" s="91"/>
      <c r="E48" s="91"/>
      <c r="F48" s="91"/>
      <c r="G48" s="91"/>
      <c r="H48" s="91"/>
      <c r="I48" s="91"/>
      <c r="XFC48" s="1030"/>
      <c r="XFD48" s="1030"/>
    </row>
  </sheetData>
  <mergeCells count="72">
    <mergeCell ref="XFC35:XFD48"/>
    <mergeCell ref="A1:J1"/>
    <mergeCell ref="G11:I11"/>
    <mergeCell ref="G14:I14"/>
    <mergeCell ref="G12:I12"/>
    <mergeCell ref="G13:I13"/>
    <mergeCell ref="B46:F46"/>
    <mergeCell ref="D26:F26"/>
    <mergeCell ref="G26:I26"/>
    <mergeCell ref="D27:I31"/>
    <mergeCell ref="D15:F15"/>
    <mergeCell ref="A23:B23"/>
    <mergeCell ref="F23:I23"/>
    <mergeCell ref="A24:B24"/>
    <mergeCell ref="F24:I24"/>
    <mergeCell ref="A25:B25"/>
    <mergeCell ref="F25:I25"/>
    <mergeCell ref="A21:B21"/>
    <mergeCell ref="H22:I22"/>
    <mergeCell ref="A19:B19"/>
    <mergeCell ref="D19:F19"/>
    <mergeCell ref="G19:I19"/>
    <mergeCell ref="A20:B20"/>
    <mergeCell ref="D20:F20"/>
    <mergeCell ref="G20:I20"/>
    <mergeCell ref="D21:F21"/>
    <mergeCell ref="G21:I21"/>
    <mergeCell ref="D22:E22"/>
    <mergeCell ref="F22:G22"/>
    <mergeCell ref="A15:B15"/>
    <mergeCell ref="A16:B16"/>
    <mergeCell ref="D16:F16"/>
    <mergeCell ref="G16:I16"/>
    <mergeCell ref="D18:F18"/>
    <mergeCell ref="G18:I18"/>
    <mergeCell ref="G15:I15"/>
    <mergeCell ref="D17:F17"/>
    <mergeCell ref="G17:I17"/>
    <mergeCell ref="A11:B11"/>
    <mergeCell ref="A12:B12"/>
    <mergeCell ref="A13:B13"/>
    <mergeCell ref="A14:B14"/>
    <mergeCell ref="D14:F14"/>
    <mergeCell ref="D11:F11"/>
    <mergeCell ref="D12:F12"/>
    <mergeCell ref="D13:F13"/>
    <mergeCell ref="A10:B10"/>
    <mergeCell ref="D10:F10"/>
    <mergeCell ref="G10:I10"/>
    <mergeCell ref="A8:B8"/>
    <mergeCell ref="D8:F8"/>
    <mergeCell ref="G8:I8"/>
    <mergeCell ref="A9:B9"/>
    <mergeCell ref="D9:F9"/>
    <mergeCell ref="G9:I9"/>
    <mergeCell ref="D2:I2"/>
    <mergeCell ref="D4:E4"/>
    <mergeCell ref="D5:I5"/>
    <mergeCell ref="A7:B7"/>
    <mergeCell ref="D7:F7"/>
    <mergeCell ref="G7:I7"/>
    <mergeCell ref="B35:F35"/>
    <mergeCell ref="B36:F36"/>
    <mergeCell ref="B37:F37"/>
    <mergeCell ref="B38:F38"/>
    <mergeCell ref="B39:F39"/>
    <mergeCell ref="B45:F45"/>
    <mergeCell ref="B40:F40"/>
    <mergeCell ref="B41:F41"/>
    <mergeCell ref="B42:F42"/>
    <mergeCell ref="B43:F43"/>
    <mergeCell ref="B44:F44"/>
  </mergeCells>
  <conditionalFormatting sqref="D7:F8">
    <cfRule type="containsText" dxfId="137" priority="44" operator="containsText" text="Fusion">
      <formula>NOT(ISERROR(SEARCH("Fusion",D7)))</formula>
    </cfRule>
  </conditionalFormatting>
  <conditionalFormatting sqref="D8:I8">
    <cfRule type="expression" dxfId="136" priority="36">
      <formula>$D$7="Fusion"</formula>
    </cfRule>
  </conditionalFormatting>
  <conditionalFormatting sqref="G7:I8">
    <cfRule type="containsText" dxfId="135" priority="31" operator="containsText" text="Fusion">
      <formula>NOT(ISERROR(SEARCH("Fusion",G7)))</formula>
    </cfRule>
  </conditionalFormatting>
  <conditionalFormatting sqref="G11:G12">
    <cfRule type="cellIs" dxfId="134" priority="30" operator="equal">
      <formula>0</formula>
    </cfRule>
  </conditionalFormatting>
  <conditionalFormatting sqref="G13:G15">
    <cfRule type="cellIs" dxfId="133" priority="29" operator="equal">
      <formula>0</formula>
    </cfRule>
  </conditionalFormatting>
  <conditionalFormatting sqref="G17">
    <cfRule type="cellIs" dxfId="132" priority="28" operator="equal">
      <formula>0</formula>
    </cfRule>
  </conditionalFormatting>
  <conditionalFormatting sqref="G19:G21">
    <cfRule type="cellIs" dxfId="131" priority="27" operator="lessThanOrEqual">
      <formula>0</formula>
    </cfRule>
  </conditionalFormatting>
  <conditionalFormatting sqref="G7:I7">
    <cfRule type="containsText" dxfId="130" priority="26" operator="containsText" text="Fixed">
      <formula>NOT(ISERROR(SEARCH("Fixed",G7)))</formula>
    </cfRule>
  </conditionalFormatting>
  <conditionalFormatting sqref="G8:I8">
    <cfRule type="expression" dxfId="129" priority="24">
      <formula>$G$7="Variable Bridge"</formula>
    </cfRule>
    <cfRule type="expression" dxfId="128" priority="25">
      <formula>$G$7="Fixed Bridge"</formula>
    </cfRule>
  </conditionalFormatting>
  <conditionalFormatting sqref="B36:I46">
    <cfRule type="notContainsBlanks" dxfId="127" priority="18">
      <formula>LEN(TRIM(B36))&gt;0</formula>
    </cfRule>
  </conditionalFormatting>
  <conditionalFormatting sqref="D11:D12">
    <cfRule type="cellIs" dxfId="126" priority="15" operator="equal">
      <formula>0</formula>
    </cfRule>
  </conditionalFormatting>
  <conditionalFormatting sqref="D13:D15">
    <cfRule type="cellIs" dxfId="125" priority="14" operator="equal">
      <formula>0</formula>
    </cfRule>
  </conditionalFormatting>
  <conditionalFormatting sqref="D17">
    <cfRule type="cellIs" dxfId="124" priority="13" operator="equal">
      <formula>0</formula>
    </cfRule>
  </conditionalFormatting>
  <conditionalFormatting sqref="D19:D21">
    <cfRule type="cellIs" dxfId="123" priority="12" operator="lessThanOrEqual">
      <formula>0</formula>
    </cfRule>
  </conditionalFormatting>
  <dataValidations count="1">
    <dataValidation showInputMessage="1" showErrorMessage="1" sqref="A20:A21 A14" xr:uid="{0999AAB8-0991-4CB1-B76C-A43BAB5E2DCE}"/>
  </dataValidations>
  <pageMargins left="0" right="0" top="0" bottom="0.74803149606299213" header="0" footer="0"/>
  <pageSetup paperSize="9" scale="90" fitToHeight="0" orientation="portrait" r:id="rId1"/>
  <ignoredErrors>
    <ignoredError sqref="B5"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46" id="{7A5953F0-E881-4316-9B55-B205A57D9456}">
            <xm:f>OR('Input Sheet'!$C$35="",'Input Sheet'!$C$35=0)</xm:f>
            <x14:dxf>
              <font>
                <color theme="0"/>
              </font>
            </x14:dxf>
          </x14:cfRule>
          <xm:sqref>A20:B20</xm:sqref>
        </x14:conditionalFormatting>
        <x14:conditionalFormatting xmlns:xm="http://schemas.microsoft.com/office/excel/2006/main">
          <x14:cfRule type="expression" priority="45" id="{328D3BEC-0DA0-4A60-9D89-C337B54813DE}">
            <xm:f>OR('Input Sheet'!$I$20=0, 'Input Sheet'!$L$20=0)</xm:f>
            <x14:dxf>
              <font>
                <color theme="0"/>
              </font>
            </x14:dxf>
          </x14:cfRule>
          <xm:sqref>A21:B21</xm:sqref>
        </x14:conditionalFormatting>
        <x14:conditionalFormatting xmlns:xm="http://schemas.microsoft.com/office/excel/2006/main">
          <x14:cfRule type="expression" priority="17" id="{6C6C9510-E2A5-40A0-B5CE-F47617767E85}">
            <xm:f>'Input Sheet'!$C$16="Yes"</xm:f>
            <x14:dxf>
              <font>
                <b/>
                <i val="0"/>
                <color theme="0"/>
              </font>
              <fill>
                <patternFill>
                  <bgColor rgb="FF002060"/>
                </patternFill>
              </fill>
              <border>
                <left style="thin">
                  <color auto="1"/>
                </left>
                <right style="thin">
                  <color auto="1"/>
                </right>
                <top style="thin">
                  <color auto="1"/>
                </top>
                <bottom style="thin">
                  <color auto="1"/>
                </bottom>
              </border>
            </x14:dxf>
          </x14:cfRule>
          <xm:sqref>B35:I35</xm:sqref>
        </x14:conditionalFormatting>
        <x14:conditionalFormatting xmlns:xm="http://schemas.microsoft.com/office/excel/2006/main">
          <x14:cfRule type="expression" priority="16" id="{079527CF-C20C-4A91-950F-B6C90E291377}">
            <xm:f>'Input Sheet'!$C$16&lt;&gt;"Yes"</xm:f>
            <x14:dxf>
              <font>
                <color theme="0"/>
              </font>
              <fill>
                <patternFill>
                  <bgColor theme="0"/>
                </patternFill>
              </fill>
              <border>
                <left/>
                <right/>
                <top/>
                <bottom/>
                <vertical/>
                <horizontal/>
              </border>
            </x14:dxf>
          </x14:cfRule>
          <xm:sqref>B36:I46</xm:sqref>
        </x14:conditionalFormatting>
        <x14:conditionalFormatting xmlns:xm="http://schemas.microsoft.com/office/excel/2006/main">
          <x14:cfRule type="expression" priority="674" id="{13D8E821-0213-4B02-B6CB-4E59514A93BA}">
            <xm:f>OR('Input Sheet'!$Q$6="No",AND('Input Sheet'!$Q$13="NA",'Input Sheet'!$Q$14="NA"))</xm:f>
            <x14:dxf>
              <font>
                <color theme="0"/>
              </font>
              <fill>
                <patternFill>
                  <bgColor theme="0"/>
                </patternFill>
              </fill>
              <border>
                <bottom/>
                <vertical/>
                <horizontal/>
              </border>
            </x14:dxf>
          </x14:cfRule>
          <xm:sqref>A26:I26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AB21-77F8-45C3-BA1D-E35DF5A77FA3}">
  <sheetPr codeName="Sheet17">
    <pageSetUpPr fitToPage="1"/>
  </sheetPr>
  <dimension ref="A1:N48"/>
  <sheetViews>
    <sheetView view="pageBreakPreview" zoomScale="90" zoomScaleNormal="100" zoomScaleSheetLayoutView="90" workbookViewId="0">
      <selection activeCell="D27" sqref="D27:I31"/>
    </sheetView>
  </sheetViews>
  <sheetFormatPr defaultColWidth="0" defaultRowHeight="15" customHeight="1" x14ac:dyDescent="0.25"/>
  <cols>
    <col min="1" max="1" width="4.28515625" style="91" customWidth="1"/>
    <col min="2" max="2" width="19.140625" style="91" customWidth="1"/>
    <col min="3" max="3" width="2.140625" style="91" customWidth="1"/>
    <col min="4" max="4" width="21.140625" style="91" customWidth="1"/>
    <col min="5" max="5" width="0.140625" style="91" hidden="1" customWidth="1"/>
    <col min="6" max="6" width="18.28515625" style="91" customWidth="1"/>
    <col min="7" max="7" width="15.85546875" style="91" customWidth="1"/>
    <col min="8" max="8" width="10.28515625" style="91" customWidth="1"/>
    <col min="9" max="9" width="15.85546875" style="91" customWidth="1"/>
    <col min="10" max="10" width="4.28515625" style="91" customWidth="1"/>
    <col min="11" max="11" width="24" hidden="1" customWidth="1"/>
    <col min="12" max="14" width="9.140625" customWidth="1"/>
    <col min="15" max="16384" width="9.140625" hidden="1"/>
  </cols>
  <sheetData>
    <row r="1" spans="1:11" ht="15" customHeight="1" thickBot="1" x14ac:dyDescent="0.3">
      <c r="A1" s="1065"/>
      <c r="B1" s="1065"/>
      <c r="C1" s="1065"/>
      <c r="D1" s="1065"/>
      <c r="E1" s="1065"/>
      <c r="F1" s="1065"/>
      <c r="G1" s="1065"/>
      <c r="H1" s="1065"/>
      <c r="I1" s="1065"/>
      <c r="J1" s="1065"/>
    </row>
    <row r="2" spans="1:11" ht="23.25" x14ac:dyDescent="0.25">
      <c r="A2" s="111"/>
      <c r="B2" s="90"/>
      <c r="C2" s="90"/>
      <c r="D2" s="973"/>
      <c r="E2" s="973"/>
      <c r="F2" s="973"/>
      <c r="G2" s="973"/>
      <c r="H2" s="973"/>
      <c r="I2" s="973"/>
      <c r="J2" s="112"/>
      <c r="K2" s="91"/>
    </row>
    <row r="3" spans="1:11" ht="18.75" customHeight="1" x14ac:dyDescent="0.3">
      <c r="A3" s="111"/>
      <c r="B3" s="101"/>
      <c r="C3" s="101"/>
      <c r="D3" s="119" t="s">
        <v>72</v>
      </c>
      <c r="E3" s="119"/>
      <c r="F3" s="119" t="s">
        <v>60</v>
      </c>
      <c r="G3" s="102"/>
      <c r="H3" s="102"/>
      <c r="I3" s="103"/>
      <c r="J3" s="112"/>
      <c r="K3" s="91"/>
    </row>
    <row r="4" spans="1:11" ht="56.25" customHeight="1" x14ac:dyDescent="0.25">
      <c r="A4" s="111"/>
      <c r="B4" s="104"/>
      <c r="C4" s="104"/>
      <c r="D4" s="974" t="str">
        <f>'Input Sheet'!$C$8</f>
        <v>xxxxx</v>
      </c>
      <c r="E4" s="974"/>
      <c r="F4" s="201" t="str">
        <f>IF('Input Sheet'!$C$16="Yes", "Multi-Property",'Input Sheet'!$C$9)</f>
        <v>xxxxx</v>
      </c>
      <c r="G4" s="202"/>
      <c r="H4" s="489" t="str">
        <f>'Input Sheet'!B7</f>
        <v>Reference</v>
      </c>
      <c r="I4" s="147" t="str">
        <f>'Input Sheet'!$C$7</f>
        <v>HubSpot reference</v>
      </c>
      <c r="J4" s="112"/>
      <c r="K4" s="91"/>
    </row>
    <row r="5" spans="1:11" ht="16.5" thickBot="1" x14ac:dyDescent="0.3">
      <c r="A5" s="111"/>
      <c r="B5" s="383">
        <f>IF(D7&lt;&gt;"Fusion",1,0)</f>
        <v>0</v>
      </c>
      <c r="C5" s="104"/>
      <c r="D5" s="976" t="str">
        <f xml:space="preserve"> 'Input Sheet'!B27 &amp;": "&amp; TEXT('Input Sheet'!C28,"£#,#")&amp;" "&amp;"  Monthly rent: "&amp;TEXT(IF(OR('Input Sheet'!C29 ="", 'Input Sheet'!C29 =0),"N/A", 'Input Sheet'!C29),"£#,#")</f>
        <v>Purchase Price: £   Monthly rent: N/A</v>
      </c>
      <c r="E5" s="976"/>
      <c r="F5" s="976"/>
      <c r="G5" s="976"/>
      <c r="H5" s="976"/>
      <c r="I5" s="976"/>
      <c r="J5" s="112"/>
      <c r="K5" s="91"/>
    </row>
    <row r="6" spans="1:11" ht="16.5" thickBot="1" x14ac:dyDescent="0.3">
      <c r="A6" s="111"/>
      <c r="B6" s="104"/>
      <c r="C6" s="104"/>
      <c r="D6" s="84"/>
      <c r="E6" s="84"/>
      <c r="F6" s="85"/>
      <c r="G6" s="85"/>
      <c r="H6" s="85"/>
      <c r="I6" s="86"/>
      <c r="J6" s="112"/>
      <c r="K6" s="91"/>
    </row>
    <row r="7" spans="1:11" ht="15.75" thickBot="1" x14ac:dyDescent="0.3">
      <c r="A7" s="951" t="s">
        <v>61</v>
      </c>
      <c r="B7" s="952"/>
      <c r="C7" s="106"/>
      <c r="D7" s="1014" t="str">
        <f>IF('Input Sheet'!$G$2=TRUE,'Indicative All 3'!D7,IF('Input Sheet'!$H$2=TRUE,'Indicative All 3'!F7,IF('Input Sheet'!$K$2=TRUE,'Indicative All 3'!H7)))</f>
        <v>Fusion</v>
      </c>
      <c r="E7" s="1015"/>
      <c r="F7" s="1015"/>
      <c r="G7" s="1015"/>
      <c r="H7" s="1015"/>
      <c r="I7" s="1016"/>
    </row>
    <row r="8" spans="1:11" ht="28.5" customHeight="1" x14ac:dyDescent="0.25">
      <c r="A8" s="951" t="s">
        <v>62</v>
      </c>
      <c r="B8" s="952"/>
      <c r="C8" s="106"/>
      <c r="D8" s="1011" t="str">
        <f>IF($D$7="Fusion",'Indicative All 3'!D8,IF('Input Sheet'!$H$2=TRUE,'Indicative All 3'!F8,IF('Input Sheet'!$K$2=TRUE,'Indicative All 3'!H8)))</f>
        <v xml:space="preserve">Please select product type </v>
      </c>
      <c r="E8" s="1012"/>
      <c r="F8" s="1012"/>
      <c r="G8" s="1012"/>
      <c r="H8" s="1012"/>
      <c r="I8" s="1013"/>
    </row>
    <row r="9" spans="1:11" ht="15.75" thickBot="1" x14ac:dyDescent="0.3">
      <c r="A9" s="951" t="s">
        <v>463</v>
      </c>
      <c r="B9" s="952"/>
      <c r="C9" s="106"/>
      <c r="D9" s="1040" t="str">
        <f>IF($D$7="Fusion",'Indicative All 3'!D9,IF('Input Sheet'!$H$2=TRUE,'Indicative All 3'!F9,IF('Input Sheet'!$K$2=TRUE,'Indicative All 3'!H9)))</f>
        <v/>
      </c>
      <c r="E9" s="1041"/>
      <c r="F9" s="1041"/>
      <c r="G9" s="1041"/>
      <c r="H9" s="1041"/>
      <c r="I9" s="1042"/>
    </row>
    <row r="10" spans="1:11" ht="15.75" hidden="1" thickBot="1" x14ac:dyDescent="0.3">
      <c r="A10" s="951" t="s">
        <v>464</v>
      </c>
      <c r="B10" s="952"/>
      <c r="C10" s="106"/>
      <c r="D10" s="953" t="str">
        <f>IF('Input Sheet'!$E$2=TRUE,'Indicative All 3'!D10,IF('Input Sheet'!$H$2=TRUE,'Indicative All 3'!F10,IF('Input Sheet'!$K$2=TRUE,'Indicative All 3'!H10)))</f>
        <v/>
      </c>
      <c r="E10" s="1017"/>
      <c r="F10" s="1017"/>
      <c r="G10" s="1017"/>
      <c r="H10" s="1017"/>
      <c r="I10" s="954"/>
    </row>
    <row r="11" spans="1:11" ht="26.25" customHeight="1" thickBot="1" x14ac:dyDescent="0.3">
      <c r="A11" s="956" t="s">
        <v>175</v>
      </c>
      <c r="B11" s="957"/>
      <c r="C11" s="107"/>
      <c r="D11" s="1046" t="str">
        <f>IF($D$7="Fusion",'Indicative All 3'!D11,IF('Input Sheet'!$H$2=TRUE,'Indicative All 3'!F11,IF('Input Sheet'!$K$2=TRUE,'Indicative All 3'!H11)))</f>
        <v>£0 @ 0% LTV</v>
      </c>
      <c r="E11" s="1047"/>
      <c r="F11" s="1047"/>
      <c r="G11" s="1047"/>
      <c r="H11" s="1047"/>
      <c r="I11" s="1048"/>
    </row>
    <row r="12" spans="1:11" ht="23.25" customHeight="1" thickBot="1" x14ac:dyDescent="0.3">
      <c r="A12" s="956" t="s">
        <v>174</v>
      </c>
      <c r="B12" s="957"/>
      <c r="C12" s="107"/>
      <c r="D12" s="1034" t="str">
        <f>IF($D$7="Fusion",'Indicative All 3'!D12,IF('Input Sheet'!$H$2=TRUE,'Indicative All 3'!F12,IF('Input Sheet'!$K$2=TRUE,'Indicative All 3'!H12)))</f>
        <v>£0 @ 0% LTV</v>
      </c>
      <c r="E12" s="1035"/>
      <c r="F12" s="1035"/>
      <c r="G12" s="1035"/>
      <c r="H12" s="1035"/>
      <c r="I12" s="1036"/>
    </row>
    <row r="13" spans="1:11" x14ac:dyDescent="0.25">
      <c r="A13" s="951" t="s">
        <v>27</v>
      </c>
      <c r="B13" s="952"/>
      <c r="C13" s="106"/>
      <c r="D13" s="1037" t="str">
        <f>IF($D$7="Fusion",'Indicative All 3'!D13,IF('Input Sheet'!$H$2=TRUE,'Indicative All 3'!F13,IF('Input Sheet'!$K$2=TRUE,'Indicative All 3'!H13)))</f>
        <v>£0 (2.00%)</v>
      </c>
      <c r="E13" s="1038"/>
      <c r="F13" s="1038"/>
      <c r="G13" s="1038"/>
      <c r="H13" s="1038"/>
      <c r="I13" s="1039"/>
    </row>
    <row r="14" spans="1:11" x14ac:dyDescent="0.25">
      <c r="A14" s="951" t="s">
        <v>127</v>
      </c>
      <c r="B14" s="952"/>
      <c r="C14" s="106"/>
      <c r="D14" s="1040" t="str">
        <f>IF($D$7="Fusion",'Indicative All 3'!D14,IF('Input Sheet'!$H$2=TRUE,'Indicative All 3'!F14,IF('Input Sheet'!$K$2=TRUE,'Indicative All 3'!H14)))</f>
        <v>24 Months</v>
      </c>
      <c r="E14" s="1041"/>
      <c r="F14" s="1041"/>
      <c r="G14" s="1041"/>
      <c r="H14" s="1041"/>
      <c r="I14" s="1042"/>
    </row>
    <row r="15" spans="1:11" ht="15.75" thickBot="1" x14ac:dyDescent="0.3">
      <c r="A15" s="951" t="s">
        <v>63</v>
      </c>
      <c r="B15" s="952"/>
      <c r="C15" s="106"/>
      <c r="D15" s="1043" t="str">
        <f>IF($D$7="Fusion",'Indicative All 3'!D15,IF('Input Sheet'!$H$2=TRUE,'Indicative All 3'!F15,IF('Input Sheet'!$K$2=TRUE,'Indicative All 3'!H15)))</f>
        <v>£0 (6 months)</v>
      </c>
      <c r="E15" s="1044"/>
      <c r="F15" s="1044"/>
      <c r="G15" s="1044"/>
      <c r="H15" s="1044"/>
      <c r="I15" s="1045"/>
    </row>
    <row r="16" spans="1:11" ht="15.75" thickBot="1" x14ac:dyDescent="0.3">
      <c r="A16" s="951" t="s">
        <v>78</v>
      </c>
      <c r="B16" s="952"/>
      <c r="C16" s="106"/>
      <c r="D16" s="1046" t="str">
        <f>IF($D$7="Fusion",'Indicative All 3'!D16,IF('Input Sheet'!$H$2=TRUE,'Indicative All 3'!F16,IF('Input Sheet'!$K$2=TRUE,'Indicative All 3'!H16)))</f>
        <v>£0 from month 7</v>
      </c>
      <c r="E16" s="1047"/>
      <c r="F16" s="1047"/>
      <c r="G16" s="1047"/>
      <c r="H16" s="1047"/>
      <c r="I16" s="1048"/>
    </row>
    <row r="17" spans="1:11" hidden="1" x14ac:dyDescent="0.25">
      <c r="A17" s="137"/>
      <c r="B17" s="137" t="s">
        <v>64</v>
      </c>
      <c r="C17" s="106"/>
      <c r="D17" s="1052" t="str">
        <f>IF('Input Sheet'!$E$2=TRUE,'Indicative All 3'!D17,IF('Input Sheet'!$H$2=TRUE,'Indicative All 3'!F17,IF('Input Sheet'!$K$2=TRUE,'Indicative All 3'!H17)))</f>
        <v>N/A</v>
      </c>
      <c r="E17" s="1053"/>
      <c r="F17" s="1053"/>
      <c r="G17" s="1053"/>
      <c r="H17" s="1053"/>
      <c r="I17" s="1054"/>
    </row>
    <row r="18" spans="1:11" ht="20.25" customHeight="1" thickBot="1" x14ac:dyDescent="0.3">
      <c r="A18" s="137"/>
      <c r="B18" s="106" t="s">
        <v>128</v>
      </c>
      <c r="C18" s="106"/>
      <c r="D18" s="1049" t="str">
        <f>IF($D$7="Fusion",'Indicative All 3'!D18,IF('Input Sheet'!$H$2=TRUE,'Indicative All 3'!F18,IF('Input Sheet'!$K$2=TRUE,'Indicative All 3'!H18)))</f>
        <v>6 Months</v>
      </c>
      <c r="E18" s="1050"/>
      <c r="F18" s="1050"/>
      <c r="G18" s="1050"/>
      <c r="H18" s="1050"/>
      <c r="I18" s="1051"/>
    </row>
    <row r="19" spans="1:11" ht="20.25" customHeight="1" x14ac:dyDescent="0.25">
      <c r="A19" s="951" t="s">
        <v>141</v>
      </c>
      <c r="B19" s="952"/>
      <c r="C19" s="106"/>
      <c r="D19" s="1058" t="str">
        <f>IF($D$7="Fusion",'Indicative All 3'!D19,IF('Input Sheet'!$H$2=TRUE,'Indicative All 3'!F19,IF('Input Sheet'!$K$2=TRUE,'Indicative All 3'!H19)))</f>
        <v>3% in Yr1, 1.5% in Yr2 (25% capital repayment allowed from month 7, no ERC after 21 months)</v>
      </c>
      <c r="E19" s="1059"/>
      <c r="F19" s="1059"/>
      <c r="G19" s="1059"/>
      <c r="H19" s="1059"/>
      <c r="I19" s="1060"/>
    </row>
    <row r="20" spans="1:11" x14ac:dyDescent="0.25">
      <c r="A20" s="951" t="s">
        <v>421</v>
      </c>
      <c r="B20" s="952"/>
      <c r="C20" s="106"/>
      <c r="D20" s="1061">
        <f>IF($D$7="Fusion",'Indicative All 3'!D20,IF('Input Sheet'!$H$2=TRUE,'Indicative All 3'!F20,IF('Input Sheet'!$K$2=TRUE,'Indicative All 3'!H20)))</f>
        <v>0</v>
      </c>
      <c r="E20" s="1062"/>
      <c r="F20" s="1062"/>
      <c r="G20" s="1062"/>
      <c r="H20" s="1062"/>
      <c r="I20" s="1063"/>
    </row>
    <row r="21" spans="1:11" ht="20.25" customHeight="1" thickBot="1" x14ac:dyDescent="0.3">
      <c r="A21" s="956" t="s">
        <v>201</v>
      </c>
      <c r="B21" s="952"/>
      <c r="C21" s="106"/>
      <c r="D21" s="1055">
        <f>IF($D$7="Fusion",'Indicative All 3'!D21,IF('Input Sheet'!$H$2=TRUE,'Indicative All 3'!F21,IF('Input Sheet'!$K$2=TRUE,'Indicative All 3'!H21)))</f>
        <v>0</v>
      </c>
      <c r="E21" s="1056"/>
      <c r="F21" s="1056"/>
      <c r="G21" s="1056"/>
      <c r="H21" s="1056"/>
      <c r="I21" s="1057"/>
    </row>
    <row r="22" spans="1:11" x14ac:dyDescent="0.25">
      <c r="A22" s="113"/>
      <c r="B22" s="97"/>
      <c r="C22" s="97"/>
      <c r="D22" s="959"/>
      <c r="E22" s="959"/>
      <c r="F22" s="959"/>
      <c r="G22" s="959"/>
      <c r="H22" s="959"/>
      <c r="I22" s="959"/>
      <c r="J22" s="112"/>
      <c r="K22" s="91"/>
    </row>
    <row r="23" spans="1:11" x14ac:dyDescent="0.25">
      <c r="A23" s="951" t="s">
        <v>73</v>
      </c>
      <c r="B23" s="952"/>
      <c r="C23" s="97"/>
      <c r="D23" s="95" t="str">
        <f>IF('Input Sheet'!$C$39=0, "TBC by the Underwriter", 'Input Sheet'!$C$39)</f>
        <v>TBC by the Underwriter</v>
      </c>
      <c r="E23" s="96"/>
      <c r="F23" s="1004" t="s">
        <v>77</v>
      </c>
      <c r="G23" s="1004"/>
      <c r="H23" s="1004"/>
      <c r="I23" s="1004"/>
      <c r="J23" s="112"/>
      <c r="K23" s="91"/>
    </row>
    <row r="24" spans="1:11" x14ac:dyDescent="0.25">
      <c r="A24" s="951" t="s">
        <v>65</v>
      </c>
      <c r="B24" s="952"/>
      <c r="C24" s="97"/>
      <c r="D24" s="884" t="s">
        <v>66</v>
      </c>
      <c r="E24" s="87"/>
      <c r="F24" s="1001" t="s">
        <v>1335</v>
      </c>
      <c r="G24" s="1001"/>
      <c r="H24" s="1001"/>
      <c r="I24" s="1001"/>
      <c r="J24" s="112"/>
      <c r="K24" s="91"/>
    </row>
    <row r="25" spans="1:11" x14ac:dyDescent="0.25">
      <c r="A25" s="951" t="s">
        <v>67</v>
      </c>
      <c r="B25" s="952"/>
      <c r="C25" s="97"/>
      <c r="D25" s="219" t="s">
        <v>66</v>
      </c>
      <c r="E25" s="87"/>
      <c r="F25" s="1025" t="s">
        <v>68</v>
      </c>
      <c r="G25" s="1025"/>
      <c r="H25" s="1025"/>
      <c r="I25" s="1025"/>
      <c r="J25" s="112"/>
      <c r="K25" s="91"/>
    </row>
    <row r="26" spans="1:11" x14ac:dyDescent="0.25">
      <c r="A26" s="137"/>
      <c r="B26" s="106" t="s">
        <v>105</v>
      </c>
      <c r="C26" s="97"/>
      <c r="D26" s="1005" t="str">
        <f>IF($D$7="Fusion",'Indicative All 3'!D26,IF('Input Sheet'!$H$2=TRUE,'Indicative All 3'!F26,IF('Input Sheet'!$K$2=TRUE,'Indicative All 3'!H26)))</f>
        <v/>
      </c>
      <c r="E26" s="1005"/>
      <c r="F26" s="1005"/>
      <c r="G26" s="1005"/>
      <c r="H26" s="1005"/>
      <c r="I26" s="1005"/>
      <c r="J26" s="112"/>
      <c r="K26" s="91"/>
    </row>
    <row r="27" spans="1:11" ht="18" x14ac:dyDescent="0.25">
      <c r="A27" s="114"/>
      <c r="B27" s="105"/>
      <c r="C27" s="105"/>
      <c r="D27" s="1008" t="s">
        <v>81</v>
      </c>
      <c r="E27" s="1008"/>
      <c r="F27" s="1008"/>
      <c r="G27" s="1008"/>
      <c r="H27" s="1008"/>
      <c r="I27" s="1008"/>
      <c r="J27" s="112"/>
      <c r="K27" s="91"/>
    </row>
    <row r="28" spans="1:11" ht="18" x14ac:dyDescent="0.25">
      <c r="A28" s="115"/>
      <c r="B28" s="105"/>
      <c r="C28" s="105"/>
      <c r="D28" s="1008"/>
      <c r="E28" s="1008"/>
      <c r="F28" s="1008"/>
      <c r="G28" s="1008"/>
      <c r="H28" s="1008"/>
      <c r="I28" s="1008"/>
      <c r="J28" s="112"/>
      <c r="K28" s="91"/>
    </row>
    <row r="29" spans="1:11" ht="18" x14ac:dyDescent="0.25">
      <c r="A29" s="116"/>
      <c r="B29" s="105"/>
      <c r="C29" s="105"/>
      <c r="D29" s="1008"/>
      <c r="E29" s="1008"/>
      <c r="F29" s="1008"/>
      <c r="G29" s="1008"/>
      <c r="H29" s="1008"/>
      <c r="I29" s="1008"/>
      <c r="J29" s="112"/>
      <c r="K29" s="91"/>
    </row>
    <row r="30" spans="1:11" ht="18" x14ac:dyDescent="0.25">
      <c r="A30" s="115"/>
      <c r="B30" s="105"/>
      <c r="C30" s="105"/>
      <c r="D30" s="1008"/>
      <c r="E30" s="1008"/>
      <c r="F30" s="1008"/>
      <c r="G30" s="1008"/>
      <c r="H30" s="1008"/>
      <c r="I30" s="1008"/>
      <c r="J30" s="112"/>
      <c r="K30" s="91"/>
    </row>
    <row r="31" spans="1:11" ht="18.75" thickBot="1" x14ac:dyDescent="0.3">
      <c r="A31" s="117"/>
      <c r="B31" s="105"/>
      <c r="C31" s="105"/>
      <c r="D31" s="1008"/>
      <c r="E31" s="1008"/>
      <c r="F31" s="1008"/>
      <c r="G31" s="1008"/>
      <c r="H31" s="1008"/>
      <c r="I31" s="1008"/>
      <c r="J31" s="118"/>
      <c r="K31" s="91"/>
    </row>
    <row r="32" spans="1:11" ht="18" x14ac:dyDescent="0.25">
      <c r="A32" s="327"/>
      <c r="B32" s="105"/>
      <c r="C32" s="105"/>
      <c r="D32" s="895"/>
      <c r="E32" s="895"/>
      <c r="F32" s="895"/>
      <c r="G32" s="895"/>
      <c r="H32" s="895"/>
      <c r="I32" s="895"/>
      <c r="K32" s="91"/>
    </row>
    <row r="33" spans="1:14" ht="18" x14ac:dyDescent="0.25">
      <c r="A33" s="327"/>
      <c r="B33" s="105"/>
      <c r="C33" s="105"/>
      <c r="D33" s="895"/>
      <c r="E33" s="895"/>
      <c r="F33" s="895"/>
      <c r="G33" s="895"/>
      <c r="H33" s="895"/>
      <c r="I33" s="895"/>
      <c r="K33" s="91"/>
    </row>
    <row r="34" spans="1:14" ht="18" x14ac:dyDescent="0.25">
      <c r="A34" s="327"/>
      <c r="B34" s="105"/>
      <c r="C34" s="105"/>
      <c r="D34" s="895"/>
      <c r="E34" s="895"/>
      <c r="F34" s="895"/>
      <c r="G34" s="895"/>
      <c r="H34" s="895"/>
      <c r="I34" s="895"/>
      <c r="K34" s="91"/>
    </row>
    <row r="35" spans="1:14" ht="23.25" customHeight="1" x14ac:dyDescent="0.25">
      <c r="B35" s="1009" t="s">
        <v>121</v>
      </c>
      <c r="C35" s="1009"/>
      <c r="D35" s="1009"/>
      <c r="E35" s="1009"/>
      <c r="F35" s="1009"/>
      <c r="G35" s="438" t="s">
        <v>1</v>
      </c>
      <c r="H35" s="438" t="s">
        <v>14</v>
      </c>
      <c r="I35" s="438" t="s">
        <v>231</v>
      </c>
      <c r="L35" s="1030" t="s">
        <v>1323</v>
      </c>
      <c r="M35" s="1030"/>
      <c r="N35" s="1030"/>
    </row>
    <row r="36" spans="1:14" ht="23.25" customHeight="1" x14ac:dyDescent="0.25">
      <c r="A36"/>
      <c r="B36" s="955" t="str">
        <f>IF('Multi Property Deal'!$B$4="","",'Multi Property Deal'!$B$4)</f>
        <v/>
      </c>
      <c r="C36" s="955"/>
      <c r="D36" s="955"/>
      <c r="E36" s="955"/>
      <c r="F36" s="955"/>
      <c r="G36" s="440" t="str">
        <f>IF('Multi Property Deal'!$M$4="","",'Multi Property Deal'!$M$4)</f>
        <v/>
      </c>
      <c r="H36" s="439" t="str">
        <f>IF('Multi Property Deal'!$P$4="","",'Multi Property Deal'!$P$4)</f>
        <v/>
      </c>
      <c r="I36" s="332" t="str">
        <f>IF(B36="","",IF(SUM('Multi Property Deal'!$R$4:$R$6)=0,0,SUM('Multi Property Deal'!$R$4:$R$6)))</f>
        <v/>
      </c>
      <c r="L36" s="1030"/>
      <c r="M36" s="1030"/>
      <c r="N36" s="1030"/>
    </row>
    <row r="37" spans="1:14" ht="23.25" customHeight="1" x14ac:dyDescent="0.25">
      <c r="B37" s="955" t="str">
        <f>IF('Multi Property Deal'!$B$7="","",'Multi Property Deal'!$B$7)</f>
        <v/>
      </c>
      <c r="C37" s="955"/>
      <c r="D37" s="955"/>
      <c r="E37" s="955"/>
      <c r="F37" s="955"/>
      <c r="G37" s="440" t="str">
        <f>IF('Multi Property Deal'!$M$7="","",'Multi Property Deal'!$M$7)</f>
        <v/>
      </c>
      <c r="H37" s="439" t="str">
        <f>IF('Multi Property Deal'!$P$7="","",'Multi Property Deal'!$P$7)</f>
        <v/>
      </c>
      <c r="I37" s="332" t="str">
        <f>IF(B37="","",IF(SUM('Multi Property Deal'!$R$7:$R$9)=0,0,SUM('Multi Property Deal'!$R$7:$R$9)))</f>
        <v/>
      </c>
      <c r="L37" s="1030"/>
      <c r="M37" s="1030"/>
      <c r="N37" s="1030"/>
    </row>
    <row r="38" spans="1:14" ht="23.25" customHeight="1" x14ac:dyDescent="0.25">
      <c r="B38" s="955" t="str">
        <f>IF('Multi Property Deal'!$B$10="","",'Multi Property Deal'!$B$10)</f>
        <v/>
      </c>
      <c r="C38" s="955"/>
      <c r="D38" s="955"/>
      <c r="E38" s="955"/>
      <c r="F38" s="955"/>
      <c r="G38" s="440" t="str">
        <f>IF('Multi Property Deal'!$M$10="","",'Multi Property Deal'!$M$10)</f>
        <v/>
      </c>
      <c r="H38" s="439" t="str">
        <f>IF('Multi Property Deal'!$P$10="","",'Multi Property Deal'!$P$10)</f>
        <v/>
      </c>
      <c r="I38" s="332" t="str">
        <f>IF(B38="","",IF(SUM('Multi Property Deal'!$R$10:$R$12)=0,0,SUM('Multi Property Deal'!$R$10:$R$12)))</f>
        <v/>
      </c>
      <c r="L38" s="1030"/>
      <c r="M38" s="1030"/>
      <c r="N38" s="1030"/>
    </row>
    <row r="39" spans="1:14" ht="23.25" customHeight="1" x14ac:dyDescent="0.25">
      <c r="B39" s="955" t="str">
        <f>IF('Multi Property Deal'!$B$13="","",'Multi Property Deal'!$B$13)</f>
        <v/>
      </c>
      <c r="C39" s="955"/>
      <c r="D39" s="955"/>
      <c r="E39" s="955"/>
      <c r="F39" s="955"/>
      <c r="G39" s="440" t="str">
        <f>IF('Multi Property Deal'!$M$13="","",'Multi Property Deal'!$M$13)</f>
        <v/>
      </c>
      <c r="H39" s="439" t="str">
        <f>IF('Multi Property Deal'!$P$13="","",'Multi Property Deal'!$P$13)</f>
        <v/>
      </c>
      <c r="I39" s="332" t="str">
        <f>IF(B39="","",IF(SUM('Multi Property Deal'!$R$13:$R$15)=0,0,SUM('Multi Property Deal'!$R$13:$R$15)))</f>
        <v/>
      </c>
      <c r="L39" s="1030"/>
      <c r="M39" s="1030"/>
      <c r="N39" s="1030"/>
    </row>
    <row r="40" spans="1:14" ht="23.25" customHeight="1" x14ac:dyDescent="0.25">
      <c r="B40" s="955" t="str">
        <f>IF('Multi Property Deal'!$B$16="","",'Multi Property Deal'!$B$16)</f>
        <v/>
      </c>
      <c r="C40" s="955"/>
      <c r="D40" s="955"/>
      <c r="E40" s="955"/>
      <c r="F40" s="955"/>
      <c r="G40" s="440" t="str">
        <f>IF('Multi Property Deal'!$M$16="","",'Multi Property Deal'!$M$16)</f>
        <v/>
      </c>
      <c r="H40" s="439" t="str">
        <f>IF('Multi Property Deal'!$P$16="","",'Multi Property Deal'!$P$16)</f>
        <v/>
      </c>
      <c r="I40" s="332" t="str">
        <f>IF(B40="","",IF(SUM('Multi Property Deal'!$R$16:$R$18)=0,0,SUM('Multi Property Deal'!$R$16:$R$18)))</f>
        <v/>
      </c>
      <c r="L40" s="1030"/>
      <c r="M40" s="1030"/>
      <c r="N40" s="1030"/>
    </row>
    <row r="41" spans="1:14" ht="23.25" customHeight="1" x14ac:dyDescent="0.25">
      <c r="B41" s="955" t="str">
        <f>IF('Multi Property Deal'!$B$19="","",'Multi Property Deal'!$B$19)</f>
        <v/>
      </c>
      <c r="C41" s="955"/>
      <c r="D41" s="955"/>
      <c r="E41" s="955"/>
      <c r="F41" s="955"/>
      <c r="G41" s="440" t="str">
        <f>IF('Multi Property Deal'!$M$19="","",'Multi Property Deal'!$M$19)</f>
        <v/>
      </c>
      <c r="H41" s="439" t="str">
        <f>IF('Multi Property Deal'!$P$19="","",'Multi Property Deal'!$P$19)</f>
        <v/>
      </c>
      <c r="I41" s="332" t="str">
        <f>IF(B41="","",IF(SUM('Multi Property Deal'!$R$19:$R$21)=0,0,SUM('Multi Property Deal'!$R$19:$R$21)))</f>
        <v/>
      </c>
      <c r="L41" s="1030"/>
      <c r="M41" s="1030"/>
      <c r="N41" s="1030"/>
    </row>
    <row r="42" spans="1:14" ht="23.25" customHeight="1" x14ac:dyDescent="0.25">
      <c r="B42" s="955" t="str">
        <f>IF('Multi Property Deal'!$B$22="","",'Multi Property Deal'!$B$22)</f>
        <v/>
      </c>
      <c r="C42" s="955"/>
      <c r="D42" s="955"/>
      <c r="E42" s="955"/>
      <c r="F42" s="955"/>
      <c r="G42" s="440" t="str">
        <f>IF('Multi Property Deal'!$M$22="","",'Multi Property Deal'!$M$22)</f>
        <v/>
      </c>
      <c r="H42" s="439" t="str">
        <f>IF('Multi Property Deal'!$P$22="","",'Multi Property Deal'!$P$22)</f>
        <v/>
      </c>
      <c r="I42" s="332" t="str">
        <f>IF(B42="","",IF(SUM('Multi Property Deal'!$R$22:$R$24)=0,0,SUM('Multi Property Deal'!$R$22:$R$24)))</f>
        <v/>
      </c>
      <c r="L42" s="1030"/>
      <c r="M42" s="1030"/>
      <c r="N42" s="1030"/>
    </row>
    <row r="43" spans="1:14" ht="23.25" customHeight="1" x14ac:dyDescent="0.25">
      <c r="B43" s="955" t="str">
        <f>IF('Multi Property Deal'!$B$25="","",'Multi Property Deal'!$B$25)</f>
        <v/>
      </c>
      <c r="C43" s="955"/>
      <c r="D43" s="955"/>
      <c r="E43" s="955"/>
      <c r="F43" s="955"/>
      <c r="G43" s="440" t="str">
        <f>IF('Multi Property Deal'!$M$25="","",'Multi Property Deal'!$M$25)</f>
        <v/>
      </c>
      <c r="H43" s="439" t="str">
        <f>IF('Multi Property Deal'!$P$25="","",'Multi Property Deal'!$P$25)</f>
        <v/>
      </c>
      <c r="I43" s="332" t="str">
        <f>IF(B43="","",IF(SUM('Multi Property Deal'!$R$22:$R$24)=0,0,SUM('Multi Property Deal'!$R$22:$R$24)))</f>
        <v/>
      </c>
      <c r="L43" s="1030"/>
      <c r="M43" s="1030"/>
      <c r="N43" s="1030"/>
    </row>
    <row r="44" spans="1:14" ht="23.25" customHeight="1" x14ac:dyDescent="0.25">
      <c r="B44" s="955" t="str">
        <f>IF('Multi Property Deal'!$B$28="","",'Multi Property Deal'!$B$28)</f>
        <v/>
      </c>
      <c r="C44" s="955"/>
      <c r="D44" s="955"/>
      <c r="E44" s="955"/>
      <c r="F44" s="955"/>
      <c r="G44" s="440" t="str">
        <f>IF('Multi Property Deal'!$M$28="","",'Multi Property Deal'!$M$28)</f>
        <v/>
      </c>
      <c r="H44" s="439" t="str">
        <f>IF('Multi Property Deal'!$P$28="","",'Multi Property Deal'!$P$28)</f>
        <v/>
      </c>
      <c r="I44" s="332" t="str">
        <f>IF(B44="","",IF(SUM('Multi Property Deal'!$R$28:$R$30)=0,0,SUM('Multi Property Deal'!$R$28:$R$30)))</f>
        <v/>
      </c>
      <c r="L44" s="1030"/>
      <c r="M44" s="1030"/>
      <c r="N44" s="1030"/>
    </row>
    <row r="45" spans="1:14" ht="23.25" customHeight="1" x14ac:dyDescent="0.25">
      <c r="B45" s="955" t="str">
        <f>IF('Multi Property Deal'!$B$31="","",'Multi Property Deal'!$B$31)</f>
        <v/>
      </c>
      <c r="C45" s="955"/>
      <c r="D45" s="955"/>
      <c r="E45" s="955"/>
      <c r="F45" s="955"/>
      <c r="G45" s="440" t="str">
        <f>IF('Multi Property Deal'!$M$31="","",'Multi Property Deal'!$M$31)</f>
        <v/>
      </c>
      <c r="H45" s="439" t="str">
        <f>IF('Multi Property Deal'!$P$31="","",'Multi Property Deal'!$P$31)</f>
        <v/>
      </c>
      <c r="I45" s="332" t="str">
        <f>IF(B45="","",IF(SUM('Multi Property Deal'!$R$31:$R$33)=0,0,SUM('Multi Property Deal'!$R$31:$R$33)))</f>
        <v/>
      </c>
      <c r="L45" s="1030"/>
      <c r="M45" s="1030"/>
      <c r="N45" s="1030"/>
    </row>
    <row r="46" spans="1:14" ht="21.75" customHeight="1" x14ac:dyDescent="0.25">
      <c r="B46" s="955" t="str">
        <f>IF('Multi Property Deal'!$B$34="","",'Multi Property Deal'!$B$34)</f>
        <v/>
      </c>
      <c r="C46" s="955"/>
      <c r="D46" s="955"/>
      <c r="E46" s="955"/>
      <c r="F46" s="955"/>
      <c r="G46" s="440" t="str">
        <f>IF('Multi Property Deal'!$M$34="","",'Multi Property Deal'!$M$34)</f>
        <v/>
      </c>
      <c r="H46" s="439" t="str">
        <f>IF('Multi Property Deal'!$P$34="","",'Multi Property Deal'!$P$34)</f>
        <v/>
      </c>
      <c r="I46" s="332" t="str">
        <f>IF(B46="","",IF(SUM('Multi Property Deal'!$R$34:$R$36)=0,0,SUM('Multi Property Deal'!$R$34:$R$36)))</f>
        <v/>
      </c>
      <c r="L46" s="1030"/>
      <c r="M46" s="1030"/>
      <c r="N46" s="1030"/>
    </row>
    <row r="47" spans="1:14" x14ac:dyDescent="0.25">
      <c r="B47" s="1033"/>
      <c r="C47" s="1033"/>
      <c r="D47" s="1033"/>
      <c r="E47" s="1032"/>
      <c r="F47" s="1032"/>
      <c r="G47" s="328"/>
      <c r="H47" s="1032"/>
      <c r="I47" s="1032"/>
      <c r="L47" s="1030"/>
      <c r="M47" s="1030"/>
      <c r="N47" s="1030"/>
    </row>
    <row r="48" spans="1:14" ht="15.75" thickBot="1" x14ac:dyDescent="0.3">
      <c r="B48" s="1033"/>
      <c r="C48" s="1033"/>
      <c r="D48" s="1033"/>
      <c r="E48" s="1032"/>
      <c r="F48" s="1032"/>
      <c r="G48" s="328"/>
      <c r="H48" s="1032"/>
      <c r="I48" s="1032"/>
      <c r="L48" s="1064"/>
      <c r="M48" s="1064"/>
      <c r="N48" s="1064"/>
    </row>
  </sheetData>
  <mergeCells count="62">
    <mergeCell ref="L35:N48"/>
    <mergeCell ref="A1:J1"/>
    <mergeCell ref="D27:I31"/>
    <mergeCell ref="D7:I7"/>
    <mergeCell ref="D8:I8"/>
    <mergeCell ref="D9:I9"/>
    <mergeCell ref="D10:I10"/>
    <mergeCell ref="D26:I26"/>
    <mergeCell ref="D11:I11"/>
    <mergeCell ref="A23:B23"/>
    <mergeCell ref="F23:I23"/>
    <mergeCell ref="A24:B24"/>
    <mergeCell ref="F24:I24"/>
    <mergeCell ref="A25:B25"/>
    <mergeCell ref="F25:I25"/>
    <mergeCell ref="A21:B21"/>
    <mergeCell ref="D22:E22"/>
    <mergeCell ref="F22:G22"/>
    <mergeCell ref="H22:I22"/>
    <mergeCell ref="D21:I21"/>
    <mergeCell ref="A19:B19"/>
    <mergeCell ref="A20:B20"/>
    <mergeCell ref="D19:I19"/>
    <mergeCell ref="D20:I20"/>
    <mergeCell ref="A15:B15"/>
    <mergeCell ref="A16:B16"/>
    <mergeCell ref="D15:I15"/>
    <mergeCell ref="D16:I16"/>
    <mergeCell ref="D18:I18"/>
    <mergeCell ref="D17:I17"/>
    <mergeCell ref="D2:I2"/>
    <mergeCell ref="D4:E4"/>
    <mergeCell ref="D5:I5"/>
    <mergeCell ref="A7:B7"/>
    <mergeCell ref="A11:B11"/>
    <mergeCell ref="A10:B10"/>
    <mergeCell ref="A8:B8"/>
    <mergeCell ref="A9:B9"/>
    <mergeCell ref="A12:B12"/>
    <mergeCell ref="A13:B13"/>
    <mergeCell ref="A14:B14"/>
    <mergeCell ref="D12:I12"/>
    <mergeCell ref="D13:I13"/>
    <mergeCell ref="D14:I14"/>
    <mergeCell ref="B35:F35"/>
    <mergeCell ref="B36:F36"/>
    <mergeCell ref="B37:F37"/>
    <mergeCell ref="B38:F38"/>
    <mergeCell ref="B39:F39"/>
    <mergeCell ref="B40:F40"/>
    <mergeCell ref="B41:F41"/>
    <mergeCell ref="B42:F42"/>
    <mergeCell ref="B43:F43"/>
    <mergeCell ref="B48:D48"/>
    <mergeCell ref="E48:F48"/>
    <mergeCell ref="H48:I48"/>
    <mergeCell ref="B47:D47"/>
    <mergeCell ref="E47:F47"/>
    <mergeCell ref="H47:I47"/>
    <mergeCell ref="B44:F44"/>
    <mergeCell ref="B45:F45"/>
    <mergeCell ref="B46:F46"/>
  </mergeCells>
  <conditionalFormatting sqref="D7">
    <cfRule type="containsText" dxfId="117" priority="17" operator="containsText" text="Fusion">
      <formula>NOT(ISERROR(SEARCH("Fusion",D7)))</formula>
    </cfRule>
  </conditionalFormatting>
  <conditionalFormatting sqref="D7">
    <cfRule type="containsText" dxfId="116" priority="16" operator="containsText" text="Fixed">
      <formula>NOT(ISERROR(SEARCH("Fixed",D7)))</formula>
    </cfRule>
  </conditionalFormatting>
  <conditionalFormatting sqref="D8">
    <cfRule type="expression" dxfId="115" priority="15">
      <formula>$D$7="Fusion"</formula>
    </cfRule>
  </conditionalFormatting>
  <conditionalFormatting sqref="D8">
    <cfRule type="containsText" dxfId="114" priority="14" operator="containsText" text="Fusion">
      <formula>NOT(ISERROR(SEARCH("Fusion",D8)))</formula>
    </cfRule>
  </conditionalFormatting>
  <conditionalFormatting sqref="D8">
    <cfRule type="expression" dxfId="113" priority="12">
      <formula>$D$7="Variable Bridge"</formula>
    </cfRule>
    <cfRule type="expression" dxfId="112" priority="13">
      <formula>$D$7="Fixed Bridge"</formula>
    </cfRule>
  </conditionalFormatting>
  <conditionalFormatting sqref="B47:I48">
    <cfRule type="notContainsBlanks" dxfId="111" priority="11">
      <formula>LEN(TRIM(B47))&gt;0</formula>
    </cfRule>
  </conditionalFormatting>
  <conditionalFormatting sqref="B47:I48">
    <cfRule type="expression" dxfId="110" priority="10">
      <formula>$F$4&lt;&gt;"Multi-Property"</formula>
    </cfRule>
  </conditionalFormatting>
  <conditionalFormatting sqref="B36:I46">
    <cfRule type="notContainsBlanks" dxfId="109" priority="9">
      <formula>LEN(TRIM(B36))&gt;0</formula>
    </cfRule>
  </conditionalFormatting>
  <dataValidations count="1">
    <dataValidation showInputMessage="1" showErrorMessage="1" sqref="A20:A21 A14" xr:uid="{CAAFBFFB-ADA7-40BD-B17E-E1434CB57435}"/>
  </dataValidations>
  <pageMargins left="0" right="0" top="0" bottom="0.74803149606299213" header="0" footer="0"/>
  <pageSetup paperSize="9" scale="90" fitToHeight="0" orientation="portrait" r:id="rId1"/>
  <rowBreaks count="1" manualBreakCount="1">
    <brk id="34" max="9" man="1"/>
  </rowBreaks>
  <ignoredErrors>
    <ignoredError sqref="B5"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9" id="{6C332488-214C-4309-88D8-6F27C5564911}">
            <xm:f>OR('Input Sheet'!$C$35="",'Input Sheet'!$C$35=0)</xm:f>
            <x14:dxf>
              <font>
                <color theme="0"/>
              </font>
            </x14:dxf>
          </x14:cfRule>
          <xm:sqref>A20:B20</xm:sqref>
        </x14:conditionalFormatting>
        <x14:conditionalFormatting xmlns:xm="http://schemas.microsoft.com/office/excel/2006/main">
          <x14:cfRule type="expression" priority="18" id="{8B871B15-B265-4C5B-B574-8725441CD2F6}">
            <xm:f>OR('Input Sheet'!$I$20=0, 'Input Sheet'!$L$20=0)</xm:f>
            <x14:dxf>
              <font>
                <color theme="0"/>
              </font>
            </x14:dxf>
          </x14:cfRule>
          <xm:sqref>A21:B21</xm:sqref>
        </x14:conditionalFormatting>
        <x14:conditionalFormatting xmlns:xm="http://schemas.microsoft.com/office/excel/2006/main">
          <x14:cfRule type="expression" priority="8" id="{C4B1EC27-9367-4CBA-BC5D-F74682D2D069}">
            <xm:f>'Input Sheet'!$C$16="Yes"</xm:f>
            <x14:dxf>
              <font>
                <b/>
                <i val="0"/>
                <color theme="0"/>
              </font>
              <fill>
                <patternFill>
                  <bgColor rgb="FF002060"/>
                </patternFill>
              </fill>
              <border>
                <left style="thin">
                  <color auto="1"/>
                </left>
                <right style="thin">
                  <color auto="1"/>
                </right>
                <top style="thin">
                  <color auto="1"/>
                </top>
                <bottom style="thin">
                  <color auto="1"/>
                </bottom>
              </border>
            </x14:dxf>
          </x14:cfRule>
          <xm:sqref>B35:I35</xm:sqref>
        </x14:conditionalFormatting>
        <x14:conditionalFormatting xmlns:xm="http://schemas.microsoft.com/office/excel/2006/main">
          <x14:cfRule type="expression" priority="7" id="{30FAD8E9-5452-4194-9ED0-B81DD2E88CF7}">
            <xm:f>'Input Sheet'!$C$16&lt;&gt;"Yes"</xm:f>
            <x14:dxf>
              <font>
                <color theme="0"/>
              </font>
              <fill>
                <patternFill>
                  <bgColor theme="0"/>
                </patternFill>
              </fill>
              <border>
                <left/>
                <right/>
                <top/>
                <bottom/>
                <vertical/>
                <horizontal/>
              </border>
            </x14:dxf>
          </x14:cfRule>
          <xm:sqref>B36:I46</xm:sqref>
        </x14:conditionalFormatting>
        <x14:conditionalFormatting xmlns:xm="http://schemas.microsoft.com/office/excel/2006/main">
          <x14:cfRule type="expression" priority="675" id="{BE4D02A3-65F8-42FA-A8DD-94ADDE4C2AE1}">
            <xm:f>OR('Input Sheet'!$Q$6="No",AND('Input Sheet'!$Q$13="NA",'Input Sheet'!$Q$14="NA"))</xm:f>
            <x14:dxf>
              <font>
                <color theme="0"/>
              </font>
              <fill>
                <patternFill>
                  <bgColor theme="0"/>
                </patternFill>
              </fill>
              <border>
                <bottom/>
                <vertical/>
                <horizontal/>
              </border>
            </x14:dxf>
          </x14:cfRule>
          <xm:sqref>A26:I26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1888-9807-4384-8969-5C6BE487ABF7}">
  <sheetPr codeName="Sheet18">
    <tabColor theme="5"/>
    <pageSetUpPr fitToPage="1"/>
  </sheetPr>
  <dimension ref="A1:W163"/>
  <sheetViews>
    <sheetView topLeftCell="A11" zoomScaleNormal="100" zoomScaleSheetLayoutView="85" zoomScalePageLayoutView="85" workbookViewId="0">
      <selection activeCell="B18" sqref="B18:D18"/>
    </sheetView>
  </sheetViews>
  <sheetFormatPr defaultRowHeight="18" x14ac:dyDescent="0.35"/>
  <cols>
    <col min="1" max="1" width="30.5703125" style="72" customWidth="1"/>
    <col min="2" max="2" width="22.42578125" style="72" customWidth="1"/>
    <col min="3" max="3" width="24.28515625" style="72" customWidth="1"/>
    <col min="4" max="4" width="35.5703125" style="72" customWidth="1"/>
    <col min="5" max="5" width="1.28515625" style="587" customWidth="1"/>
    <col min="6" max="6" width="21.28515625" style="553" customWidth="1"/>
    <col min="7" max="7" width="30.5703125" style="72" customWidth="1"/>
    <col min="8" max="8" width="24.7109375" style="72" customWidth="1"/>
    <col min="9" max="9" width="34.28515625" style="553" customWidth="1"/>
    <col min="10" max="10" width="20.7109375" style="553" customWidth="1"/>
    <col min="11" max="11" width="34.28515625" style="553" customWidth="1"/>
    <col min="12" max="12" width="2.5703125" style="72" customWidth="1"/>
    <col min="13" max="13" width="47.140625" style="589" customWidth="1"/>
    <col min="14" max="14" width="43.42578125" style="587" customWidth="1"/>
    <col min="15" max="15" width="63.7109375" style="72" customWidth="1"/>
    <col min="16" max="16" width="40.140625" style="72" customWidth="1"/>
    <col min="17" max="17" width="16.28515625" style="72" customWidth="1"/>
    <col min="18" max="19" width="9.140625" style="72" customWidth="1"/>
    <col min="20" max="16384" width="9.140625" style="72"/>
  </cols>
  <sheetData>
    <row r="1" spans="1:23" ht="35.25" customHeight="1" thickBot="1" x14ac:dyDescent="0.4">
      <c r="A1" s="493" t="s">
        <v>407</v>
      </c>
      <c r="B1"/>
      <c r="C1"/>
      <c r="D1"/>
      <c r="E1"/>
      <c r="F1" s="622"/>
      <c r="G1" s="622"/>
      <c r="H1" s="91"/>
      <c r="I1" s="622"/>
      <c r="J1" s="622"/>
      <c r="K1" s="509"/>
      <c r="L1" s="509"/>
      <c r="M1" s="509"/>
      <c r="N1" s="509"/>
      <c r="O1"/>
      <c r="P1"/>
      <c r="Q1"/>
      <c r="R1"/>
      <c r="S1"/>
    </row>
    <row r="2" spans="1:23" ht="30.75" customHeight="1" thickBot="1" x14ac:dyDescent="0.4">
      <c r="A2" s="1074" t="s">
        <v>261</v>
      </c>
      <c r="B2" s="1074"/>
      <c r="C2" s="1074"/>
      <c r="D2" s="1074"/>
      <c r="E2" s="495"/>
      <c r="F2" s="496" t="s">
        <v>262</v>
      </c>
      <c r="G2" s="633" t="s">
        <v>166</v>
      </c>
      <c r="H2" s="634">
        <f>'Input Sheet'!C12</f>
        <v>0</v>
      </c>
      <c r="I2" s="508"/>
      <c r="J2" s="508"/>
      <c r="K2" s="509"/>
      <c r="L2" s="509"/>
      <c r="M2" s="509"/>
      <c r="N2" s="509"/>
      <c r="O2"/>
      <c r="P2"/>
      <c r="Q2"/>
      <c r="R2"/>
      <c r="S2"/>
    </row>
    <row r="3" spans="1:23" x14ac:dyDescent="0.35">
      <c r="A3" s="1075"/>
      <c r="B3" s="1075"/>
      <c r="C3" s="1075"/>
      <c r="D3" s="1075"/>
      <c r="E3" s="498"/>
      <c r="F3" s="631" t="s">
        <v>263</v>
      </c>
      <c r="G3" s="644" t="s">
        <v>264</v>
      </c>
      <c r="H3" s="645" t="s">
        <v>265</v>
      </c>
      <c r="I3" s="642" t="s">
        <v>266</v>
      </c>
      <c r="J3" s="638" t="s">
        <v>267</v>
      </c>
      <c r="K3" s="509"/>
      <c r="L3" s="509"/>
      <c r="M3" s="509"/>
      <c r="N3" s="509"/>
      <c r="O3"/>
      <c r="P3"/>
      <c r="Q3"/>
      <c r="R3"/>
      <c r="S3"/>
    </row>
    <row r="4" spans="1:23" s="504" customFormat="1" ht="18" customHeight="1" x14ac:dyDescent="0.2">
      <c r="A4" s="499" t="s">
        <v>268</v>
      </c>
      <c r="B4" s="1076">
        <f ca="1">IF(H4="",J4,H4)</f>
        <v>45989</v>
      </c>
      <c r="C4" s="1076"/>
      <c r="D4" s="1076"/>
      <c r="E4" s="500"/>
      <c r="F4" s="501" t="s">
        <v>269</v>
      </c>
      <c r="G4" s="1077" t="s">
        <v>270</v>
      </c>
      <c r="H4" s="635"/>
      <c r="I4" s="632" t="s">
        <v>271</v>
      </c>
      <c r="J4" s="640">
        <f ca="1">IF(H4="",TODAY(),H4)</f>
        <v>45989</v>
      </c>
      <c r="K4" s="509"/>
      <c r="L4" s="509"/>
      <c r="M4" s="509"/>
      <c r="N4" s="509"/>
      <c r="O4" s="503"/>
      <c r="P4" s="503"/>
      <c r="Q4" s="503"/>
      <c r="R4" s="503"/>
      <c r="S4" s="503"/>
    </row>
    <row r="5" spans="1:23" s="504" customFormat="1" ht="18" customHeight="1" x14ac:dyDescent="0.25">
      <c r="A5" s="499" t="s">
        <v>272</v>
      </c>
      <c r="B5" s="1080" t="str">
        <f>IF(H2="Personal",IF(H5="",'Input Sheet'!C8,H5),(IF(H5="",'Input Sheet'!C8,H5)&amp;" (Company No: "&amp;J5&amp;")"))</f>
        <v>xxxxx (Company No: XXXXXXXXX)</v>
      </c>
      <c r="C5" s="1080"/>
      <c r="D5" s="1080"/>
      <c r="E5" s="505"/>
      <c r="F5" s="501" t="s">
        <v>269</v>
      </c>
      <c r="G5" s="1078"/>
      <c r="H5" s="636"/>
      <c r="I5" s="632" t="s">
        <v>424</v>
      </c>
      <c r="J5" s="662" t="s">
        <v>425</v>
      </c>
      <c r="K5" s="509"/>
      <c r="L5" s="509"/>
      <c r="M5" s="509"/>
      <c r="N5" s="509"/>
      <c r="O5" s="503"/>
      <c r="P5" s="503"/>
      <c r="Q5" s="503"/>
      <c r="R5" s="503"/>
      <c r="S5" s="503"/>
    </row>
    <row r="6" spans="1:23" s="504" customFormat="1" ht="26.25" customHeight="1" thickBot="1" x14ac:dyDescent="0.3">
      <c r="A6" s="679" t="s">
        <v>273</v>
      </c>
      <c r="B6" s="1068" t="str">
        <f>IF('Input Sheet'!$C$16="Yes",DIP!$K$6,IF(H6="",'Input Sheet'!$C$9,DIP!$H$6))</f>
        <v>xxxxx</v>
      </c>
      <c r="C6" s="1068"/>
      <c r="D6" s="557" t="str">
        <f>IF('Input Sheet'!$C$16="Yes",DIP!$M$6,"Title No: "&amp;DIP!$J$6)</f>
        <v>Title No: XXXXXXXXX</v>
      </c>
      <c r="E6" s="505"/>
      <c r="F6" s="667" t="s">
        <v>440</v>
      </c>
      <c r="G6" s="1079"/>
      <c r="H6" s="655"/>
      <c r="I6" s="643" t="s">
        <v>426</v>
      </c>
      <c r="J6" s="662" t="s">
        <v>425</v>
      </c>
      <c r="K6" s="663" t="str">
        <f>_xlfn.TEXTJOIN("
",TRUE,"Address:",'Multi Property Deal'!B4:D6,'Multi Property Deal'!B7:D9,'Multi Property Deal'!B10:D12,'Multi Property Deal'!B13:D15,'Multi Property Deal'!B16:D18,'Multi Property Deal'!B19:D21,'Multi Property Deal'!B22:D24,'Multi Property Deal'!B25:D27,'Multi Property Deal'!B28:D30,'Multi Property Deal'!B31:D33,'Multi Property Deal'!B34:D36,'Multi Property Deal'!B37:D39,'Multi Property Deal'!B40:D42,'Multi Property Deal'!B43:D45,'Multi Property Deal'!B46:D48,'Multi Property Deal'!B49:D51,'Multi Property Deal'!B52:D54,'Multi Property Deal'!B55:D57,'Multi Property Deal'!B58:D60,'Multi Property Deal'!B61:D63)</f>
        <v>Address:</v>
      </c>
      <c r="L6" s="664"/>
      <c r="M6" s="663" t="str">
        <f>_xlfn.TEXTJOIN("
",TRUE,"Title No:",'Multi Property Deal'!F4:F6,'Multi Property Deal'!F7:F9,'Multi Property Deal'!F10:F12,'Multi Property Deal'!F13:F15,'Multi Property Deal'!F16:F18,'Multi Property Deal'!F19:F21,'Multi Property Deal'!F22:F24,'Multi Property Deal'!F25:F27,'Multi Property Deal'!F28:F30,'Multi Property Deal'!F31:F33,'Multi Property Deal'!F34:F36,'Multi Property Deal'!F37:F39,'Multi Property Deal'!F40:F42,'Multi Property Deal'!F43:F45,'Multi Property Deal'!F46:F48,'Multi Property Deal'!F49:F51,'Multi Property Deal'!F52:F54,'Multi Property Deal'!F55:F57,'Multi Property Deal'!F58:F60,'Multi Property Deal'!F61:F63)</f>
        <v>Title No:</v>
      </c>
      <c r="N6" s="509"/>
      <c r="O6" s="503"/>
      <c r="P6" s="503"/>
      <c r="Q6" s="503"/>
      <c r="R6" s="503"/>
      <c r="S6" s="503"/>
    </row>
    <row r="7" spans="1:23" s="504" customFormat="1" ht="23.25" customHeight="1" x14ac:dyDescent="0.25">
      <c r="A7" s="678" t="s">
        <v>443</v>
      </c>
      <c r="B7" s="1066">
        <f>'Input Sheet'!$C$28</f>
        <v>0</v>
      </c>
      <c r="C7" s="1066"/>
      <c r="D7" s="1066"/>
      <c r="E7" s="505"/>
      <c r="F7" s="667"/>
      <c r="G7" s="674"/>
      <c r="H7" s="675"/>
      <c r="I7" s="676"/>
      <c r="J7" s="677"/>
      <c r="K7" s="665"/>
      <c r="L7" s="666"/>
      <c r="M7" s="665"/>
      <c r="N7" s="502"/>
      <c r="O7" s="503"/>
      <c r="P7" s="503"/>
      <c r="Q7" s="503"/>
      <c r="R7" s="503"/>
      <c r="S7" s="503"/>
    </row>
    <row r="8" spans="1:23" ht="184.5" customHeight="1" x14ac:dyDescent="0.35">
      <c r="A8" s="1085" t="s">
        <v>274</v>
      </c>
      <c r="B8" s="1085"/>
      <c r="C8" s="1085"/>
      <c r="D8" s="1085"/>
      <c r="E8" s="507"/>
      <c r="F8" s="508"/>
      <c r="G8" s="508"/>
      <c r="H8" s="508"/>
      <c r="I8" s="509"/>
      <c r="J8" s="509"/>
      <c r="K8" s="509"/>
      <c r="L8" s="509"/>
      <c r="M8" s="509"/>
      <c r="N8" s="509"/>
      <c r="O8"/>
      <c r="P8"/>
      <c r="Q8"/>
      <c r="R8"/>
      <c r="S8"/>
    </row>
    <row r="9" spans="1:23" ht="24" customHeight="1" x14ac:dyDescent="0.35">
      <c r="A9" s="1086" t="s">
        <v>275</v>
      </c>
      <c r="B9" s="1086"/>
      <c r="C9" s="1086"/>
      <c r="D9" s="1086"/>
      <c r="E9" s="511"/>
      <c r="F9" s="1081" t="s">
        <v>276</v>
      </c>
      <c r="G9" s="1081"/>
      <c r="H9" s="1081"/>
      <c r="I9" s="1081"/>
      <c r="J9" s="1081"/>
      <c r="K9" s="509"/>
      <c r="L9" s="509"/>
      <c r="M9" s="509"/>
      <c r="N9" s="91"/>
      <c r="O9"/>
      <c r="P9"/>
      <c r="Q9"/>
      <c r="R9"/>
      <c r="S9"/>
    </row>
    <row r="10" spans="1:23" ht="20.25" customHeight="1" x14ac:dyDescent="0.35">
      <c r="A10" s="533" t="s">
        <v>277</v>
      </c>
      <c r="B10" s="1068" t="str">
        <f>B5</f>
        <v>xxxxx (Company No: XXXXXXXXX)</v>
      </c>
      <c r="C10" s="1068"/>
      <c r="D10" s="1068"/>
      <c r="E10" s="507"/>
      <c r="F10" s="501" t="s">
        <v>269</v>
      </c>
      <c r="G10" s="513"/>
      <c r="H10" s="626"/>
      <c r="I10" s="626"/>
      <c r="J10" s="622"/>
      <c r="K10" s="509"/>
      <c r="L10" s="509"/>
      <c r="M10" s="509"/>
      <c r="N10"/>
      <c r="O10" s="514"/>
      <c r="P10"/>
      <c r="Q10"/>
      <c r="R10"/>
      <c r="S10"/>
    </row>
    <row r="11" spans="1:23" ht="20.25" customHeight="1" x14ac:dyDescent="0.35">
      <c r="A11" s="533" t="s">
        <v>278</v>
      </c>
      <c r="B11" s="1085" t="str">
        <f>"Bridging Loan "  &amp; IF('Input Sheet'!$C$13="Residential", "Residential", H11)&amp;IF(DIP_Selection="Variable"," with floating interest rate (as defined below) "," with fixed interest rate (as defined below)")</f>
        <v>Bridging Loan Semi-Commercial with fixed interest rate (as defined below)</v>
      </c>
      <c r="C11" s="1085"/>
      <c r="D11" s="1085"/>
      <c r="E11" s="507"/>
      <c r="F11" s="501"/>
      <c r="G11" s="513"/>
      <c r="H11" s="629" t="s">
        <v>427</v>
      </c>
      <c r="I11" s="630" t="s">
        <v>418</v>
      </c>
      <c r="J11" s="508"/>
      <c r="K11" s="508"/>
      <c r="L11" s="55"/>
      <c r="M11" s="55"/>
      <c r="N11" s="55"/>
      <c r="O11" s="515"/>
      <c r="P11"/>
      <c r="Q11"/>
      <c r="R11"/>
      <c r="S11"/>
    </row>
    <row r="12" spans="1:23" ht="28.5" customHeight="1" x14ac:dyDescent="0.35">
      <c r="A12" s="535" t="s">
        <v>378</v>
      </c>
      <c r="B12" s="1068" t="str">
        <f>IF(DIP_Selection="Variable",'Input Sheet'!I8,'Input Sheet'!L8)&amp;" Months"</f>
        <v>12 Months</v>
      </c>
      <c r="C12" s="1068"/>
      <c r="D12" s="1068"/>
      <c r="E12" s="507"/>
      <c r="F12" s="501" t="s">
        <v>269</v>
      </c>
      <c r="G12" s="91"/>
      <c r="H12" s="622"/>
      <c r="I12" s="622"/>
      <c r="J12" s="91"/>
      <c r="K12" s="622"/>
      <c r="L12">
        <v>1</v>
      </c>
      <c r="M12" s="534" t="s">
        <v>412</v>
      </c>
      <c r="N12"/>
      <c r="O12"/>
      <c r="P12"/>
      <c r="Q12"/>
      <c r="R12"/>
      <c r="S12"/>
    </row>
    <row r="13" spans="1:23" ht="48" customHeight="1" x14ac:dyDescent="0.35">
      <c r="A13" s="533" t="s">
        <v>413</v>
      </c>
      <c r="B13" s="1105" t="e">
        <f>IF(DIP_Selection="Variable",M13,N13)</f>
        <v>#VALUE!</v>
      </c>
      <c r="C13" s="1068"/>
      <c r="D13" s="1068"/>
      <c r="E13" s="519"/>
      <c r="F13" s="501"/>
      <c r="G13" s="508"/>
      <c r="H13" s="508"/>
      <c r="I13" s="508"/>
      <c r="J13" s="91"/>
      <c r="K13" s="508"/>
      <c r="L13" s="508"/>
      <c r="M13" s="520" t="e">
        <f xml:space="preserve"> "An annual tracker rate equal to "&amp;TEXT(('Input Sheet'!I11-'Input Sheet'!C42)*12, "#.00%")&amp; " + Bank of England Base Rate (BBR) which is equal to a monthly coupon of "&amp; TEXT(('Input Sheet'!I11-'Input Sheet'!C42), "0.00%") &amp;" + BBR. Following any change to BBR, your mortgage rate and monthly payment will be adjusted on the 1st day of the next calendar month. "</f>
        <v>#VALUE!</v>
      </c>
      <c r="N13" s="520" t="e">
        <f>"An annual fixed rate equal to "&amp;TEXT(('Input Sheet'!L11)*12,"#.00%")&amp;" which is equal to a monthly coupon of " &amp;TEXT(('Input Sheet'!L11),"0.00%")</f>
        <v>#VALUE!</v>
      </c>
      <c r="O13" s="520"/>
      <c r="P13" s="520"/>
      <c r="Q13" s="520"/>
      <c r="R13" s="520"/>
      <c r="S13"/>
      <c r="V13" s="164"/>
      <c r="W13" s="164"/>
    </row>
    <row r="14" spans="1:23" ht="18.75" x14ac:dyDescent="0.35">
      <c r="A14" s="535" t="s">
        <v>280</v>
      </c>
      <c r="B14" s="1082" t="str">
        <f>TEXT(IF(DIP_Selection="Variable",'Input Sheet'!I15,'Input Sheet'!L15), "£#,##0") &amp; " (including the Broker Client Fee, as below)"</f>
        <v>£0 (including the Broker Client Fee, as below)</v>
      </c>
      <c r="C14" s="1082"/>
      <c r="D14" s="1082"/>
      <c r="E14" s="507"/>
      <c r="F14" s="501"/>
      <c r="G14" s="508"/>
      <c r="H14" s="622"/>
      <c r="I14" s="622"/>
      <c r="J14" s="91"/>
      <c r="K14" s="622"/>
      <c r="L14" s="494"/>
      <c r="M14" s="523"/>
      <c r="N14"/>
      <c r="O14"/>
      <c r="P14"/>
      <c r="Q14"/>
      <c r="R14"/>
      <c r="S14"/>
    </row>
    <row r="15" spans="1:23" ht="45" customHeight="1" x14ac:dyDescent="0.35">
      <c r="A15" s="615" t="s">
        <v>377</v>
      </c>
      <c r="B15" s="1085" cm="1">
        <f t="array" ref="B15">_xlfn.IFS('Input Sheet'!$P$2="Fusion",DIP!I15,'Input Sheet'!$P$2="Variable",DIP!M15,'Input Sheet'!$P$2="Fixed",DIP!N15)</f>
        <v>0</v>
      </c>
      <c r="C15" s="1085"/>
      <c r="D15" s="1085"/>
      <c r="E15" s="507"/>
      <c r="F15" s="501" t="s">
        <v>269</v>
      </c>
      <c r="G15" s="508"/>
      <c r="H15" s="622"/>
      <c r="I15" s="622"/>
      <c r="J15" s="91"/>
      <c r="K15" s="622"/>
      <c r="L15" s="622"/>
      <c r="M15" s="653" t="str">
        <f>TEXT('Input Sheet'!$I$12, "£#,##0") &amp; " (on estimated valuation of " &amp;TEXT('Input Sheet'!$C$28, "£#,##0") &amp; "). The Gross Loan is the total principal owed at the end of the term, and is made up of the Net Loan Amount advanced, and the following:"</f>
        <v>£0 (on estimated valuation of £0). The Gross Loan is the total principal owed at the end of the term, and is made up of the Net Loan Amount advanced, and the following:</v>
      </c>
      <c r="N15" s="653" t="str">
        <f>TEXT('Input Sheet'!$L$12, "£#,##0") &amp; " (on estimated valuation of " &amp;TEXT('Input Sheet'!$C$28, "£#,##0") &amp; "). The Gross Loan is the total principal owed at the end of the term, and is made up of the Net Loan Amount advanced, and the following:"</f>
        <v>£0 (on estimated valuation of £0). The Gross Loan is the total principal owed at the end of the term, and is made up of the Net Loan Amount advanced, and the following:</v>
      </c>
      <c r="O15" s="517"/>
      <c r="P15" s="517"/>
      <c r="Q15" s="517"/>
      <c r="R15" s="517"/>
      <c r="S15" s="517"/>
      <c r="T15" s="518"/>
      <c r="U15" s="518"/>
      <c r="V15" s="518"/>
    </row>
    <row r="16" spans="1:23" ht="18.75" customHeight="1" x14ac:dyDescent="0.35">
      <c r="A16" s="533"/>
      <c r="B16" s="1085" cm="1">
        <f t="array" ref="B16">_xlfn.IFS('Input Sheet'!$P$2="Fusion",DIP!I16,'Input Sheet'!$P$2="Variable",DIP!M16,'Input Sheet'!$P$2="Fixed",DIP!N16)</f>
        <v>0</v>
      </c>
      <c r="C16" s="1085"/>
      <c r="D16" s="1085"/>
      <c r="E16" s="507"/>
      <c r="F16" s="501"/>
      <c r="G16" s="508"/>
      <c r="H16" s="622"/>
      <c r="I16" s="622"/>
      <c r="J16" s="91"/>
      <c r="K16" s="622"/>
      <c r="L16" s="622"/>
      <c r="M16" s="591" t="str">
        <f>"Arrangement Fees: "&amp;TEXT('Input Sheet'!$I$18, "£#,##0")&amp;" (" &amp;TEXT('Input Sheet'!$C$34, "#.00%")&amp;" of the Gross Loan Amount)"</f>
        <v>Arrangement Fees: £0 (.00% of the Gross Loan Amount)</v>
      </c>
      <c r="N16" s="591" t="str">
        <f>"Arrangement Fees: "&amp;TEXT('Input Sheet'!$L$18, "£#,##0")&amp;" (" &amp;TEXT('Input Sheet'!$C$34, "#.00%")&amp;" of the Gross Loan Amount)"</f>
        <v>Arrangement Fees: £0 (.00% of the Gross Loan Amount)</v>
      </c>
      <c r="O16" s="517"/>
      <c r="P16" s="517"/>
      <c r="Q16" s="517"/>
      <c r="R16" s="517"/>
      <c r="S16" s="517"/>
      <c r="T16" s="518"/>
      <c r="U16" s="518"/>
      <c r="V16" s="518"/>
    </row>
    <row r="17" spans="1:23" ht="24.75" customHeight="1" x14ac:dyDescent="0.35">
      <c r="A17" s="615"/>
      <c r="B17" s="1085" cm="1">
        <f t="array" ref="B17">_xlfn.IFS('Input Sheet'!$P$2="Fusion",DIP!I17,'Input Sheet'!$P$2="Variable",DIP!M17,'Input Sheet'!$P$2="Fixed",DIP!N17)</f>
        <v>0</v>
      </c>
      <c r="C17" s="1085"/>
      <c r="D17" s="1085"/>
      <c r="E17" s="507"/>
      <c r="F17" s="501"/>
      <c r="G17" s="508"/>
      <c r="H17" s="622"/>
      <c r="I17" s="622"/>
      <c r="J17" s="91"/>
      <c r="K17" s="622"/>
      <c r="L17" s="622"/>
      <c r="M17" s="560" t="str">
        <f>"Months Interest Rolled Up: "&amp;TEXT('Input Sheet'!$I$7, "#,##0")&amp;" month(s), equivalent to "&amp;TEXT('Input Sheet'!$I$23, "£#,##0")</f>
        <v>Months Interest Rolled Up: 3 month(s), equivalent to £0</v>
      </c>
      <c r="N17" s="560" t="str">
        <f>"Months Interest Rolled Up: "&amp;TEXT('Input Sheet'!$L$7, "#,##0")&amp;" month(s), equivalent to "&amp;TEXT('Input Sheet'!$L$23, "£#,##0")</f>
        <v>Months Interest Rolled Up: 3 month(s), equivalent to £0</v>
      </c>
      <c r="O17" s="517"/>
      <c r="P17" s="517"/>
      <c r="Q17" s="517"/>
      <c r="R17" s="517"/>
      <c r="S17" s="517"/>
      <c r="T17" s="518"/>
      <c r="U17" s="518"/>
      <c r="V17" s="518"/>
    </row>
    <row r="18" spans="1:23" ht="207.75" customHeight="1" x14ac:dyDescent="0.35">
      <c r="A18" s="533" t="s">
        <v>448</v>
      </c>
      <c r="B18" s="1105" t="str">
        <f>IF(DIP_Selection="Variable",M18,N18)</f>
        <v xml:space="preserve">9 monthly payments of £0 will start in month 4 following drawdown of the Loan (following the months of Rolled Up interest), from a valid UK bank account. 
*Monthly rate is rounded to 2 decimal points; however, Interest Rate is calculated on annualised rate. </v>
      </c>
      <c r="C18" s="1068"/>
      <c r="D18" s="1068"/>
      <c r="E18" s="519"/>
      <c r="F18" s="501" t="str">
        <f>IF(H18="Show","← Check","Hide")</f>
        <v>← Check</v>
      </c>
      <c r="G18" s="610" t="str">
        <f>IF(H18="Show","Manually Adjust Row height","Hide if Fully Rolled")</f>
        <v>Manually Adjust Row height</v>
      </c>
      <c r="H18" s="605" t="str">
        <f>IF(AND(DIP_Selection="Variable",'Input Sheet'!I22&lt;1),"Hide",IF(AND(DIP_Selection="Fixed",'Input Sheet'!L22&lt;1),"Hide","Show"))</f>
        <v>Show</v>
      </c>
      <c r="I18" s="617"/>
      <c r="J18" s="91"/>
      <c r="K18" s="617"/>
      <c r="L18" s="617"/>
      <c r="M18" s="520" t="str">
        <f>TEXT('Input Sheet'!I22, "#,##0")&amp;" monthly payments of "&amp;TEXT('Input Sheet'!$I$29, "£#,##0")&amp;" will start in month "&amp;TEXT('Input Sheet'!I7+1, "#,##0")&amp;" following drawdown of the Loan (following the months of Rolled Up interest), from a valid UK bank account. 
*Monthly rate is rounded to 2 decimal points; however, Interest Rate is calculated on annualised rate. "
&amp;O18</f>
        <v>9 monthly payments of £0 will start in month 4 following drawdown of the Loan (following the months of Rolled Up interest), from a valid UK bank account. 
*Monthly rate is rounded to 2 decimal points; however, Interest Rate is calculated on annualised rate. 
Please note, the amount stated to service the interest monthly is as of today’s date &amp; BBR. Any increase in the BBR will require the increased interest cost to be serviced from the 1st day of the next calendar month, regardless of if you are currently in a Rolled Up initial period. Any reduction in BBR will be credited back to you upon redemption. 
IMPORTANT: monthly payments shown in this illustration can be considerably different if a variable rate changes. For example: for every £100,000 borrowed a 0.25% increase in BBR would raise the annual cost by £250. Rates may increase by more than this, or be significantly different on the anticipated Interest Rate so make sure you can afford the monthly payment</v>
      </c>
      <c r="N18" s="680" t="str">
        <f>TEXT('Input Sheet'!$L$22, "#,##0")&amp;" monthly payments of "&amp;TEXT('Input Sheet'!$L$29, "£#,##0")&amp;" will start in month "&amp;TEXT('Input Sheet'!$L$7+1, "#,##0")&amp;" following drawdown of the Loan (following the months of Rolled Up interest), from a valid UK bank account. 
*Monthly rate is rounded to 2 decimal points; however, Interest Rate is calculated on annualised rate. "</f>
        <v xml:space="preserve">9 monthly payments of £0 will start in month 4 following drawdown of the Loan (following the months of Rolled Up interest), from a valid UK bank account. 
*Monthly rate is rounded to 2 decimal points; however, Interest Rate is calculated on annualised rate. </v>
      </c>
      <c r="O18" s="520" t="s">
        <v>449</v>
      </c>
      <c r="P18" s="520"/>
      <c r="Q18" s="520"/>
      <c r="R18" s="520"/>
      <c r="S18"/>
      <c r="V18" s="164"/>
      <c r="W18" s="164"/>
    </row>
    <row r="19" spans="1:23" ht="28.5" customHeight="1" x14ac:dyDescent="0.35">
      <c r="A19" s="533" t="s">
        <v>281</v>
      </c>
      <c r="B19" s="1082" t="str">
        <f>TEXT(IF(DIP_Selection="Variable",'Input Sheet'!I19,'Input Sheet'!L19), "£#,##0") &amp; " (to be deducted from the Arrangement Fee) "</f>
        <v xml:space="preserve">£0 (to be deducted from the Arrangement Fee) </v>
      </c>
      <c r="C19" s="1082"/>
      <c r="D19" s="1082"/>
      <c r="E19" s="507"/>
      <c r="F19" s="501" t="s">
        <v>269</v>
      </c>
      <c r="G19" s="91"/>
      <c r="H19" s="508"/>
      <c r="I19" s="508"/>
      <c r="J19" s="91"/>
      <c r="K19" s="508"/>
      <c r="L19"/>
      <c r="M19" s="534"/>
      <c r="N19"/>
      <c r="O19"/>
      <c r="P19"/>
      <c r="Q19"/>
      <c r="R19"/>
      <c r="S19"/>
    </row>
    <row r="20" spans="1:23" ht="30" customHeight="1" x14ac:dyDescent="0.35">
      <c r="A20" s="512" t="s">
        <v>388</v>
      </c>
      <c r="B20" s="1083" t="str">
        <f>TEXT(IF(DIP_Selection="Variable",'Input Sheet'!$I$20,'Input Sheet'!$L$20), "£#,##0") &amp; " (to be deducted from the Net Loan Amount)."</f>
        <v>£0 (to be deducted from the Net Loan Amount).</v>
      </c>
      <c r="C20" s="1083"/>
      <c r="D20" s="1083"/>
      <c r="E20" s="519"/>
      <c r="F20" s="684" t="s">
        <v>459</v>
      </c>
      <c r="G20" s="595"/>
      <c r="H20" s="508"/>
      <c r="I20" s="508"/>
      <c r="J20" s="508"/>
      <c r="K20" s="508"/>
      <c r="L20" s="494"/>
      <c r="M20" s="521"/>
      <c r="N20"/>
      <c r="O20"/>
      <c r="P20"/>
      <c r="Q20"/>
      <c r="R20"/>
      <c r="S20"/>
    </row>
    <row r="21" spans="1:23" s="530" customFormat="1" ht="25.5" customHeight="1" x14ac:dyDescent="0.35">
      <c r="A21" s="536" t="s">
        <v>414</v>
      </c>
      <c r="B21" s="1084" t="s">
        <v>415</v>
      </c>
      <c r="C21" s="1084"/>
      <c r="D21" s="1084"/>
      <c r="E21" s="525"/>
      <c r="F21" s="537"/>
      <c r="G21" s="538"/>
      <c r="H21" s="538"/>
      <c r="I21" s="538"/>
      <c r="J21" s="538"/>
      <c r="K21" s="538"/>
      <c r="L21" s="539"/>
      <c r="M21" s="540"/>
      <c r="N21" s="527"/>
      <c r="O21" s="527"/>
      <c r="P21" s="527"/>
      <c r="Q21" s="527"/>
      <c r="R21" s="527"/>
      <c r="S21" s="527"/>
    </row>
    <row r="22" spans="1:23" ht="119.25" customHeight="1" x14ac:dyDescent="0.35">
      <c r="A22" s="533" t="s">
        <v>416</v>
      </c>
      <c r="B22" s="1068" t="str">
        <f>M22&amp;N22</f>
        <v>A Commitment Fee (a reasonable estimate of costs for undertaking the process necessary to prepare the Loan for completion) of £0 is to be paid to us or an associated company as directed by us prior to instructing Valuers &amp; Solicitors and is payable on acceptance of this Decision in Principle. The Commitment Fee will be refunded to you by us on completion (drawdown) of the Loan. In circumstances where the Loan is not completed for reasons such as the property failing to meet valuation, the Loan failing to meet current underwriting criteria, you failing to satisfy customer due diligence, non-disclosure by you, misrepresentation by you, or any other matter or issue which, at our discretion deems us unable to proceed with providing you the Loan, the Commitment Fee will not be refunded.  </v>
      </c>
      <c r="C22" s="1068"/>
      <c r="D22" s="1068"/>
      <c r="E22" s="507"/>
      <c r="F22" s="501" t="s">
        <v>269</v>
      </c>
      <c r="G22" s="91"/>
      <c r="H22" s="622"/>
      <c r="I22" s="622"/>
      <c r="J22" s="91"/>
      <c r="K22" s="622"/>
      <c r="L22" s="622"/>
      <c r="M22" s="653" t="str">
        <f>"A Commitment Fee (a reasonable estimate of costs for undertaking the process necessary to prepare the Loan for completion) of "&amp;TEXT('Input Sheet'!C39, "£#,##0")</f>
        <v>A Commitment Fee (a reasonable estimate of costs for undertaking the process necessary to prepare the Loan for completion) of £0</v>
      </c>
      <c r="N22" s="164" t="s">
        <v>433</v>
      </c>
      <c r="O22"/>
      <c r="P22"/>
      <c r="Q22"/>
      <c r="R22"/>
      <c r="S22"/>
    </row>
    <row r="23" spans="1:23" ht="75.75" customHeight="1" x14ac:dyDescent="0.35">
      <c r="A23" s="533" t="s">
        <v>283</v>
      </c>
      <c r="B23" s="1068" t="str">
        <f>IF(('Input Sheet'!$P$2="Variable")*('Input Sheet'!I12&gt;4000000),M23,IF(('Input Sheet'!$P$2="Fixed")*('Input Sheet'!L12&gt;4000000),M23,N23))</f>
        <v xml:space="preserve">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
</v>
      </c>
      <c r="C23" s="1068"/>
      <c r="D23" s="1068"/>
      <c r="E23" s="507"/>
      <c r="F23" s="501" t="s">
        <v>269</v>
      </c>
      <c r="G23" s="91"/>
      <c r="H23" s="646" t="s">
        <v>66</v>
      </c>
      <c r="I23" s="647" t="s">
        <v>284</v>
      </c>
      <c r="J23" s="622"/>
      <c r="K23" s="622"/>
      <c r="L23"/>
      <c r="M23" s="517" t="str">
        <f>"A non-refundable Valuation Fee of "&amp;TEXT(IF(H23="TBC by Underwriters",100,H23),"£#,##")&amp;" is to be paid to us or an associated company as directed by us prior to instructing valuers. "&amp;"This represents the cost incurred by us for arranging the valuation. We may also instruct third party services like National Field Agency for a review of "&amp;"the application and fees incurred in the event of instructing any third party services will be payable by you."</f>
        <v>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v>
      </c>
      <c r="N23" s="517" t="str">
        <f>M23&amp; "
"&amp;O23</f>
        <v xml:space="preserve">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
</v>
      </c>
      <c r="O23" s="517"/>
      <c r="P23" s="517"/>
      <c r="Q23" s="517"/>
      <c r="R23" s="517"/>
      <c r="S23"/>
    </row>
    <row r="24" spans="1:23" ht="24.75" customHeight="1" x14ac:dyDescent="0.35">
      <c r="A24" s="533" t="s">
        <v>285</v>
      </c>
      <c r="B24" s="1068" t="s">
        <v>457</v>
      </c>
      <c r="C24" s="1068"/>
      <c r="D24" s="1068"/>
      <c r="E24" s="507"/>
      <c r="F24" s="541" t="s">
        <v>286</v>
      </c>
      <c r="G24" s="91"/>
      <c r="H24" s="622"/>
      <c r="I24" s="622"/>
      <c r="J24" s="91"/>
      <c r="K24" s="622"/>
      <c r="L24" s="91"/>
      <c r="M24" s="549"/>
      <c r="N24"/>
      <c r="O24"/>
      <c r="P24"/>
      <c r="Q24"/>
      <c r="R24"/>
      <c r="S24"/>
    </row>
    <row r="25" spans="1:23" s="530" customFormat="1" ht="31.5" customHeight="1" x14ac:dyDescent="0.35">
      <c r="A25" s="535" t="s">
        <v>392</v>
      </c>
      <c r="B25" s="1068" t="str">
        <f>TEXT(IF(DIP_Selection="Variable",'Input Sheet'!Q13,'Input Sheet'!Q14),"£#,##0.00")&amp;" (made up of 0.13% of the Gross Loan amount, subject to a minimum amount of £350 plus Insurance Premium Tax, currently 12% of premium).  Deducted from the Net Loan Amount at completion."</f>
        <v xml:space="preserve"> (made up of 0.13% of the Gross Loan amount, subject to a minimum amount of £350 plus Insurance Premium Tax, currently 12% of premium).  Deducted from the Net Loan Amount at completion.</v>
      </c>
      <c r="C25" s="1068"/>
      <c r="D25" s="1068"/>
      <c r="E25" s="525"/>
      <c r="F25" s="542" t="s">
        <v>410</v>
      </c>
      <c r="G25" s="681" t="s">
        <v>430</v>
      </c>
      <c r="H25" s="508"/>
      <c r="I25" s="508"/>
      <c r="J25" s="91"/>
      <c r="K25" s="622"/>
      <c r="L25" s="622"/>
      <c r="M25" s="543" t="s">
        <v>408</v>
      </c>
      <c r="N25" s="527"/>
      <c r="O25" s="527"/>
      <c r="P25" s="527"/>
      <c r="Q25" s="527"/>
      <c r="R25" s="527"/>
      <c r="S25" s="527"/>
    </row>
    <row r="26" spans="1:23" s="547" customFormat="1" ht="108.75" customHeight="1" x14ac:dyDescent="0.25">
      <c r="A26" s="533" t="s">
        <v>289</v>
      </c>
      <c r="B26" s="1084" t="s">
        <v>436</v>
      </c>
      <c r="C26" s="1084"/>
      <c r="D26" s="1084"/>
      <c r="E26" s="545"/>
      <c r="F26" s="671" t="s">
        <v>441</v>
      </c>
      <c r="G26" s="683" t="s">
        <v>458</v>
      </c>
      <c r="H26" s="656"/>
      <c r="I26" s="657"/>
      <c r="J26" s="614"/>
      <c r="K26" s="91"/>
      <c r="L26" s="625"/>
      <c r="M26" s="658"/>
      <c r="N26" s="658"/>
      <c r="O26" s="625"/>
      <c r="P26" s="625"/>
      <c r="Q26" s="625"/>
      <c r="R26" s="528"/>
      <c r="S26" s="528"/>
    </row>
    <row r="27" spans="1:23" s="547" customFormat="1" ht="33.75" customHeight="1" x14ac:dyDescent="0.25">
      <c r="A27" s="533" t="s">
        <v>417</v>
      </c>
      <c r="B27" s="1068" t="str">
        <f>"A personal guarantee from "&amp;H27&amp;" for the repayment of the Gross Loan Amount plus all interest, default interest and costs and expenses."</f>
        <v>A personal guarantee from xxxxxxxxxxx for the repayment of the Gross Loan Amount plus all interest, default interest and costs and expenses.</v>
      </c>
      <c r="C27" s="1068"/>
      <c r="D27" s="1068"/>
      <c r="E27" s="545"/>
      <c r="F27" s="542" t="s">
        <v>410</v>
      </c>
      <c r="G27" s="681" t="s">
        <v>429</v>
      </c>
      <c r="H27" s="646" t="s">
        <v>290</v>
      </c>
      <c r="I27" s="647" t="s">
        <v>428</v>
      </c>
      <c r="J27" s="622"/>
      <c r="K27" s="622"/>
      <c r="L27" s="91"/>
      <c r="M27" s="607"/>
      <c r="N27" s="528"/>
      <c r="O27" s="528"/>
      <c r="P27" s="528"/>
      <c r="Q27" s="528"/>
      <c r="R27" s="528"/>
      <c r="S27" s="528"/>
    </row>
    <row r="28" spans="1:23" s="547" customFormat="1" ht="22.5" customHeight="1" x14ac:dyDescent="0.25">
      <c r="A28" s="533" t="s">
        <v>291</v>
      </c>
      <c r="B28" s="1068" t="str">
        <f>"Loan to Value must not exceed " &amp; TEXT(ROUNDUP(IF(DIP_Selection="Variable",'Input Sheet'!$I$13,'Input Sheet'!$L$13), 2), "0%") &amp; "."</f>
        <v>Loan to Value must not exceed 0%.</v>
      </c>
      <c r="C28" s="1068"/>
      <c r="D28" s="1068"/>
      <c r="E28" s="545"/>
      <c r="F28" s="501"/>
      <c r="G28" s="546"/>
      <c r="H28" s="648"/>
      <c r="I28" s="622"/>
      <c r="J28" s="508"/>
      <c r="K28" s="508"/>
      <c r="L28" s="91"/>
      <c r="M28" s="548"/>
      <c r="N28" s="528"/>
      <c r="O28" s="528"/>
      <c r="P28" s="528"/>
      <c r="Q28" s="528"/>
      <c r="R28" s="528"/>
      <c r="S28" s="528"/>
    </row>
    <row r="29" spans="1:23" s="547" customFormat="1" ht="22.5" customHeight="1" x14ac:dyDescent="0.25">
      <c r="A29" s="533"/>
      <c r="B29" s="506"/>
      <c r="C29" s="506"/>
      <c r="D29" s="506"/>
      <c r="E29" s="545"/>
      <c r="F29" s="501"/>
      <c r="G29" s="546"/>
      <c r="H29" s="648"/>
      <c r="I29" s="508"/>
      <c r="J29" s="617"/>
      <c r="K29" s="617"/>
      <c r="L29" s="91"/>
      <c r="M29" s="548"/>
      <c r="N29" s="528"/>
      <c r="O29" s="528"/>
      <c r="P29" s="528"/>
      <c r="Q29" s="528"/>
      <c r="R29" s="528"/>
      <c r="S29" s="528"/>
    </row>
    <row r="30" spans="1:23" s="547" customFormat="1" ht="22.5" customHeight="1" x14ac:dyDescent="0.25">
      <c r="A30" s="533"/>
      <c r="B30" s="506"/>
      <c r="C30" s="506"/>
      <c r="D30" s="506"/>
      <c r="E30" s="545"/>
      <c r="F30" s="501"/>
      <c r="G30" s="546"/>
      <c r="H30" s="648"/>
      <c r="I30" s="617"/>
      <c r="J30" s="617"/>
      <c r="K30" s="622"/>
      <c r="L30" s="622"/>
      <c r="M30" s="548"/>
      <c r="N30" s="528"/>
      <c r="O30" s="528"/>
      <c r="P30" s="528"/>
      <c r="Q30" s="528"/>
      <c r="R30" s="528"/>
      <c r="S30" s="528"/>
    </row>
    <row r="31" spans="1:23" s="547" customFormat="1" ht="22.5" customHeight="1" x14ac:dyDescent="0.25">
      <c r="A31" s="533"/>
      <c r="B31" s="506"/>
      <c r="C31" s="506"/>
      <c r="D31" s="506"/>
      <c r="E31" s="545"/>
      <c r="F31" s="501"/>
      <c r="G31" s="546"/>
      <c r="H31" s="648"/>
      <c r="I31" s="622"/>
      <c r="J31" s="622"/>
      <c r="K31" s="508"/>
      <c r="L31" s="508"/>
      <c r="M31" s="548"/>
      <c r="N31" s="528"/>
      <c r="O31" s="528"/>
      <c r="P31" s="528"/>
      <c r="Q31" s="528"/>
      <c r="R31" s="528"/>
      <c r="S31" s="528"/>
    </row>
    <row r="32" spans="1:23" s="547" customFormat="1" ht="57" customHeight="1" x14ac:dyDescent="0.25">
      <c r="A32" s="533"/>
      <c r="B32" s="506"/>
      <c r="C32" s="506"/>
      <c r="D32" s="506"/>
      <c r="E32" s="545"/>
      <c r="F32" s="501"/>
      <c r="G32" s="546"/>
      <c r="H32" s="648"/>
      <c r="I32" s="508"/>
      <c r="J32" s="508"/>
      <c r="K32" s="617"/>
      <c r="L32" s="617"/>
      <c r="M32" s="548"/>
      <c r="N32" s="528"/>
      <c r="O32" s="528"/>
      <c r="P32" s="528"/>
      <c r="Q32" s="528"/>
      <c r="R32" s="528"/>
      <c r="S32" s="528"/>
    </row>
    <row r="33" spans="1:19" s="547" customFormat="1" ht="57" customHeight="1" x14ac:dyDescent="0.25">
      <c r="A33" s="533"/>
      <c r="B33" s="506"/>
      <c r="C33" s="506"/>
      <c r="D33" s="506"/>
      <c r="E33" s="545"/>
      <c r="F33" s="501"/>
      <c r="G33" s="546"/>
      <c r="H33" s="648"/>
      <c r="I33" s="622"/>
      <c r="J33" s="622"/>
      <c r="K33" s="91"/>
      <c r="L33" s="622"/>
      <c r="M33" s="548"/>
      <c r="N33" s="528"/>
      <c r="O33" s="528"/>
      <c r="P33" s="528"/>
      <c r="Q33" s="528"/>
      <c r="R33" s="528"/>
      <c r="S33" s="528"/>
    </row>
    <row r="34" spans="1:19" s="547" customFormat="1" ht="57" customHeight="1" x14ac:dyDescent="0.25">
      <c r="A34" s="533"/>
      <c r="B34" s="506"/>
      <c r="C34" s="506"/>
      <c r="D34" s="506"/>
      <c r="E34" s="545"/>
      <c r="F34" s="501"/>
      <c r="G34" s="546"/>
      <c r="H34" s="648"/>
      <c r="I34" s="508"/>
      <c r="J34" s="508"/>
      <c r="K34" s="91"/>
      <c r="L34" s="508"/>
      <c r="M34" s="548"/>
      <c r="N34" s="528"/>
      <c r="O34" s="528"/>
      <c r="P34" s="528"/>
      <c r="Q34" s="528"/>
      <c r="R34" s="528"/>
      <c r="S34" s="528"/>
    </row>
    <row r="35" spans="1:19" s="547" customFormat="1" ht="22.5" customHeight="1" x14ac:dyDescent="0.25">
      <c r="A35" s="533"/>
      <c r="B35" s="506"/>
      <c r="C35" s="506"/>
      <c r="D35" s="506"/>
      <c r="E35" s="545"/>
      <c r="F35" s="501"/>
      <c r="G35" s="546"/>
      <c r="H35" s="648"/>
      <c r="I35" s="617"/>
      <c r="J35" s="617"/>
      <c r="K35" s="91"/>
      <c r="L35" s="617"/>
      <c r="M35" s="548"/>
      <c r="N35" s="528"/>
      <c r="O35" s="528"/>
      <c r="P35" s="528"/>
      <c r="Q35" s="528"/>
      <c r="R35" s="528"/>
      <c r="S35" s="528"/>
    </row>
    <row r="36" spans="1:19" ht="24" customHeight="1" x14ac:dyDescent="0.35">
      <c r="A36" s="1087"/>
      <c r="B36" s="1087"/>
      <c r="C36" s="1087"/>
      <c r="D36" s="1087"/>
      <c r="E36" s="511"/>
      <c r="F36" s="508"/>
      <c r="G36" s="91"/>
      <c r="H36" s="91"/>
      <c r="I36" s="508"/>
      <c r="J36" s="508"/>
      <c r="K36" s="508"/>
      <c r="L36" s="91"/>
      <c r="M36" s="549"/>
      <c r="N36" s="91"/>
      <c r="O36"/>
      <c r="P36"/>
      <c r="Q36"/>
      <c r="R36"/>
      <c r="S36"/>
    </row>
    <row r="37" spans="1:19" ht="4.5" customHeight="1" x14ac:dyDescent="0.35">
      <c r="A37" s="1088"/>
      <c r="B37" s="1088"/>
      <c r="C37" s="1088"/>
      <c r="D37" s="1088"/>
      <c r="E37" s="511"/>
      <c r="F37" s="508"/>
      <c r="G37" s="91"/>
      <c r="H37" s="91"/>
      <c r="I37" s="508"/>
      <c r="J37" s="508"/>
      <c r="K37" s="508"/>
      <c r="L37" s="91"/>
      <c r="M37" s="549"/>
      <c r="N37" s="91"/>
      <c r="O37"/>
      <c r="P37"/>
      <c r="Q37"/>
      <c r="R37"/>
      <c r="S37"/>
    </row>
    <row r="38" spans="1:19" ht="24" customHeight="1" x14ac:dyDescent="0.35">
      <c r="A38" s="1087" t="s">
        <v>292</v>
      </c>
      <c r="B38" s="1087"/>
      <c r="C38" s="1087"/>
      <c r="D38" s="1087"/>
      <c r="E38" s="511"/>
      <c r="F38" s="508"/>
      <c r="G38" s="91"/>
      <c r="H38" s="91"/>
      <c r="I38" s="508"/>
      <c r="J38" s="508"/>
      <c r="K38" s="508"/>
      <c r="L38" s="91"/>
      <c r="M38" s="549"/>
      <c r="N38" s="91"/>
      <c r="O38"/>
      <c r="P38"/>
      <c r="Q38"/>
      <c r="R38"/>
      <c r="S38"/>
    </row>
    <row r="39" spans="1:19" x14ac:dyDescent="0.35">
      <c r="A39" s="1088" t="s">
        <v>293</v>
      </c>
      <c r="B39" s="1088"/>
      <c r="C39" s="1088"/>
      <c r="D39" s="1088"/>
      <c r="E39" s="511"/>
      <c r="F39" s="508"/>
      <c r="G39" s="91"/>
      <c r="H39" s="91"/>
      <c r="I39" s="508"/>
      <c r="J39" s="508"/>
      <c r="K39" s="508"/>
      <c r="L39" s="91"/>
      <c r="M39" s="549"/>
      <c r="N39" s="91"/>
      <c r="O39"/>
      <c r="P39"/>
      <c r="Q39"/>
      <c r="R39"/>
      <c r="S39"/>
    </row>
    <row r="40" spans="1:19" ht="19.5" customHeight="1" x14ac:dyDescent="0.35">
      <c r="A40" s="1068" t="s">
        <v>294</v>
      </c>
      <c r="B40" s="1068"/>
      <c r="C40" s="1068"/>
      <c r="D40" s="1068"/>
      <c r="E40" s="507"/>
      <c r="F40" s="508"/>
      <c r="G40" s="91"/>
      <c r="H40" s="91"/>
      <c r="I40" s="508"/>
      <c r="J40" s="508"/>
      <c r="K40" s="508"/>
      <c r="L40" s="91"/>
      <c r="M40" s="549"/>
      <c r="N40" s="91"/>
      <c r="O40"/>
      <c r="P40"/>
      <c r="Q40"/>
      <c r="R40"/>
      <c r="S40"/>
    </row>
    <row r="41" spans="1:19" ht="18" customHeight="1" thickBot="1" x14ac:dyDescent="0.4">
      <c r="A41" s="1088" t="s">
        <v>394</v>
      </c>
      <c r="B41" s="1088"/>
      <c r="C41" s="1088"/>
      <c r="D41" s="1088"/>
      <c r="E41" s="511"/>
      <c r="F41" s="508"/>
      <c r="G41" s="91"/>
      <c r="H41" s="91"/>
      <c r="I41" s="508"/>
      <c r="J41" s="508"/>
      <c r="K41" s="508"/>
      <c r="L41" s="91"/>
      <c r="M41" s="549"/>
      <c r="N41" s="91"/>
      <c r="O41"/>
      <c r="P41"/>
      <c r="Q41"/>
      <c r="R41"/>
      <c r="S41"/>
    </row>
    <row r="42" spans="1:19" ht="80.25" customHeight="1" thickBot="1" x14ac:dyDescent="0.4">
      <c r="A42" s="1068" t="str">
        <f>M42</f>
        <v xml:space="preserve">Please note that the terms offered are valid for only 14 days from the date of this offer. 
The Loan as per the terms offered within The Summary above must be drawn down on or before 21 Days from the date on which we instruct our solicitors. Failure to complete the drawdown of the Loan on or before 21 Days from the date of which we instruct our solicitors will render the loan offer expired and you will be liable to pay our costs incurred including our solicitors’ abortive legal fees and disbursements. </v>
      </c>
      <c r="B42" s="1068"/>
      <c r="C42" s="1068"/>
      <c r="D42" s="1068"/>
      <c r="E42" s="507"/>
      <c r="F42" s="501"/>
      <c r="G42"/>
      <c r="H42" s="550">
        <f ca="1">B4+14</f>
        <v>46003</v>
      </c>
      <c r="I42" s="628" t="s">
        <v>296</v>
      </c>
      <c r="J42" s="622"/>
      <c r="K42" s="622"/>
      <c r="L42" s="91"/>
      <c r="M42" s="1115" t="s">
        <v>395</v>
      </c>
      <c r="N42" s="1115"/>
      <c r="O42" s="1115"/>
      <c r="P42" s="1115"/>
      <c r="Q42" s="1115"/>
      <c r="R42" s="1115"/>
      <c r="S42"/>
    </row>
    <row r="43" spans="1:19" x14ac:dyDescent="0.35">
      <c r="A43" s="1088" t="s">
        <v>297</v>
      </c>
      <c r="B43" s="1088"/>
      <c r="C43" s="1088"/>
      <c r="D43" s="1088"/>
      <c r="E43" s="511"/>
      <c r="F43" s="508"/>
      <c r="G43" s="91"/>
      <c r="H43" s="91"/>
      <c r="I43" s="508"/>
      <c r="J43" s="508"/>
      <c r="K43" s="508"/>
      <c r="L43" s="91"/>
      <c r="M43" s="549"/>
      <c r="N43" s="91"/>
      <c r="O43"/>
      <c r="P43"/>
      <c r="Q43"/>
      <c r="R43"/>
      <c r="S43"/>
    </row>
    <row r="44" spans="1:19" ht="120" customHeight="1" x14ac:dyDescent="0.35">
      <c r="A44" s="1089" t="s">
        <v>396</v>
      </c>
      <c r="B44" s="1089"/>
      <c r="C44" s="1089"/>
      <c r="D44" s="1089"/>
      <c r="E44" s="507"/>
      <c r="F44" s="508"/>
      <c r="G44" s="91"/>
      <c r="H44" s="91"/>
      <c r="I44" s="508"/>
      <c r="J44" s="508"/>
      <c r="K44" s="508"/>
      <c r="L44" s="91"/>
      <c r="M44" s="549"/>
      <c r="N44" s="91"/>
      <c r="O44"/>
      <c r="P44"/>
      <c r="Q44"/>
      <c r="R44"/>
      <c r="S44"/>
    </row>
    <row r="45" spans="1:19" ht="221.25" customHeight="1" x14ac:dyDescent="0.35">
      <c r="A45" s="1089" t="s">
        <v>434</v>
      </c>
      <c r="B45" s="1089"/>
      <c r="C45" s="1089"/>
      <c r="D45" s="1089"/>
      <c r="E45" s="507"/>
      <c r="F45" s="508"/>
      <c r="G45" s="91"/>
      <c r="H45" s="91"/>
      <c r="I45" s="508"/>
      <c r="J45" s="508"/>
      <c r="K45" s="508"/>
      <c r="L45" s="91"/>
      <c r="M45" s="549"/>
      <c r="N45" s="91"/>
      <c r="O45"/>
      <c r="P45"/>
      <c r="Q45"/>
      <c r="R45"/>
      <c r="S45"/>
    </row>
    <row r="46" spans="1:19" ht="114" customHeight="1" x14ac:dyDescent="0.35">
      <c r="A46" s="1089" t="s">
        <v>1328</v>
      </c>
      <c r="B46" s="1089"/>
      <c r="C46" s="1089"/>
      <c r="D46" s="1089"/>
      <c r="E46" s="507"/>
      <c r="F46" s="508"/>
      <c r="G46" s="91"/>
      <c r="H46" s="91"/>
      <c r="I46" s="508"/>
      <c r="J46" s="508"/>
      <c r="K46" s="508"/>
      <c r="L46" s="91"/>
      <c r="M46" s="549"/>
      <c r="N46" s="91"/>
      <c r="O46"/>
      <c r="P46"/>
      <c r="Q46"/>
      <c r="R46"/>
      <c r="S46"/>
    </row>
    <row r="47" spans="1:19" ht="56.25" customHeight="1" x14ac:dyDescent="0.35">
      <c r="A47" s="1089" t="s">
        <v>435</v>
      </c>
      <c r="B47" s="1089"/>
      <c r="C47" s="1089"/>
      <c r="D47" s="1089"/>
      <c r="E47" s="507"/>
      <c r="F47" s="508"/>
      <c r="G47" s="91"/>
      <c r="H47" s="91"/>
      <c r="I47" s="508"/>
      <c r="J47" s="508"/>
      <c r="K47" s="508"/>
      <c r="L47" s="91"/>
      <c r="M47" s="549"/>
      <c r="N47" s="91"/>
      <c r="O47"/>
      <c r="P47"/>
      <c r="Q47"/>
      <c r="R47"/>
      <c r="S47"/>
    </row>
    <row r="48" spans="1:19" s="553" customFormat="1" ht="25.5" customHeight="1" x14ac:dyDescent="0.25">
      <c r="A48" s="1092" t="s">
        <v>298</v>
      </c>
      <c r="B48" s="1092"/>
      <c r="C48" s="1092"/>
      <c r="D48" s="1092"/>
      <c r="E48" s="551"/>
      <c r="F48" s="508"/>
      <c r="G48" s="552"/>
      <c r="H48" s="552"/>
      <c r="I48" s="552"/>
      <c r="J48" s="552"/>
      <c r="K48" s="552"/>
      <c r="L48" s="508"/>
      <c r="M48" s="510"/>
      <c r="N48" s="508"/>
      <c r="O48" s="494"/>
      <c r="P48" s="494"/>
      <c r="Q48" s="494"/>
      <c r="R48" s="494"/>
      <c r="S48" s="494"/>
    </row>
    <row r="49" spans="1:19" s="553" customFormat="1" ht="74.25" customHeight="1" thickBot="1" x14ac:dyDescent="0.3">
      <c r="A49" s="1068" t="s">
        <v>397</v>
      </c>
      <c r="B49" s="1068"/>
      <c r="C49" s="1068"/>
      <c r="D49" s="1068"/>
      <c r="E49" s="551"/>
      <c r="F49" s="508"/>
      <c r="G49" s="554"/>
      <c r="H49" s="554"/>
      <c r="I49" s="554"/>
      <c r="J49" s="554"/>
      <c r="K49" s="554"/>
      <c r="L49" s="508"/>
      <c r="M49" s="510"/>
      <c r="N49" s="508"/>
      <c r="O49" s="494"/>
      <c r="P49" s="494"/>
      <c r="Q49" s="494"/>
      <c r="R49" s="494"/>
      <c r="S49" s="494"/>
    </row>
    <row r="50" spans="1:19" s="553" customFormat="1" ht="58.5" customHeight="1" x14ac:dyDescent="0.25">
      <c r="A50" s="1068" t="s">
        <v>398</v>
      </c>
      <c r="B50" s="1068"/>
      <c r="C50" s="1068"/>
      <c r="D50" s="1068"/>
      <c r="E50" s="551"/>
      <c r="F50" s="1069" t="s">
        <v>439</v>
      </c>
      <c r="G50" s="623"/>
      <c r="H50" s="1070" t="s">
        <v>108</v>
      </c>
      <c r="I50" s="1071" t="s">
        <v>438</v>
      </c>
      <c r="J50" s="623"/>
      <c r="K50" s="623"/>
      <c r="L50" s="508"/>
      <c r="M50" s="510"/>
      <c r="N50" s="508"/>
      <c r="O50" s="494"/>
      <c r="P50" s="494"/>
      <c r="Q50" s="494"/>
      <c r="R50" s="494"/>
      <c r="S50" s="494"/>
    </row>
    <row r="51" spans="1:19" ht="26.25" customHeight="1" x14ac:dyDescent="0.35">
      <c r="A51" s="1068" t="s">
        <v>399</v>
      </c>
      <c r="B51" s="1068"/>
      <c r="C51" s="1068"/>
      <c r="D51" s="1068"/>
      <c r="E51" s="507"/>
      <c r="F51" s="1069"/>
      <c r="G51" s="91"/>
      <c r="H51" s="1070"/>
      <c r="I51" s="1072"/>
      <c r="J51" s="508"/>
      <c r="K51" s="508"/>
      <c r="L51" s="91"/>
      <c r="M51" s="549"/>
      <c r="N51" s="91"/>
      <c r="O51"/>
      <c r="P51"/>
      <c r="Q51"/>
      <c r="R51"/>
      <c r="S51"/>
    </row>
    <row r="52" spans="1:19" ht="26.25" customHeight="1" thickBot="1" x14ac:dyDescent="0.4">
      <c r="A52" s="1068" t="s">
        <v>452</v>
      </c>
      <c r="B52" s="1068"/>
      <c r="C52" s="1068"/>
      <c r="D52" s="1068"/>
      <c r="E52" s="507"/>
      <c r="F52" s="1069"/>
      <c r="G52" s="91"/>
      <c r="H52" s="1070"/>
      <c r="I52" s="1073"/>
      <c r="J52" s="508"/>
      <c r="K52" s="508"/>
      <c r="L52" s="91"/>
      <c r="M52" s="549"/>
      <c r="N52" s="91"/>
      <c r="O52"/>
      <c r="P52"/>
      <c r="Q52"/>
      <c r="R52"/>
      <c r="S52"/>
    </row>
    <row r="53" spans="1:19" x14ac:dyDescent="0.35">
      <c r="A53" s="555" t="s">
        <v>299</v>
      </c>
      <c r="B53" s="556"/>
      <c r="C53" s="556"/>
      <c r="D53" s="228"/>
      <c r="E53" s="511"/>
      <c r="F53" s="508"/>
      <c r="G53" s="91"/>
      <c r="H53" s="91"/>
      <c r="I53" s="508"/>
      <c r="J53" s="508"/>
      <c r="K53" s="508"/>
      <c r="L53"/>
      <c r="M53" s="497"/>
      <c r="N53" s="91"/>
      <c r="O53"/>
      <c r="P53"/>
      <c r="Q53"/>
      <c r="R53"/>
      <c r="S53"/>
    </row>
    <row r="54" spans="1:19" ht="40.5" customHeight="1" x14ac:dyDescent="0.35">
      <c r="A54" s="1068" t="s">
        <v>300</v>
      </c>
      <c r="B54" s="1068"/>
      <c r="C54" s="1068"/>
      <c r="D54" s="1068"/>
      <c r="E54" s="507"/>
      <c r="F54" s="557"/>
      <c r="G54" s="557"/>
      <c r="H54" s="557"/>
      <c r="I54" s="557"/>
      <c r="J54" s="557"/>
      <c r="K54" s="557"/>
      <c r="L54" s="557"/>
      <c r="M54" s="557"/>
      <c r="N54" s="557"/>
      <c r="O54" s="557"/>
      <c r="P54" s="557"/>
      <c r="Q54"/>
      <c r="R54"/>
      <c r="S54"/>
    </row>
    <row r="55" spans="1:19" ht="57" customHeight="1" x14ac:dyDescent="0.35">
      <c r="A55" s="1068" t="s">
        <v>442</v>
      </c>
      <c r="B55" s="1068"/>
      <c r="C55" s="1068"/>
      <c r="D55" s="1068"/>
      <c r="E55" s="507"/>
      <c r="F55" s="618"/>
      <c r="G55" s="619" t="str">
        <f>H55&amp;I55</f>
        <v>60</v>
      </c>
      <c r="H55" s="620">
        <f>'Input Sheet'!$F$7</f>
        <v>6</v>
      </c>
      <c r="I55" s="621">
        <f>'Input Sheet'!$F$9</f>
        <v>0</v>
      </c>
      <c r="J55" s="622"/>
      <c r="K55" s="622"/>
      <c r="L55" s="91"/>
      <c r="M55" s="557" t="str">
        <f>"You authorise us to deduct (and/or to instruct our solicitor), any Product Fee (which includes the Broker’s Commission as specified in The Summary), Legal Fees and expenses, "&amp;IF('Input Sheet'!Q6="Yes","Title Insurance fee, ","")&amp;IF(G55&gt;0,"any Interest (months of interest rolled and deferred until loan redemption), ","")&amp;N55</f>
        <v>You authorise us to deduct (and/or to instruct our solicitor), any Product Fee (which includes the Broker’s Commission as specified in The Summary), Legal Fees and expenses, any Interest (months of interest rolled and deferred until loan redemption), and any other fees, costs, or expenses payable by you (which have not already been paid), from the Gross Loan Amount upon completion of the Loan.</v>
      </c>
      <c r="N55" s="558" t="s">
        <v>301</v>
      </c>
      <c r="O55" s="557"/>
      <c r="P55" s="557"/>
      <c r="Q55"/>
      <c r="R55"/>
      <c r="S55"/>
    </row>
    <row r="56" spans="1:19" x14ac:dyDescent="0.35">
      <c r="A56" s="1088" t="s">
        <v>302</v>
      </c>
      <c r="B56" s="1088"/>
      <c r="C56" s="1088"/>
      <c r="D56" s="1088"/>
      <c r="E56" s="511"/>
      <c r="F56" s="508"/>
      <c r="G56" s="91"/>
      <c r="H56" s="91"/>
      <c r="I56" s="508"/>
      <c r="J56" s="508"/>
      <c r="K56" s="508"/>
      <c r="L56" s="91"/>
      <c r="M56" s="549"/>
      <c r="N56" s="91"/>
      <c r="O56"/>
      <c r="P56"/>
      <c r="Q56"/>
      <c r="R56"/>
      <c r="S56"/>
    </row>
    <row r="57" spans="1:19" ht="87" customHeight="1" x14ac:dyDescent="0.35">
      <c r="A57" s="1068" t="str">
        <f>M57</f>
        <v xml:space="preserve">Market Financial Solutions or its investors pay a part of the Product Fee to your Introducer/Broker as Broker’s Commission upon drawdown of the Loan, in the amount as specified in The Summary. This means that your Broker/Intermediary may be unable to provide impartial advice about the Loan to you. </v>
      </c>
      <c r="B57" s="1068"/>
      <c r="C57" s="1068"/>
      <c r="D57" s="1068"/>
      <c r="E57" s="507"/>
      <c r="F57" s="501" t="s">
        <v>269</v>
      </c>
      <c r="G57" s="682"/>
      <c r="H57" s="620" t="str">
        <f>IF(AND('Input Sheet'!I20&gt;1,DIP_Selection="Variable"),"Yes",IF(AND('Input Sheet'!L20&gt;1,DIP_Selection="Fixed"),"Yes","No"))</f>
        <v>No</v>
      </c>
      <c r="I57" s="619" t="s">
        <v>437</v>
      </c>
      <c r="J57" s="546"/>
      <c r="K57" s="617"/>
      <c r="L57" s="91"/>
      <c r="M57" s="559" t="str">
        <f>IF(H57="Yes",N57,O57)</f>
        <v xml:space="preserve">Market Financial Solutions or its investors pay a part of the Product Fee to your Introducer/Broker as Broker’s Commission upon drawdown of the Loan, in the amount as specified in The Summary. This means that your Broker/Intermediary may be unable to provide impartial advice about the Loan to you. </v>
      </c>
      <c r="N57" s="560" t="s">
        <v>303</v>
      </c>
      <c r="O57" s="559" t="s">
        <v>304</v>
      </c>
      <c r="P57"/>
      <c r="Q57"/>
      <c r="R57"/>
      <c r="S57"/>
    </row>
    <row r="58" spans="1:19" ht="27" customHeight="1" x14ac:dyDescent="0.35">
      <c r="A58" s="1094" t="s">
        <v>305</v>
      </c>
      <c r="B58" s="1094"/>
      <c r="C58" s="1094"/>
      <c r="D58" s="1094"/>
      <c r="E58" s="511"/>
      <c r="F58" s="508"/>
      <c r="G58" s="91"/>
      <c r="H58" s="91"/>
      <c r="I58" s="508"/>
      <c r="J58" s="508"/>
      <c r="K58" s="508"/>
      <c r="L58" s="91"/>
      <c r="M58" s="549"/>
      <c r="N58" s="91"/>
      <c r="O58"/>
      <c r="P58"/>
      <c r="Q58"/>
      <c r="R58"/>
      <c r="S58"/>
    </row>
    <row r="59" spans="1:19" ht="204.75" customHeight="1" x14ac:dyDescent="0.35">
      <c r="A59" s="1068" t="str">
        <f>IF(DIP_Selection="Variable",_Hlk98754409,N59)</f>
        <v>The standard rate of interest payable on the Gross Loan Amount will be the Interest Rate in The Summary, which is calculated as a flat percentage rate applied monthly. In accordance with the monthly Interest Rate outlined in The Summary the applicable APRC of the loan is within the letter sent to your Introducer/Broker. Please refer to them for the same. Interest that is not deducted at source on completion is to be paid to us on a monthly basis if the Loan is serviceable after the interest retention period (if any), until the Loan Term has expired, at which date the contractual balance outstanding together with any outstanding fees, costs, and expenses (including our Legal Fees for discharge) is repayable in full. Interest payments after the interest retention period (if any) must be made on or before the due date and is payable monthly in advance.   In the event of a default under the terms of the Loan, interest on the Loan outstanding will accrue at the Default Rate, which is 3% per month. Further details are included in the Loan Agreement issued later in the process if the Loan is proceeding.
If the Borrower cannot redeem the loan upon or before the expiry of the Loan Term, there is a provision to extend the loan facility for another 3 months which is strictly contingent upon the Borrower notifying the Lender of their request for the extension in writing at least one month before the expiry of the Loan Term and servicing the monthly interest due in the interim. If the Borrower fails to notify the Lender in writing at least one month before the expiry of the Loan Term or fails to service, the monthly interest due whilst the Gross Loan Amount is outstanding, interest on the Loan outstanding will accrue at the Default Rate, which is 3% per month.</v>
      </c>
      <c r="B59" s="1068"/>
      <c r="C59" s="1068"/>
      <c r="D59" s="1068"/>
      <c r="E59" s="507"/>
      <c r="F59" s="508"/>
      <c r="G59" s="91"/>
      <c r="H59" s="91"/>
      <c r="I59" s="508"/>
      <c r="J59" s="508"/>
      <c r="K59" s="508"/>
      <c r="L59" s="91"/>
      <c r="M59" s="561" t="s">
        <v>454</v>
      </c>
      <c r="N59" s="561" t="s">
        <v>455</v>
      </c>
      <c r="O59" s="562"/>
      <c r="P59"/>
      <c r="Q59"/>
      <c r="R59"/>
      <c r="S59"/>
    </row>
    <row r="60" spans="1:19" ht="22.5" customHeight="1" x14ac:dyDescent="0.35">
      <c r="A60" s="1110" t="s">
        <v>306</v>
      </c>
      <c r="B60" s="1110"/>
      <c r="C60" s="1110"/>
      <c r="D60" s="1110"/>
      <c r="E60" s="511"/>
      <c r="F60" s="508"/>
      <c r="G60" s="91"/>
      <c r="H60" s="91"/>
      <c r="I60" s="508"/>
      <c r="J60" s="508"/>
      <c r="K60" s="508"/>
      <c r="L60" s="91"/>
      <c r="M60" s="549"/>
      <c r="N60" s="91"/>
      <c r="O60"/>
      <c r="P60"/>
      <c r="Q60"/>
      <c r="R60"/>
      <c r="S60"/>
    </row>
    <row r="61" spans="1:19" ht="48.75" customHeight="1" x14ac:dyDescent="0.35">
      <c r="A61" s="1093" t="s">
        <v>1326</v>
      </c>
      <c r="B61" s="1093"/>
      <c r="C61" s="1093"/>
      <c r="D61" s="1093"/>
      <c r="E61" s="507"/>
      <c r="F61" s="611"/>
      <c r="G61" s="91"/>
      <c r="H61" s="91"/>
      <c r="I61" s="508"/>
      <c r="J61" s="508"/>
      <c r="K61" s="508"/>
      <c r="L61" s="91"/>
      <c r="M61" s="549" t="s">
        <v>1326</v>
      </c>
      <c r="N61" s="91"/>
      <c r="O61"/>
      <c r="P61"/>
      <c r="Q61"/>
      <c r="R61"/>
      <c r="S61"/>
    </row>
    <row r="62" spans="1:19" ht="28.5" customHeight="1" x14ac:dyDescent="0.35">
      <c r="A62" s="1092" t="s">
        <v>307</v>
      </c>
      <c r="B62" s="1092"/>
      <c r="C62" s="1092"/>
      <c r="D62" s="1092"/>
      <c r="E62" s="511"/>
      <c r="F62" s="508"/>
      <c r="G62" s="91"/>
      <c r="H62" s="91"/>
      <c r="I62" s="508"/>
      <c r="J62" s="508"/>
      <c r="K62" s="508"/>
      <c r="L62" s="91"/>
      <c r="M62" s="549"/>
      <c r="N62" s="91"/>
      <c r="O62"/>
      <c r="P62"/>
      <c r="Q62"/>
      <c r="R62"/>
      <c r="S62"/>
    </row>
    <row r="63" spans="1:19" ht="93" customHeight="1" x14ac:dyDescent="0.35">
      <c r="A63" s="1068" t="s">
        <v>308</v>
      </c>
      <c r="B63" s="1068"/>
      <c r="C63" s="1068"/>
      <c r="D63" s="1068"/>
      <c r="E63" s="507"/>
      <c r="F63" s="508"/>
      <c r="G63" s="91"/>
      <c r="H63" s="91"/>
      <c r="I63" s="508"/>
      <c r="J63" s="508"/>
      <c r="K63" s="508"/>
      <c r="L63" s="91"/>
      <c r="M63" s="549"/>
      <c r="N63" s="91"/>
      <c r="O63"/>
      <c r="P63"/>
      <c r="Q63"/>
      <c r="R63"/>
      <c r="S63"/>
    </row>
    <row r="64" spans="1:19" ht="26.25" customHeight="1" x14ac:dyDescent="0.35">
      <c r="A64" s="1114" t="s">
        <v>309</v>
      </c>
      <c r="B64" s="1114"/>
      <c r="C64" s="1114"/>
      <c r="D64" s="1114"/>
      <c r="E64" s="511"/>
      <c r="F64" s="508"/>
      <c r="G64" s="91"/>
      <c r="H64" s="91"/>
      <c r="I64" s="508"/>
      <c r="J64" s="508"/>
      <c r="K64" s="508"/>
      <c r="L64" s="91"/>
      <c r="M64" s="549"/>
      <c r="N64" s="91"/>
      <c r="O64"/>
      <c r="P64"/>
      <c r="Q64"/>
      <c r="R64"/>
      <c r="S64"/>
    </row>
    <row r="65" spans="1:19" ht="25.5" customHeight="1" x14ac:dyDescent="0.35">
      <c r="A65" s="1111" t="s">
        <v>310</v>
      </c>
      <c r="B65" s="1112"/>
      <c r="C65" s="1112"/>
      <c r="D65" s="1113"/>
      <c r="E65" s="563"/>
      <c r="F65" s="1067" t="s">
        <v>311</v>
      </c>
      <c r="G65" s="1067"/>
      <c r="H65" s="1067"/>
      <c r="I65" s="1067"/>
      <c r="J65" s="1067"/>
      <c r="K65" s="508"/>
      <c r="L65" s="508"/>
      <c r="M65" s="508"/>
      <c r="N65" s="564"/>
      <c r="O65"/>
      <c r="P65"/>
      <c r="Q65"/>
      <c r="R65"/>
      <c r="S65"/>
    </row>
    <row r="66" spans="1:19" x14ac:dyDescent="0.35">
      <c r="A66" s="1090" t="s">
        <v>80</v>
      </c>
      <c r="B66" s="1091"/>
      <c r="C66" s="1090" t="s">
        <v>312</v>
      </c>
      <c r="D66" s="1091"/>
      <c r="E66" s="565"/>
      <c r="F66" s="566"/>
      <c r="G66"/>
      <c r="H66" s="527"/>
      <c r="I66" s="494"/>
      <c r="J66" s="494"/>
      <c r="K66" s="508"/>
      <c r="L66" s="508"/>
      <c r="M66" s="508"/>
      <c r="N66" s="91"/>
      <c r="O66"/>
      <c r="P66"/>
      <c r="Q66"/>
      <c r="R66"/>
      <c r="S66"/>
    </row>
    <row r="67" spans="1:19" ht="14.25" customHeight="1" x14ac:dyDescent="0.35">
      <c r="A67" s="1095" t="s">
        <v>313</v>
      </c>
      <c r="B67" s="1096"/>
      <c r="C67" s="1097">
        <f t="shared" ref="C67:C88" si="0">H67</f>
        <v>0</v>
      </c>
      <c r="D67" s="1098"/>
      <c r="E67" s="567"/>
      <c r="F67" s="566"/>
      <c r="G67"/>
      <c r="H67" s="568">
        <v>0</v>
      </c>
      <c r="I67" s="494"/>
      <c r="J67" s="494"/>
      <c r="K67" s="508"/>
      <c r="L67" s="508"/>
      <c r="M67" s="508"/>
      <c r="N67" s="91"/>
      <c r="O67"/>
      <c r="P67"/>
      <c r="Q67"/>
      <c r="R67"/>
      <c r="S67"/>
    </row>
    <row r="68" spans="1:19" ht="14.25" customHeight="1" x14ac:dyDescent="0.35">
      <c r="A68" s="1095" t="s">
        <v>314</v>
      </c>
      <c r="B68" s="1096"/>
      <c r="C68" s="1097">
        <f t="shared" si="0"/>
        <v>0</v>
      </c>
      <c r="D68" s="1098"/>
      <c r="E68" s="567"/>
      <c r="F68" s="566"/>
      <c r="G68"/>
      <c r="H68" s="568">
        <v>0</v>
      </c>
      <c r="I68" s="494"/>
      <c r="J68" s="494"/>
      <c r="K68" s="508"/>
      <c r="L68" s="508"/>
      <c r="M68" s="508"/>
      <c r="N68" s="91"/>
      <c r="O68"/>
      <c r="P68"/>
      <c r="Q68"/>
      <c r="R68"/>
      <c r="S68"/>
    </row>
    <row r="69" spans="1:19" ht="14.25" customHeight="1" x14ac:dyDescent="0.35">
      <c r="A69" s="1095" t="s">
        <v>315</v>
      </c>
      <c r="B69" s="1096"/>
      <c r="C69" s="1097">
        <f t="shared" si="0"/>
        <v>250</v>
      </c>
      <c r="D69" s="1098"/>
      <c r="E69" s="567"/>
      <c r="F69" s="566"/>
      <c r="G69"/>
      <c r="H69" s="568">
        <v>250</v>
      </c>
      <c r="I69" s="494"/>
      <c r="J69" s="494"/>
      <c r="K69" s="508"/>
      <c r="L69" s="508"/>
      <c r="M69" s="508"/>
      <c r="N69" s="91"/>
      <c r="O69"/>
      <c r="P69"/>
      <c r="Q69"/>
      <c r="R69"/>
      <c r="S69"/>
    </row>
    <row r="70" spans="1:19" ht="14.25" customHeight="1" x14ac:dyDescent="0.35">
      <c r="A70" s="1095" t="s">
        <v>316</v>
      </c>
      <c r="B70" s="1096"/>
      <c r="C70" s="1097">
        <f t="shared" si="0"/>
        <v>500</v>
      </c>
      <c r="D70" s="1098"/>
      <c r="E70" s="567"/>
      <c r="F70" s="566"/>
      <c r="G70"/>
      <c r="H70" s="568">
        <v>500</v>
      </c>
      <c r="I70" s="494"/>
      <c r="J70" s="494"/>
      <c r="K70" s="508"/>
      <c r="L70" s="508"/>
      <c r="M70" s="508"/>
      <c r="N70" s="91"/>
      <c r="O70"/>
      <c r="P70"/>
      <c r="Q70"/>
      <c r="R70"/>
      <c r="S70"/>
    </row>
    <row r="71" spans="1:19" ht="14.25" customHeight="1" x14ac:dyDescent="0.35">
      <c r="A71" s="1095" t="s">
        <v>317</v>
      </c>
      <c r="B71" s="1096"/>
      <c r="C71" s="1097">
        <f t="shared" si="0"/>
        <v>35</v>
      </c>
      <c r="D71" s="1098"/>
      <c r="E71" s="567"/>
      <c r="F71" s="566"/>
      <c r="G71"/>
      <c r="H71" s="568">
        <v>35</v>
      </c>
      <c r="I71" s="494"/>
      <c r="J71" s="494"/>
      <c r="K71" s="508"/>
      <c r="L71" s="508"/>
      <c r="M71" s="508"/>
      <c r="N71" s="91"/>
      <c r="O71"/>
      <c r="P71"/>
      <c r="Q71"/>
      <c r="R71"/>
      <c r="S71"/>
    </row>
    <row r="72" spans="1:19" ht="14.25" customHeight="1" x14ac:dyDescent="0.35">
      <c r="A72" s="1095" t="s">
        <v>318</v>
      </c>
      <c r="B72" s="1096"/>
      <c r="C72" s="1097">
        <f t="shared" si="0"/>
        <v>55</v>
      </c>
      <c r="D72" s="1098"/>
      <c r="E72" s="567"/>
      <c r="F72" s="566"/>
      <c r="G72"/>
      <c r="H72" s="568">
        <v>55</v>
      </c>
      <c r="I72" s="494"/>
      <c r="J72" s="494"/>
      <c r="K72" s="508"/>
      <c r="L72" s="508"/>
      <c r="M72" s="508"/>
      <c r="N72" s="91"/>
      <c r="O72"/>
      <c r="P72"/>
      <c r="Q72"/>
      <c r="R72"/>
      <c r="S72"/>
    </row>
    <row r="73" spans="1:19" ht="14.25" customHeight="1" x14ac:dyDescent="0.35">
      <c r="A73" s="1095" t="s">
        <v>319</v>
      </c>
      <c r="B73" s="1096"/>
      <c r="C73" s="1097">
        <f t="shared" si="0"/>
        <v>0</v>
      </c>
      <c r="D73" s="1098"/>
      <c r="E73" s="567"/>
      <c r="F73" s="566"/>
      <c r="G73"/>
      <c r="H73" s="568">
        <v>0</v>
      </c>
      <c r="I73" s="494"/>
      <c r="J73" s="494"/>
      <c r="K73" s="508"/>
      <c r="L73" s="508"/>
      <c r="M73" s="508"/>
      <c r="N73" s="91"/>
      <c r="O73"/>
      <c r="P73"/>
      <c r="Q73"/>
      <c r="R73"/>
      <c r="S73"/>
    </row>
    <row r="74" spans="1:19" ht="14.25" customHeight="1" x14ac:dyDescent="0.35">
      <c r="A74" s="1095" t="s">
        <v>320</v>
      </c>
      <c r="B74" s="1096"/>
      <c r="C74" s="1097">
        <f t="shared" si="0"/>
        <v>250</v>
      </c>
      <c r="D74" s="1098"/>
      <c r="E74" s="567"/>
      <c r="F74" s="566"/>
      <c r="G74"/>
      <c r="H74" s="568">
        <v>250</v>
      </c>
      <c r="I74" s="494"/>
      <c r="J74" s="494"/>
      <c r="K74" s="508"/>
      <c r="L74" s="508"/>
      <c r="M74" s="508"/>
      <c r="N74" s="91"/>
      <c r="O74"/>
      <c r="P74"/>
      <c r="Q74"/>
      <c r="R74"/>
      <c r="S74"/>
    </row>
    <row r="75" spans="1:19" ht="14.25" customHeight="1" x14ac:dyDescent="0.35">
      <c r="A75" s="1095" t="s">
        <v>321</v>
      </c>
      <c r="B75" s="1096"/>
      <c r="C75" s="1097">
        <f t="shared" si="0"/>
        <v>75</v>
      </c>
      <c r="D75" s="1098"/>
      <c r="E75" s="567"/>
      <c r="F75" s="566"/>
      <c r="G75"/>
      <c r="H75" s="568">
        <v>75</v>
      </c>
      <c r="I75" s="494"/>
      <c r="J75" s="494"/>
      <c r="K75" s="508"/>
      <c r="L75" s="508"/>
      <c r="M75" s="508"/>
      <c r="N75" s="91"/>
      <c r="O75"/>
      <c r="P75"/>
      <c r="Q75"/>
      <c r="R75"/>
      <c r="S75"/>
    </row>
    <row r="76" spans="1:19" ht="14.25" customHeight="1" x14ac:dyDescent="0.35">
      <c r="A76" s="1095" t="s">
        <v>322</v>
      </c>
      <c r="B76" s="1096"/>
      <c r="C76" s="1097">
        <f t="shared" si="0"/>
        <v>475</v>
      </c>
      <c r="D76" s="1098"/>
      <c r="E76" s="567"/>
      <c r="F76" s="566"/>
      <c r="G76"/>
      <c r="H76" s="568">
        <v>475</v>
      </c>
      <c r="I76" s="494"/>
      <c r="J76" s="494"/>
      <c r="K76" s="508"/>
      <c r="L76" s="508"/>
      <c r="M76" s="508"/>
      <c r="N76" s="91"/>
      <c r="O76"/>
      <c r="P76"/>
      <c r="Q76"/>
      <c r="R76"/>
      <c r="S76"/>
    </row>
    <row r="77" spans="1:19" ht="14.25" customHeight="1" x14ac:dyDescent="0.35">
      <c r="A77" s="1095" t="s">
        <v>323</v>
      </c>
      <c r="B77" s="1096"/>
      <c r="C77" s="1097">
        <f t="shared" si="0"/>
        <v>0</v>
      </c>
      <c r="D77" s="1098"/>
      <c r="E77" s="567"/>
      <c r="F77" s="566"/>
      <c r="G77"/>
      <c r="H77" s="568">
        <v>0</v>
      </c>
      <c r="I77" s="494"/>
      <c r="J77" s="494"/>
      <c r="K77" s="508"/>
      <c r="L77" s="508"/>
      <c r="M77" s="508"/>
      <c r="N77" s="91"/>
      <c r="O77"/>
      <c r="P77"/>
      <c r="Q77"/>
      <c r="R77"/>
      <c r="S77"/>
    </row>
    <row r="78" spans="1:19" ht="14.25" customHeight="1" x14ac:dyDescent="0.35">
      <c r="A78" s="1095" t="s">
        <v>324</v>
      </c>
      <c r="B78" s="1096"/>
      <c r="C78" s="1097">
        <f t="shared" si="0"/>
        <v>250</v>
      </c>
      <c r="D78" s="1098"/>
      <c r="E78" s="567"/>
      <c r="F78" s="566"/>
      <c r="G78"/>
      <c r="H78" s="568">
        <v>250</v>
      </c>
      <c r="I78" s="494"/>
      <c r="J78" s="494"/>
      <c r="K78" s="508"/>
      <c r="L78" s="508"/>
      <c r="M78" s="508"/>
      <c r="N78" s="91"/>
      <c r="O78"/>
      <c r="P78"/>
      <c r="Q78"/>
      <c r="R78"/>
      <c r="S78"/>
    </row>
    <row r="79" spans="1:19" ht="14.25" customHeight="1" x14ac:dyDescent="0.35">
      <c r="A79" s="1095" t="s">
        <v>325</v>
      </c>
      <c r="B79" s="1096"/>
      <c r="C79" s="1097">
        <f t="shared" si="0"/>
        <v>250</v>
      </c>
      <c r="D79" s="1098"/>
      <c r="E79" s="567"/>
      <c r="F79" s="566"/>
      <c r="G79"/>
      <c r="H79" s="568">
        <v>250</v>
      </c>
      <c r="I79" s="494"/>
      <c r="J79" s="494"/>
      <c r="K79" s="508"/>
      <c r="L79" s="508"/>
      <c r="M79" s="508"/>
      <c r="N79" s="91"/>
      <c r="O79"/>
      <c r="P79"/>
      <c r="Q79"/>
      <c r="R79"/>
      <c r="S79"/>
    </row>
    <row r="80" spans="1:19" ht="14.25" customHeight="1" x14ac:dyDescent="0.35">
      <c r="A80" s="1095" t="s">
        <v>326</v>
      </c>
      <c r="B80" s="1096"/>
      <c r="C80" s="1097">
        <f t="shared" si="0"/>
        <v>250</v>
      </c>
      <c r="D80" s="1098"/>
      <c r="E80" s="567"/>
      <c r="F80" s="566"/>
      <c r="G80"/>
      <c r="H80" s="568">
        <v>250</v>
      </c>
      <c r="I80" s="494"/>
      <c r="J80" s="494"/>
      <c r="K80" s="508"/>
      <c r="L80" s="508"/>
      <c r="M80" s="508"/>
      <c r="N80" s="91"/>
      <c r="O80"/>
      <c r="P80"/>
      <c r="Q80"/>
      <c r="R80"/>
      <c r="S80"/>
    </row>
    <row r="81" spans="1:19" ht="14.25" customHeight="1" x14ac:dyDescent="0.35">
      <c r="A81" s="1095" t="s">
        <v>327</v>
      </c>
      <c r="B81" s="1096"/>
      <c r="C81" s="1097">
        <f t="shared" si="0"/>
        <v>75</v>
      </c>
      <c r="D81" s="1098"/>
      <c r="E81" s="567"/>
      <c r="F81" s="566"/>
      <c r="G81"/>
      <c r="H81" s="568">
        <v>75</v>
      </c>
      <c r="I81" s="494"/>
      <c r="J81" s="494"/>
      <c r="K81" s="508"/>
      <c r="L81" s="508"/>
      <c r="M81" s="508"/>
      <c r="N81" s="91"/>
      <c r="O81"/>
      <c r="P81"/>
      <c r="Q81"/>
      <c r="R81"/>
      <c r="S81"/>
    </row>
    <row r="82" spans="1:19" ht="14.25" customHeight="1" x14ac:dyDescent="0.35">
      <c r="A82" s="1095" t="s">
        <v>328</v>
      </c>
      <c r="B82" s="1096"/>
      <c r="C82" s="1097">
        <f t="shared" si="0"/>
        <v>0</v>
      </c>
      <c r="D82" s="1098"/>
      <c r="E82" s="567"/>
      <c r="F82" s="566"/>
      <c r="G82"/>
      <c r="H82" s="568">
        <v>0</v>
      </c>
      <c r="I82" s="494"/>
      <c r="J82" s="494"/>
      <c r="K82" s="508"/>
      <c r="L82" s="508"/>
      <c r="M82" s="508"/>
      <c r="N82" s="91"/>
      <c r="O82"/>
      <c r="P82"/>
      <c r="Q82"/>
      <c r="R82"/>
      <c r="S82"/>
    </row>
    <row r="83" spans="1:19" ht="14.25" customHeight="1" x14ac:dyDescent="0.35">
      <c r="A83" s="1095" t="s">
        <v>329</v>
      </c>
      <c r="B83" s="1096"/>
      <c r="C83" s="1097">
        <f t="shared" si="0"/>
        <v>0</v>
      </c>
      <c r="D83" s="1098"/>
      <c r="E83" s="567"/>
      <c r="F83" s="566"/>
      <c r="G83"/>
      <c r="H83" s="568">
        <v>0</v>
      </c>
      <c r="I83" s="494"/>
      <c r="J83" s="494"/>
      <c r="K83" s="508"/>
      <c r="L83" s="508"/>
      <c r="M83" s="508"/>
      <c r="N83" s="91"/>
      <c r="O83"/>
      <c r="P83"/>
      <c r="Q83"/>
      <c r="R83"/>
      <c r="S83"/>
    </row>
    <row r="84" spans="1:19" ht="14.25" customHeight="1" x14ac:dyDescent="0.35">
      <c r="A84" s="1095" t="s">
        <v>330</v>
      </c>
      <c r="B84" s="1096"/>
      <c r="C84" s="1097">
        <f t="shared" si="0"/>
        <v>0</v>
      </c>
      <c r="D84" s="1098"/>
      <c r="E84" s="567"/>
      <c r="F84" s="566"/>
      <c r="G84"/>
      <c r="H84" s="568">
        <v>0</v>
      </c>
      <c r="I84" s="494"/>
      <c r="J84" s="494"/>
      <c r="K84" s="508"/>
      <c r="L84" s="508"/>
      <c r="M84" s="508"/>
      <c r="N84" s="91"/>
      <c r="O84"/>
      <c r="P84"/>
      <c r="Q84"/>
      <c r="R84"/>
      <c r="S84"/>
    </row>
    <row r="85" spans="1:19" ht="14.25" customHeight="1" x14ac:dyDescent="0.35">
      <c r="A85" s="1095" t="s">
        <v>331</v>
      </c>
      <c r="B85" s="1096"/>
      <c r="C85" s="1097">
        <f t="shared" si="0"/>
        <v>55</v>
      </c>
      <c r="D85" s="1098"/>
      <c r="E85" s="567"/>
      <c r="F85" s="566"/>
      <c r="G85"/>
      <c r="H85" s="568">
        <v>55</v>
      </c>
      <c r="I85" s="494"/>
      <c r="J85" s="494"/>
      <c r="K85" s="508"/>
      <c r="L85" s="508"/>
      <c r="M85" s="508"/>
      <c r="N85" s="91"/>
      <c r="O85"/>
      <c r="P85"/>
      <c r="Q85"/>
      <c r="R85"/>
      <c r="S85"/>
    </row>
    <row r="86" spans="1:19" ht="14.25" customHeight="1" x14ac:dyDescent="0.35">
      <c r="A86" s="1095" t="s">
        <v>332</v>
      </c>
      <c r="B86" s="1096"/>
      <c r="C86" s="1097">
        <f t="shared" si="0"/>
        <v>0</v>
      </c>
      <c r="D86" s="1098"/>
      <c r="E86" s="567"/>
      <c r="F86" s="566"/>
      <c r="G86"/>
      <c r="H86" s="568">
        <v>0</v>
      </c>
      <c r="I86" s="494"/>
      <c r="J86" s="494"/>
      <c r="K86" s="508"/>
      <c r="L86" s="508"/>
      <c r="M86" s="508"/>
      <c r="N86" s="91"/>
      <c r="O86"/>
      <c r="P86"/>
      <c r="Q86"/>
      <c r="R86"/>
      <c r="S86"/>
    </row>
    <row r="87" spans="1:19" ht="14.25" customHeight="1" x14ac:dyDescent="0.35">
      <c r="A87" s="1095" t="s">
        <v>333</v>
      </c>
      <c r="B87" s="1096"/>
      <c r="C87" s="1097">
        <f t="shared" si="0"/>
        <v>0</v>
      </c>
      <c r="D87" s="1098"/>
      <c r="E87" s="567"/>
      <c r="F87" s="566"/>
      <c r="G87"/>
      <c r="H87" s="568">
        <v>0</v>
      </c>
      <c r="I87" s="494"/>
      <c r="J87" s="494"/>
      <c r="K87" s="508"/>
      <c r="L87" s="508"/>
      <c r="M87" s="508"/>
      <c r="N87" s="91"/>
      <c r="O87"/>
      <c r="P87"/>
      <c r="Q87"/>
      <c r="R87"/>
      <c r="S87"/>
    </row>
    <row r="88" spans="1:19" ht="14.25" customHeight="1" x14ac:dyDescent="0.35">
      <c r="A88" s="1095" t="s">
        <v>334</v>
      </c>
      <c r="B88" s="1096"/>
      <c r="C88" s="1097">
        <f t="shared" si="0"/>
        <v>0</v>
      </c>
      <c r="D88" s="1098"/>
      <c r="E88" s="567"/>
      <c r="F88" s="566"/>
      <c r="G88"/>
      <c r="H88" s="568">
        <v>0</v>
      </c>
      <c r="I88" s="494"/>
      <c r="J88" s="494"/>
      <c r="K88" s="508"/>
      <c r="L88" s="508"/>
      <c r="M88" s="508"/>
      <c r="N88" s="91"/>
      <c r="O88"/>
      <c r="P88"/>
      <c r="Q88"/>
      <c r="R88"/>
      <c r="S88"/>
    </row>
    <row r="89" spans="1:19" ht="24" customHeight="1" x14ac:dyDescent="0.35">
      <c r="A89" s="1111" t="s">
        <v>335</v>
      </c>
      <c r="B89" s="1112"/>
      <c r="C89" s="1112"/>
      <c r="D89" s="1113"/>
      <c r="E89" s="563"/>
      <c r="F89" s="566"/>
      <c r="G89"/>
      <c r="H89" s="569"/>
      <c r="I89" s="494"/>
      <c r="J89" s="494"/>
      <c r="K89" s="508"/>
      <c r="L89" s="508"/>
      <c r="M89" s="508"/>
      <c r="N89" s="91"/>
      <c r="O89"/>
      <c r="P89"/>
      <c r="Q89"/>
      <c r="R89"/>
      <c r="S89"/>
    </row>
    <row r="90" spans="1:19" x14ac:dyDescent="0.35">
      <c r="A90" s="1107" t="s">
        <v>80</v>
      </c>
      <c r="B90" s="1108"/>
      <c r="C90" s="1090" t="s">
        <v>312</v>
      </c>
      <c r="D90" s="1091"/>
      <c r="E90" s="565"/>
      <c r="F90" s="566"/>
      <c r="G90"/>
      <c r="H90" s="569"/>
      <c r="I90" s="494"/>
      <c r="J90" s="494"/>
      <c r="K90" s="508"/>
      <c r="L90" s="508"/>
      <c r="M90" s="508"/>
      <c r="N90" s="91"/>
      <c r="O90"/>
      <c r="P90"/>
      <c r="Q90"/>
      <c r="R90"/>
      <c r="S90"/>
    </row>
    <row r="91" spans="1:19" ht="14.25" customHeight="1" x14ac:dyDescent="0.35">
      <c r="A91" s="1099" t="s">
        <v>336</v>
      </c>
      <c r="B91" s="1100"/>
      <c r="C91" s="1097">
        <f t="shared" ref="C91:C106" si="1">H91</f>
        <v>35</v>
      </c>
      <c r="D91" s="1098"/>
      <c r="E91" s="567"/>
      <c r="F91" s="566"/>
      <c r="G91"/>
      <c r="H91" s="568">
        <v>35</v>
      </c>
      <c r="I91" s="494"/>
      <c r="J91" s="494"/>
      <c r="K91" s="508"/>
      <c r="L91" s="508"/>
      <c r="M91" s="508"/>
      <c r="N91" s="91"/>
      <c r="O91"/>
      <c r="P91"/>
      <c r="Q91"/>
      <c r="R91"/>
      <c r="S91"/>
    </row>
    <row r="92" spans="1:19" ht="14.25" customHeight="1" x14ac:dyDescent="0.35">
      <c r="A92" s="1099" t="s">
        <v>337</v>
      </c>
      <c r="B92" s="1100"/>
      <c r="C92" s="1097">
        <f t="shared" si="1"/>
        <v>35</v>
      </c>
      <c r="D92" s="1098"/>
      <c r="E92" s="567"/>
      <c r="F92" s="566"/>
      <c r="G92"/>
      <c r="H92" s="568">
        <v>35</v>
      </c>
      <c r="I92" s="494"/>
      <c r="J92" s="494"/>
      <c r="K92" s="508"/>
      <c r="L92" s="508"/>
      <c r="M92" s="508"/>
      <c r="N92" s="91"/>
      <c r="O92"/>
      <c r="P92"/>
      <c r="Q92"/>
      <c r="R92"/>
      <c r="S92"/>
    </row>
    <row r="93" spans="1:19" ht="14.25" customHeight="1" x14ac:dyDescent="0.35">
      <c r="A93" s="1099" t="s">
        <v>338</v>
      </c>
      <c r="B93" s="1100"/>
      <c r="C93" s="1097">
        <f t="shared" si="1"/>
        <v>100</v>
      </c>
      <c r="D93" s="1098"/>
      <c r="E93" s="567"/>
      <c r="F93" s="566"/>
      <c r="G93"/>
      <c r="H93" s="568">
        <v>100</v>
      </c>
      <c r="I93" s="494"/>
      <c r="J93" s="494"/>
      <c r="K93" s="508"/>
      <c r="L93" s="508"/>
      <c r="M93" s="508"/>
      <c r="N93" s="91"/>
      <c r="O93"/>
      <c r="P93"/>
      <c r="Q93"/>
      <c r="R93"/>
      <c r="S93"/>
    </row>
    <row r="94" spans="1:19" ht="14.25" customHeight="1" x14ac:dyDescent="0.35">
      <c r="A94" s="1099" t="s">
        <v>339</v>
      </c>
      <c r="B94" s="1100"/>
      <c r="C94" s="1097">
        <f t="shared" si="1"/>
        <v>70</v>
      </c>
      <c r="D94" s="1098"/>
      <c r="E94" s="567"/>
      <c r="F94" s="566"/>
      <c r="G94"/>
      <c r="H94" s="568">
        <v>70</v>
      </c>
      <c r="I94" s="494"/>
      <c r="J94" s="494"/>
      <c r="K94" s="508"/>
      <c r="L94" s="508"/>
      <c r="M94" s="508"/>
      <c r="N94" s="91"/>
      <c r="O94"/>
      <c r="P94"/>
      <c r="Q94"/>
      <c r="R94"/>
      <c r="S94"/>
    </row>
    <row r="95" spans="1:19" ht="14.25" customHeight="1" x14ac:dyDescent="0.35">
      <c r="A95" s="1099" t="s">
        <v>340</v>
      </c>
      <c r="B95" s="1100"/>
      <c r="C95" s="1097">
        <f t="shared" si="1"/>
        <v>150</v>
      </c>
      <c r="D95" s="1098"/>
      <c r="E95" s="567"/>
      <c r="F95" s="566"/>
      <c r="G95"/>
      <c r="H95" s="568">
        <v>150</v>
      </c>
      <c r="I95" s="494"/>
      <c r="J95" s="494"/>
      <c r="K95" s="508"/>
      <c r="L95" s="508"/>
      <c r="M95" s="508"/>
      <c r="N95" s="91"/>
      <c r="O95"/>
      <c r="P95"/>
      <c r="Q95"/>
      <c r="R95"/>
      <c r="S95"/>
    </row>
    <row r="96" spans="1:19" ht="14.25" customHeight="1" x14ac:dyDescent="0.35">
      <c r="A96" s="1099" t="s">
        <v>341</v>
      </c>
      <c r="B96" s="1100"/>
      <c r="C96" s="1097">
        <f t="shared" si="1"/>
        <v>195</v>
      </c>
      <c r="D96" s="1098"/>
      <c r="E96" s="567"/>
      <c r="F96" s="566"/>
      <c r="G96"/>
      <c r="H96" s="568">
        <v>195</v>
      </c>
      <c r="I96" s="494"/>
      <c r="J96" s="494"/>
      <c r="K96" s="508"/>
      <c r="L96" s="508"/>
      <c r="M96" s="508"/>
      <c r="N96" s="91"/>
      <c r="O96"/>
      <c r="P96"/>
      <c r="Q96"/>
      <c r="R96"/>
      <c r="S96"/>
    </row>
    <row r="97" spans="1:19" ht="14.25" customHeight="1" x14ac:dyDescent="0.35">
      <c r="A97" s="1099" t="s">
        <v>342</v>
      </c>
      <c r="B97" s="1100"/>
      <c r="C97" s="1097">
        <f t="shared" si="1"/>
        <v>250</v>
      </c>
      <c r="D97" s="1098"/>
      <c r="E97" s="567"/>
      <c r="F97" s="566"/>
      <c r="G97"/>
      <c r="H97" s="568">
        <v>250</v>
      </c>
      <c r="I97" s="494"/>
      <c r="J97" s="494"/>
      <c r="K97" s="508"/>
      <c r="L97" s="508"/>
      <c r="M97" s="508"/>
      <c r="N97" s="91"/>
      <c r="O97"/>
      <c r="P97"/>
      <c r="Q97"/>
      <c r="R97"/>
      <c r="S97"/>
    </row>
    <row r="98" spans="1:19" ht="14.25" customHeight="1" x14ac:dyDescent="0.35">
      <c r="A98" s="1099" t="s">
        <v>343</v>
      </c>
      <c r="B98" s="1100"/>
      <c r="C98" s="1097">
        <f t="shared" si="1"/>
        <v>175</v>
      </c>
      <c r="D98" s="1098"/>
      <c r="E98" s="567"/>
      <c r="F98" s="566"/>
      <c r="G98"/>
      <c r="H98" s="568">
        <v>175</v>
      </c>
      <c r="I98" s="494"/>
      <c r="J98" s="494"/>
      <c r="K98" s="508"/>
      <c r="L98" s="508"/>
      <c r="M98" s="508"/>
      <c r="N98" s="91"/>
      <c r="O98"/>
      <c r="P98"/>
      <c r="Q98"/>
      <c r="R98"/>
      <c r="S98"/>
    </row>
    <row r="99" spans="1:19" ht="14.25" customHeight="1" x14ac:dyDescent="0.35">
      <c r="A99" s="1099" t="s">
        <v>344</v>
      </c>
      <c r="B99" s="1100"/>
      <c r="C99" s="1097">
        <f t="shared" si="1"/>
        <v>155</v>
      </c>
      <c r="D99" s="1098"/>
      <c r="E99" s="567"/>
      <c r="F99" s="566"/>
      <c r="G99"/>
      <c r="H99" s="568">
        <v>155</v>
      </c>
      <c r="I99" s="494"/>
      <c r="J99" s="494"/>
      <c r="K99" s="508"/>
      <c r="L99" s="508"/>
      <c r="M99" s="508"/>
      <c r="N99" s="91"/>
      <c r="O99"/>
      <c r="P99"/>
      <c r="Q99"/>
      <c r="R99"/>
      <c r="S99"/>
    </row>
    <row r="100" spans="1:19" ht="14.25" customHeight="1" x14ac:dyDescent="0.35">
      <c r="A100" s="1099" t="s">
        <v>345</v>
      </c>
      <c r="B100" s="1100"/>
      <c r="C100" s="1097">
        <f t="shared" si="1"/>
        <v>175</v>
      </c>
      <c r="D100" s="1098"/>
      <c r="E100" s="567"/>
      <c r="F100" s="566"/>
      <c r="G100"/>
      <c r="H100" s="568">
        <v>175</v>
      </c>
      <c r="I100" s="494"/>
      <c r="J100" s="494"/>
      <c r="K100" s="508"/>
      <c r="L100" s="508"/>
      <c r="M100" s="508"/>
      <c r="N100" s="91"/>
      <c r="O100"/>
      <c r="P100"/>
      <c r="Q100"/>
      <c r="R100"/>
      <c r="S100"/>
    </row>
    <row r="101" spans="1:19" ht="14.25" customHeight="1" x14ac:dyDescent="0.35">
      <c r="A101" s="1099" t="s">
        <v>346</v>
      </c>
      <c r="B101" s="1100"/>
      <c r="C101" s="1097">
        <f t="shared" si="1"/>
        <v>250</v>
      </c>
      <c r="D101" s="1098"/>
      <c r="E101" s="567"/>
      <c r="F101" s="566"/>
      <c r="G101"/>
      <c r="H101" s="568">
        <v>250</v>
      </c>
      <c r="I101" s="494"/>
      <c r="J101" s="494"/>
      <c r="K101" s="508"/>
      <c r="L101" s="508"/>
      <c r="M101" s="508"/>
      <c r="N101" s="91"/>
      <c r="O101"/>
      <c r="P101"/>
      <c r="Q101"/>
      <c r="R101"/>
      <c r="S101"/>
    </row>
    <row r="102" spans="1:19" ht="14.25" customHeight="1" x14ac:dyDescent="0.35">
      <c r="A102" s="1099" t="s">
        <v>347</v>
      </c>
      <c r="B102" s="1100"/>
      <c r="C102" s="1097">
        <f t="shared" si="1"/>
        <v>300</v>
      </c>
      <c r="D102" s="1098"/>
      <c r="E102" s="567"/>
      <c r="F102" s="566"/>
      <c r="G102"/>
      <c r="H102" s="568">
        <v>300</v>
      </c>
      <c r="I102" s="494"/>
      <c r="J102" s="494"/>
      <c r="K102" s="508"/>
      <c r="L102" s="508"/>
      <c r="M102" s="508"/>
      <c r="N102" s="91"/>
      <c r="O102"/>
      <c r="P102"/>
      <c r="Q102"/>
      <c r="R102"/>
      <c r="S102"/>
    </row>
    <row r="103" spans="1:19" ht="14.25" customHeight="1" x14ac:dyDescent="0.35">
      <c r="A103" s="1099" t="s">
        <v>348</v>
      </c>
      <c r="B103" s="1100"/>
      <c r="C103" s="1097">
        <f t="shared" si="1"/>
        <v>750</v>
      </c>
      <c r="D103" s="1098"/>
      <c r="E103" s="567"/>
      <c r="F103" s="566"/>
      <c r="G103"/>
      <c r="H103" s="568">
        <v>750</v>
      </c>
      <c r="I103" s="494"/>
      <c r="J103" s="494"/>
      <c r="K103" s="508"/>
      <c r="L103" s="508"/>
      <c r="M103" s="508"/>
      <c r="N103" s="91"/>
      <c r="O103"/>
      <c r="P103"/>
      <c r="Q103"/>
      <c r="R103"/>
      <c r="S103"/>
    </row>
    <row r="104" spans="1:19" ht="14.25" customHeight="1" x14ac:dyDescent="0.35">
      <c r="A104" s="1099" t="s">
        <v>349</v>
      </c>
      <c r="B104" s="1100"/>
      <c r="C104" s="1097">
        <f t="shared" si="1"/>
        <v>2500</v>
      </c>
      <c r="D104" s="1098"/>
      <c r="E104" s="567"/>
      <c r="F104" s="566"/>
      <c r="G104"/>
      <c r="H104" s="568">
        <v>2500</v>
      </c>
      <c r="I104" s="494"/>
      <c r="J104" s="494"/>
      <c r="K104" s="508"/>
      <c r="L104" s="508"/>
      <c r="M104" s="508"/>
      <c r="N104" s="91"/>
      <c r="O104"/>
      <c r="P104"/>
      <c r="Q104"/>
      <c r="R104"/>
      <c r="S104"/>
    </row>
    <row r="105" spans="1:19" ht="14.25" customHeight="1" x14ac:dyDescent="0.35">
      <c r="A105" s="1099" t="s">
        <v>350</v>
      </c>
      <c r="B105" s="1100"/>
      <c r="C105" s="1097">
        <f t="shared" si="1"/>
        <v>150</v>
      </c>
      <c r="D105" s="1098"/>
      <c r="E105" s="567"/>
      <c r="F105" s="566"/>
      <c r="G105"/>
      <c r="H105" s="568">
        <v>150</v>
      </c>
      <c r="I105" s="494"/>
      <c r="J105" s="494"/>
      <c r="K105" s="508"/>
      <c r="L105" s="508"/>
      <c r="M105" s="508"/>
      <c r="N105" s="91"/>
      <c r="O105"/>
      <c r="P105"/>
      <c r="Q105"/>
      <c r="R105"/>
      <c r="S105"/>
    </row>
    <row r="106" spans="1:19" ht="14.25" customHeight="1" x14ac:dyDescent="0.35">
      <c r="A106" s="1099" t="s">
        <v>351</v>
      </c>
      <c r="B106" s="1100"/>
      <c r="C106" s="1097">
        <f t="shared" si="1"/>
        <v>400</v>
      </c>
      <c r="D106" s="1098"/>
      <c r="E106" s="567"/>
      <c r="F106" s="566"/>
      <c r="G106"/>
      <c r="H106" s="568">
        <v>400</v>
      </c>
      <c r="I106" s="494"/>
      <c r="J106" s="494"/>
      <c r="K106" s="508"/>
      <c r="L106" s="508"/>
      <c r="M106" s="508"/>
      <c r="N106" s="91"/>
      <c r="O106"/>
      <c r="P106"/>
      <c r="Q106"/>
      <c r="R106"/>
      <c r="S106"/>
    </row>
    <row r="107" spans="1:19" ht="27.75" customHeight="1" x14ac:dyDescent="0.35">
      <c r="A107" s="1116" t="s">
        <v>352</v>
      </c>
      <c r="B107" s="1116"/>
      <c r="C107" s="1116"/>
      <c r="D107" s="1116"/>
      <c r="E107" s="570"/>
      <c r="F107" s="508"/>
      <c r="G107" s="91"/>
      <c r="H107" s="91"/>
      <c r="I107" s="508"/>
      <c r="J107" s="508"/>
      <c r="K107" s="508"/>
      <c r="L107" s="508"/>
      <c r="M107" s="508"/>
      <c r="N107" s="91"/>
      <c r="O107"/>
      <c r="P107"/>
      <c r="Q107"/>
      <c r="R107"/>
      <c r="S107"/>
    </row>
    <row r="108" spans="1:19" ht="5.25" customHeight="1" x14ac:dyDescent="0.35">
      <c r="A108" s="609"/>
      <c r="B108" s="609"/>
      <c r="C108" s="609"/>
      <c r="D108" s="609"/>
      <c r="E108" s="570"/>
      <c r="F108" s="508"/>
      <c r="G108" s="91"/>
      <c r="H108" s="91"/>
      <c r="I108" s="508"/>
      <c r="J108" s="508"/>
      <c r="K108" s="508"/>
      <c r="L108" s="508"/>
      <c r="M108" s="508"/>
      <c r="N108" s="91"/>
      <c r="O108"/>
      <c r="P108"/>
      <c r="Q108"/>
      <c r="R108"/>
      <c r="S108"/>
    </row>
    <row r="109" spans="1:19" ht="6" hidden="1" customHeight="1" x14ac:dyDescent="0.35">
      <c r="A109" s="609"/>
      <c r="B109" s="609"/>
      <c r="C109" s="609"/>
      <c r="D109" s="609"/>
      <c r="E109" s="570"/>
      <c r="F109" s="508"/>
      <c r="G109" s="91"/>
      <c r="H109" s="91"/>
      <c r="I109" s="508"/>
      <c r="J109" s="508"/>
      <c r="K109" s="508"/>
      <c r="L109" s="508"/>
      <c r="M109" s="508"/>
      <c r="N109" s="91"/>
      <c r="O109"/>
      <c r="P109"/>
      <c r="Q109"/>
      <c r="R109"/>
      <c r="S109"/>
    </row>
    <row r="110" spans="1:19" ht="27.75" hidden="1" customHeight="1" x14ac:dyDescent="0.35">
      <c r="A110" s="609"/>
      <c r="B110" s="609"/>
      <c r="C110" s="609"/>
      <c r="D110" s="609"/>
      <c r="E110" s="570"/>
      <c r="F110" s="508"/>
      <c r="G110" s="91"/>
      <c r="H110" s="91"/>
      <c r="I110" s="508"/>
      <c r="J110" s="508"/>
      <c r="K110" s="508"/>
      <c r="L110" s="508"/>
      <c r="M110" s="508"/>
      <c r="N110" s="91"/>
      <c r="O110"/>
      <c r="P110"/>
      <c r="Q110"/>
      <c r="R110"/>
      <c r="S110"/>
    </row>
    <row r="111" spans="1:19" ht="4.5" customHeight="1" x14ac:dyDescent="0.35">
      <c r="A111" s="609"/>
      <c r="B111" s="609"/>
      <c r="C111" s="609"/>
      <c r="D111" s="609"/>
      <c r="E111" s="570"/>
      <c r="F111" s="508"/>
      <c r="G111" s="91"/>
      <c r="H111" s="91"/>
      <c r="I111" s="508"/>
      <c r="J111" s="508"/>
      <c r="K111" s="508"/>
      <c r="L111" s="508"/>
      <c r="M111" s="508"/>
      <c r="N111" s="91"/>
      <c r="O111"/>
      <c r="P111"/>
      <c r="Q111"/>
      <c r="R111"/>
      <c r="S111"/>
    </row>
    <row r="112" spans="1:19" x14ac:dyDescent="0.35">
      <c r="A112" s="571" t="s">
        <v>401</v>
      </c>
      <c r="B112" s="228"/>
      <c r="C112" s="228"/>
      <c r="D112" s="228"/>
      <c r="E112" s="511"/>
      <c r="F112" s="508"/>
      <c r="G112" s="91"/>
      <c r="H112" s="91"/>
      <c r="I112" s="508"/>
      <c r="J112" s="508"/>
      <c r="K112" s="508"/>
      <c r="L112" s="508"/>
      <c r="M112" s="508"/>
      <c r="N112" s="91"/>
      <c r="O112"/>
      <c r="P112"/>
      <c r="Q112"/>
      <c r="R112"/>
      <c r="S112"/>
    </row>
    <row r="113" spans="1:19" ht="33" customHeight="1" x14ac:dyDescent="0.35">
      <c r="A113" s="1068" t="s">
        <v>353</v>
      </c>
      <c r="B113" s="1068"/>
      <c r="C113" s="1068"/>
      <c r="D113" s="1068"/>
      <c r="E113" s="507"/>
      <c r="F113" s="508"/>
      <c r="G113" s="91"/>
      <c r="H113" s="91"/>
      <c r="I113" s="508"/>
      <c r="J113" s="508"/>
      <c r="K113" s="508"/>
      <c r="L113" s="508"/>
      <c r="M113" s="508"/>
      <c r="N113" s="91"/>
      <c r="O113"/>
      <c r="P113"/>
      <c r="Q113"/>
      <c r="R113"/>
      <c r="S113"/>
    </row>
    <row r="114" spans="1:19" ht="58.5" customHeight="1" x14ac:dyDescent="0.35">
      <c r="A114" s="1068" t="s">
        <v>402</v>
      </c>
      <c r="B114" s="1068"/>
      <c r="C114" s="1068"/>
      <c r="D114" s="1068"/>
      <c r="E114" s="507"/>
      <c r="F114" s="508"/>
      <c r="G114" s="91"/>
      <c r="H114" s="91"/>
      <c r="I114" s="508"/>
      <c r="J114" s="508"/>
      <c r="K114" s="508"/>
      <c r="L114" s="508"/>
      <c r="M114" s="508"/>
      <c r="N114" s="91"/>
      <c r="O114"/>
      <c r="P114"/>
      <c r="Q114"/>
      <c r="R114"/>
      <c r="S114"/>
    </row>
    <row r="115" spans="1:19" ht="29.25" customHeight="1" x14ac:dyDescent="0.35">
      <c r="A115" s="1106" t="s">
        <v>354</v>
      </c>
      <c r="B115" s="1106"/>
      <c r="C115" s="1106"/>
      <c r="D115" s="1106"/>
      <c r="E115" s="572"/>
      <c r="F115" s="508"/>
      <c r="G115" s="91"/>
      <c r="H115" s="91"/>
      <c r="I115" s="508"/>
      <c r="J115" s="508"/>
      <c r="K115" s="508"/>
      <c r="L115" s="508"/>
      <c r="M115" s="508"/>
      <c r="N115" s="91"/>
      <c r="O115"/>
      <c r="P115"/>
      <c r="Q115"/>
      <c r="R115"/>
      <c r="S115"/>
    </row>
    <row r="116" spans="1:19" x14ac:dyDescent="0.35">
      <c r="A116" s="571" t="s">
        <v>355</v>
      </c>
      <c r="B116" s="228"/>
      <c r="C116" s="228"/>
      <c r="D116" s="228"/>
      <c r="E116" s="511"/>
      <c r="F116" s="508"/>
      <c r="G116" s="91"/>
      <c r="H116" s="91"/>
      <c r="I116" s="508"/>
      <c r="J116" s="508"/>
      <c r="K116" s="508"/>
      <c r="L116" s="508"/>
      <c r="M116" s="508"/>
      <c r="N116" s="91"/>
      <c r="O116"/>
      <c r="P116"/>
      <c r="Q116"/>
      <c r="R116"/>
      <c r="S116"/>
    </row>
    <row r="117" spans="1:19" ht="48.75" customHeight="1" x14ac:dyDescent="0.35">
      <c r="A117" s="1068" t="s">
        <v>403</v>
      </c>
      <c r="B117" s="1068"/>
      <c r="C117" s="1068"/>
      <c r="D117" s="1068"/>
      <c r="E117" s="507"/>
      <c r="F117" s="508"/>
      <c r="G117" s="91"/>
      <c r="H117" s="91"/>
      <c r="I117" s="508"/>
      <c r="J117" s="508"/>
      <c r="K117" s="508"/>
      <c r="L117" s="508"/>
      <c r="M117" s="508"/>
      <c r="N117" s="91"/>
      <c r="O117"/>
      <c r="P117"/>
      <c r="Q117"/>
      <c r="R117"/>
      <c r="S117"/>
    </row>
    <row r="118" spans="1:19" x14ac:dyDescent="0.35">
      <c r="A118" s="544" t="s">
        <v>356</v>
      </c>
      <c r="B118" s="228"/>
      <c r="C118" s="228"/>
      <c r="D118" s="228"/>
      <c r="E118" s="511"/>
      <c r="F118" s="508"/>
      <c r="G118" s="91"/>
      <c r="H118" s="91"/>
      <c r="I118" s="508"/>
      <c r="J118" s="508"/>
      <c r="K118" s="508"/>
      <c r="L118" s="508"/>
      <c r="M118" s="508"/>
      <c r="N118" s="91"/>
      <c r="O118"/>
      <c r="P118"/>
      <c r="Q118"/>
      <c r="R118"/>
      <c r="S118"/>
    </row>
    <row r="119" spans="1:19" ht="48.75" customHeight="1" x14ac:dyDescent="0.35">
      <c r="A119" s="1068" t="s">
        <v>404</v>
      </c>
      <c r="B119" s="1068"/>
      <c r="C119" s="1068"/>
      <c r="D119" s="1068"/>
      <c r="E119" s="507"/>
      <c r="F119" s="508"/>
      <c r="G119" s="91"/>
      <c r="H119" s="91"/>
      <c r="I119" s="508"/>
      <c r="J119" s="508"/>
      <c r="K119" s="508"/>
      <c r="L119" s="508"/>
      <c r="M119" s="508"/>
      <c r="N119" s="91"/>
      <c r="O119"/>
      <c r="P119"/>
      <c r="Q119"/>
      <c r="R119"/>
      <c r="S119"/>
    </row>
    <row r="120" spans="1:19" x14ac:dyDescent="0.35">
      <c r="A120" s="571" t="s">
        <v>357</v>
      </c>
      <c r="B120" s="228"/>
      <c r="C120" s="228"/>
      <c r="D120" s="228"/>
      <c r="E120" s="511"/>
      <c r="F120" s="508"/>
      <c r="G120" s="91"/>
      <c r="H120" s="91"/>
      <c r="I120" s="508"/>
      <c r="J120" s="508"/>
      <c r="K120" s="508"/>
      <c r="L120" s="508"/>
      <c r="M120" s="508"/>
      <c r="N120" s="91"/>
      <c r="O120"/>
      <c r="P120"/>
      <c r="Q120"/>
      <c r="R120"/>
      <c r="S120"/>
    </row>
    <row r="121" spans="1:19" ht="75" customHeight="1" x14ac:dyDescent="0.35">
      <c r="A121" s="1068" t="s">
        <v>405</v>
      </c>
      <c r="B121" s="1068"/>
      <c r="C121" s="1068"/>
      <c r="D121" s="1068"/>
      <c r="E121" s="507"/>
      <c r="F121" s="508"/>
      <c r="G121" s="91"/>
      <c r="H121" s="91"/>
      <c r="I121" s="508"/>
      <c r="J121" s="508"/>
      <c r="K121" s="508"/>
      <c r="L121" s="508"/>
      <c r="M121" s="508"/>
      <c r="N121" s="91"/>
      <c r="O121"/>
      <c r="P121"/>
      <c r="Q121"/>
      <c r="R121"/>
      <c r="S121"/>
    </row>
    <row r="122" spans="1:19" ht="21" customHeight="1" x14ac:dyDescent="0.35">
      <c r="A122" s="571" t="s">
        <v>358</v>
      </c>
      <c r="B122" s="228"/>
      <c r="C122" s="228"/>
      <c r="D122" s="228"/>
      <c r="E122" s="511"/>
      <c r="F122" s="508"/>
      <c r="G122" s="91"/>
      <c r="H122" s="91"/>
      <c r="I122" s="508"/>
      <c r="J122" s="508"/>
      <c r="K122" s="508"/>
      <c r="L122" s="508"/>
      <c r="M122" s="508"/>
      <c r="N122" s="91"/>
      <c r="O122"/>
      <c r="P122"/>
      <c r="Q122"/>
      <c r="R122"/>
      <c r="S122"/>
    </row>
    <row r="123" spans="1:19" ht="21" customHeight="1" x14ac:dyDescent="0.35">
      <c r="A123" s="1068" t="s">
        <v>359</v>
      </c>
      <c r="B123" s="1068"/>
      <c r="C123" s="1068"/>
      <c r="D123" s="1068"/>
      <c r="E123" s="507"/>
      <c r="F123" s="508"/>
      <c r="G123" s="91"/>
      <c r="H123" s="91"/>
      <c r="I123" s="508"/>
      <c r="J123" s="508"/>
      <c r="K123" s="508"/>
      <c r="L123" s="508"/>
      <c r="M123" s="508"/>
      <c r="N123" s="91"/>
      <c r="O123"/>
      <c r="P123"/>
      <c r="Q123"/>
      <c r="R123"/>
      <c r="S123"/>
    </row>
    <row r="124" spans="1:19" ht="19.5" customHeight="1" x14ac:dyDescent="0.35">
      <c r="A124" s="1068" t="s">
        <v>360</v>
      </c>
      <c r="B124" s="1068"/>
      <c r="C124" s="1068"/>
      <c r="D124" s="1068"/>
      <c r="E124" s="507"/>
      <c r="F124" s="508"/>
      <c r="G124" s="91"/>
      <c r="H124" s="91"/>
      <c r="I124" s="508"/>
      <c r="J124" s="508"/>
      <c r="K124" s="508"/>
      <c r="L124" s="508"/>
      <c r="M124" s="508"/>
      <c r="N124" s="91"/>
      <c r="O124"/>
      <c r="P124"/>
      <c r="Q124"/>
      <c r="R124"/>
      <c r="S124"/>
    </row>
    <row r="125" spans="1:19" ht="19.5" customHeight="1" x14ac:dyDescent="0.35">
      <c r="A125" s="1068" t="s">
        <v>1327</v>
      </c>
      <c r="B125" s="1068"/>
      <c r="C125" s="1068"/>
      <c r="D125" s="1068"/>
      <c r="E125" s="507"/>
      <c r="F125" s="508"/>
      <c r="G125" s="91"/>
      <c r="H125" s="91"/>
      <c r="I125" s="508"/>
      <c r="J125" s="508"/>
      <c r="K125" s="508"/>
      <c r="L125" s="508"/>
      <c r="M125" s="508"/>
      <c r="N125" s="91"/>
      <c r="O125"/>
      <c r="P125"/>
      <c r="Q125"/>
      <c r="R125"/>
      <c r="S125"/>
    </row>
    <row r="126" spans="1:19" ht="19.5" customHeight="1" x14ac:dyDescent="0.35">
      <c r="A126" s="1068" t="s">
        <v>361</v>
      </c>
      <c r="B126" s="1068"/>
      <c r="C126" s="1068"/>
      <c r="D126" s="1068"/>
      <c r="E126" s="507"/>
      <c r="F126" s="508"/>
      <c r="G126" s="91"/>
      <c r="H126" s="91"/>
      <c r="I126" s="508"/>
      <c r="J126" s="508"/>
      <c r="K126" s="508"/>
      <c r="L126" s="508"/>
      <c r="M126" s="508"/>
      <c r="N126" s="91"/>
      <c r="O126"/>
      <c r="P126"/>
      <c r="Q126"/>
      <c r="R126"/>
      <c r="S126"/>
    </row>
    <row r="127" spans="1:19" ht="26.25" customHeight="1" x14ac:dyDescent="0.35">
      <c r="A127" s="1068" t="s">
        <v>362</v>
      </c>
      <c r="B127" s="1068"/>
      <c r="C127" s="1068"/>
      <c r="D127" s="1068"/>
      <c r="E127" s="507"/>
      <c r="F127" s="508"/>
      <c r="G127" s="91"/>
      <c r="H127" s="91"/>
      <c r="I127" s="508"/>
      <c r="J127" s="508"/>
      <c r="K127" s="508"/>
      <c r="L127" s="508"/>
      <c r="M127" s="508"/>
      <c r="N127" s="91"/>
      <c r="O127"/>
      <c r="P127"/>
      <c r="Q127"/>
      <c r="R127"/>
      <c r="S127"/>
    </row>
    <row r="128" spans="1:19" ht="18.75" x14ac:dyDescent="0.35">
      <c r="A128" s="577" t="str">
        <f>"Signed by each " &amp; IF(Application_Type="Personal", "Borrower","Director/Member")</f>
        <v>Signed by each Director/Member</v>
      </c>
      <c r="B128" s="576"/>
      <c r="C128" s="576"/>
      <c r="D128" s="576"/>
      <c r="E128" s="507"/>
      <c r="F128" s="501" t="s">
        <v>269</v>
      </c>
      <c r="G128" s="91"/>
      <c r="H128" s="146"/>
      <c r="I128" s="508"/>
      <c r="J128" s="508"/>
      <c r="K128" s="508"/>
      <c r="L128" s="508"/>
      <c r="M128" s="508"/>
      <c r="N128" s="91"/>
      <c r="O128"/>
      <c r="P128"/>
      <c r="Q128"/>
      <c r="R128"/>
      <c r="S128"/>
    </row>
    <row r="129" spans="1:19" ht="15" customHeight="1" x14ac:dyDescent="0.35">
      <c r="A129" s="1109"/>
      <c r="B129" s="1109"/>
      <c r="C129" s="1109"/>
      <c r="D129" s="1109"/>
      <c r="E129" s="507"/>
      <c r="F129" s="508"/>
      <c r="G129" s="91"/>
      <c r="H129" s="91"/>
      <c r="I129" s="508"/>
      <c r="J129" s="508"/>
      <c r="K129" s="508"/>
      <c r="L129" s="508"/>
      <c r="M129" s="508"/>
      <c r="N129" s="91"/>
      <c r="O129"/>
      <c r="P129"/>
      <c r="Q129"/>
      <c r="R129"/>
      <c r="S129"/>
    </row>
    <row r="130" spans="1:19" x14ac:dyDescent="0.35">
      <c r="A130" s="575"/>
      <c r="B130" s="576"/>
      <c r="C130" s="576"/>
      <c r="D130" s="576"/>
      <c r="E130" s="511"/>
      <c r="F130" s="508"/>
      <c r="G130" s="91"/>
      <c r="H130" s="91"/>
      <c r="I130" s="1101"/>
      <c r="J130" s="578"/>
      <c r="K130" s="508"/>
      <c r="L130" s="508"/>
      <c r="M130" s="508"/>
      <c r="N130" s="91"/>
      <c r="O130"/>
      <c r="P130"/>
      <c r="Q130"/>
      <c r="R130"/>
      <c r="S130"/>
    </row>
    <row r="131" spans="1:19" x14ac:dyDescent="0.35">
      <c r="A131" s="575"/>
      <c r="B131" s="576"/>
      <c r="C131" s="576"/>
      <c r="D131" s="576"/>
      <c r="E131" s="511"/>
      <c r="F131" s="508"/>
      <c r="G131" s="91"/>
      <c r="H131" s="91"/>
      <c r="I131" s="1101"/>
      <c r="J131" s="578"/>
      <c r="K131" s="508"/>
      <c r="L131" s="508"/>
      <c r="M131" s="508"/>
      <c r="N131" s="91"/>
      <c r="O131"/>
      <c r="P131"/>
      <c r="Q131"/>
      <c r="R131"/>
      <c r="S131"/>
    </row>
    <row r="132" spans="1:19" x14ac:dyDescent="0.35">
      <c r="A132" s="575"/>
      <c r="B132" s="576"/>
      <c r="C132" s="576"/>
      <c r="D132" s="576"/>
      <c r="E132" s="511"/>
      <c r="F132" s="508"/>
      <c r="G132" s="91"/>
      <c r="H132" s="91"/>
      <c r="I132" s="1101"/>
      <c r="J132" s="578"/>
      <c r="K132" s="508"/>
      <c r="L132" s="508"/>
      <c r="M132" s="508"/>
      <c r="N132" s="91"/>
      <c r="O132"/>
      <c r="P132"/>
      <c r="Q132"/>
      <c r="R132"/>
      <c r="S132"/>
    </row>
    <row r="133" spans="1:19" x14ac:dyDescent="0.35">
      <c r="A133" s="579" t="s">
        <v>363</v>
      </c>
      <c r="B133" s="579"/>
      <c r="C133" s="579" t="s">
        <v>364</v>
      </c>
      <c r="D133" s="579"/>
      <c r="E133" s="580"/>
      <c r="F133" s="508"/>
      <c r="G133" s="91"/>
      <c r="H133" s="91"/>
      <c r="I133" s="1101"/>
      <c r="J133" s="578"/>
      <c r="K133" s="508"/>
      <c r="L133" s="508"/>
      <c r="M133" s="508"/>
      <c r="N133" s="91"/>
      <c r="O133"/>
      <c r="P133"/>
      <c r="Q133"/>
      <c r="R133"/>
      <c r="S133"/>
    </row>
    <row r="134" spans="1:19" x14ac:dyDescent="0.35">
      <c r="A134" s="581"/>
      <c r="B134" s="576"/>
      <c r="C134" s="576"/>
      <c r="D134" s="576"/>
      <c r="E134" s="511"/>
      <c r="F134" s="508"/>
      <c r="G134" s="91"/>
      <c r="H134" s="91"/>
      <c r="I134" s="1101"/>
      <c r="J134" s="578"/>
      <c r="K134" s="508"/>
      <c r="L134" s="508"/>
      <c r="M134" s="508"/>
      <c r="N134" s="91"/>
      <c r="O134"/>
      <c r="P134"/>
      <c r="Q134"/>
      <c r="R134"/>
      <c r="S134"/>
    </row>
    <row r="135" spans="1:19" x14ac:dyDescent="0.35">
      <c r="A135" s="582" t="s">
        <v>365</v>
      </c>
      <c r="B135" s="576"/>
      <c r="C135" s="583" t="s">
        <v>366</v>
      </c>
      <c r="D135" s="576"/>
      <c r="E135" s="511"/>
      <c r="F135" s="508"/>
      <c r="G135" s="91"/>
      <c r="H135" s="91"/>
      <c r="I135" s="508"/>
      <c r="J135" s="508"/>
      <c r="K135" s="508"/>
      <c r="L135" s="508"/>
      <c r="M135" s="508"/>
      <c r="N135" s="91"/>
      <c r="O135"/>
      <c r="P135" t="s">
        <v>367</v>
      </c>
      <c r="Q135"/>
      <c r="R135"/>
      <c r="S135"/>
    </row>
    <row r="136" spans="1:19" x14ac:dyDescent="0.35">
      <c r="A136" s="579"/>
      <c r="B136" s="576"/>
      <c r="C136" s="576"/>
      <c r="D136" s="576"/>
      <c r="E136" s="511"/>
      <c r="F136" s="508"/>
      <c r="G136" s="91"/>
      <c r="H136" s="91"/>
      <c r="I136" s="1102" t="s">
        <v>368</v>
      </c>
      <c r="J136" s="584"/>
      <c r="K136" s="508"/>
      <c r="L136" s="508"/>
      <c r="M136" s="508"/>
      <c r="N136" s="91"/>
      <c r="O136"/>
      <c r="P136">
        <v>1</v>
      </c>
      <c r="Q136"/>
      <c r="R136"/>
      <c r="S136"/>
    </row>
    <row r="137" spans="1:19" ht="18.75" thickBot="1" x14ac:dyDescent="0.4">
      <c r="A137" s="536" t="s">
        <v>369</v>
      </c>
      <c r="B137" s="579"/>
      <c r="C137" s="585" t="s">
        <v>370</v>
      </c>
      <c r="D137" s="576"/>
      <c r="E137" s="511"/>
      <c r="F137" s="508"/>
      <c r="G137" s="91"/>
      <c r="H137" s="586" t="s">
        <v>371</v>
      </c>
      <c r="I137" s="1102"/>
      <c r="J137" s="584"/>
      <c r="K137" s="508"/>
      <c r="L137" s="508"/>
      <c r="M137" s="508"/>
      <c r="N137" s="91"/>
      <c r="O137"/>
      <c r="P137">
        <v>2</v>
      </c>
      <c r="Q137"/>
      <c r="R137"/>
      <c r="S137"/>
    </row>
    <row r="138" spans="1:19" ht="18.75" x14ac:dyDescent="0.35">
      <c r="A138" s="576"/>
      <c r="B138" s="576"/>
      <c r="C138" s="576"/>
      <c r="D138" s="576"/>
      <c r="E138" s="511"/>
      <c r="F138" s="501" t="s">
        <v>269</v>
      </c>
      <c r="G138" s="91"/>
      <c r="H138" s="1103">
        <v>4</v>
      </c>
      <c r="I138" s="1102"/>
      <c r="J138" s="584"/>
      <c r="K138" s="508"/>
      <c r="L138" s="508"/>
      <c r="M138" s="508"/>
      <c r="N138" s="91"/>
      <c r="O138"/>
      <c r="P138">
        <v>3</v>
      </c>
      <c r="Q138"/>
      <c r="R138"/>
      <c r="S138"/>
    </row>
    <row r="139" spans="1:19" ht="18.75" thickBot="1" x14ac:dyDescent="0.4">
      <c r="A139" s="583" t="s">
        <v>372</v>
      </c>
      <c r="B139" s="576"/>
      <c r="C139" s="583" t="s">
        <v>373</v>
      </c>
      <c r="D139" s="576"/>
      <c r="E139" s="511"/>
      <c r="F139" s="508"/>
      <c r="G139" s="91"/>
      <c r="H139" s="1104"/>
      <c r="I139" s="1102"/>
      <c r="J139" s="584"/>
      <c r="K139" s="508"/>
      <c r="L139" s="508"/>
      <c r="M139" s="508"/>
      <c r="N139" s="91"/>
      <c r="O139"/>
      <c r="P139">
        <v>4</v>
      </c>
      <c r="Q139"/>
      <c r="R139"/>
      <c r="S139"/>
    </row>
    <row r="140" spans="1:19" x14ac:dyDescent="0.35">
      <c r="A140" s="539"/>
      <c r="B140" s="539"/>
      <c r="C140" s="539"/>
      <c r="D140" s="539"/>
      <c r="E140" s="498"/>
      <c r="F140" s="508"/>
      <c r="G140" s="91"/>
      <c r="H140" s="91"/>
      <c r="I140" s="1102"/>
      <c r="J140" s="584"/>
      <c r="K140" s="508"/>
      <c r="L140" s="508"/>
      <c r="M140" s="508"/>
      <c r="N140" s="91"/>
      <c r="O140"/>
      <c r="P140"/>
      <c r="Q140"/>
      <c r="R140"/>
      <c r="S140"/>
    </row>
    <row r="141" spans="1:19" x14ac:dyDescent="0.35">
      <c r="A141" s="539"/>
      <c r="B141" s="539"/>
      <c r="C141" s="539"/>
      <c r="D141" s="539"/>
      <c r="E141" s="498"/>
      <c r="F141" s="508"/>
      <c r="G141" s="91"/>
      <c r="H141" s="91"/>
      <c r="I141" s="1102"/>
      <c r="J141" s="584"/>
      <c r="K141" s="508"/>
      <c r="L141" s="508"/>
      <c r="M141" s="508"/>
      <c r="N141" s="91"/>
      <c r="O141"/>
      <c r="P141"/>
      <c r="Q141"/>
      <c r="R141"/>
      <c r="S141"/>
    </row>
    <row r="142" spans="1:19" x14ac:dyDescent="0.35">
      <c r="A142" s="539"/>
      <c r="B142" s="539"/>
      <c r="C142" s="539"/>
      <c r="D142" s="539"/>
      <c r="E142" s="498"/>
      <c r="F142" s="508"/>
      <c r="G142" s="91"/>
      <c r="H142" s="91"/>
      <c r="I142" s="508"/>
      <c r="J142" s="508"/>
      <c r="K142" s="508"/>
      <c r="L142" s="508"/>
      <c r="M142" s="508"/>
      <c r="N142" s="91"/>
      <c r="O142"/>
      <c r="P142"/>
      <c r="Q142"/>
      <c r="R142"/>
      <c r="S142"/>
    </row>
    <row r="143" spans="1:19" x14ac:dyDescent="0.35">
      <c r="A143" s="539"/>
      <c r="B143" s="539"/>
      <c r="C143" s="539"/>
      <c r="D143" s="539"/>
      <c r="E143" s="498"/>
      <c r="F143" s="508"/>
      <c r="G143" s="91"/>
      <c r="H143" s="91"/>
      <c r="I143" s="508"/>
      <c r="J143" s="508"/>
      <c r="K143" s="508"/>
      <c r="L143" s="508"/>
      <c r="M143" s="508"/>
      <c r="N143" s="91"/>
      <c r="O143"/>
      <c r="P143"/>
      <c r="Q143"/>
      <c r="R143"/>
      <c r="S143"/>
    </row>
    <row r="144" spans="1:19" x14ac:dyDescent="0.35">
      <c r="A144" s="579" t="s">
        <v>374</v>
      </c>
      <c r="B144" s="579"/>
      <c r="C144" s="579" t="s">
        <v>364</v>
      </c>
      <c r="D144" s="579"/>
      <c r="E144" s="498"/>
      <c r="F144" s="508"/>
      <c r="G144" s="91"/>
      <c r="H144" s="91"/>
      <c r="I144" s="508"/>
      <c r="J144" s="508"/>
      <c r="K144" s="508"/>
      <c r="L144" s="508"/>
      <c r="M144" s="508"/>
      <c r="N144" s="91"/>
      <c r="O144"/>
      <c r="P144"/>
      <c r="Q144"/>
      <c r="R144"/>
      <c r="S144"/>
    </row>
    <row r="145" spans="1:19" x14ac:dyDescent="0.35">
      <c r="A145" s="581"/>
      <c r="B145" s="576"/>
      <c r="C145" s="576"/>
      <c r="D145" s="576"/>
      <c r="E145" s="498"/>
      <c r="F145" s="508"/>
      <c r="G145" s="91"/>
      <c r="H145" s="91"/>
      <c r="I145" s="508"/>
      <c r="J145" s="508"/>
      <c r="K145" s="508"/>
      <c r="L145" s="508"/>
      <c r="M145" s="508"/>
      <c r="N145" s="91"/>
      <c r="O145"/>
      <c r="P145"/>
      <c r="Q145"/>
      <c r="R145"/>
      <c r="S145"/>
    </row>
    <row r="146" spans="1:19" x14ac:dyDescent="0.35">
      <c r="A146" s="582" t="s">
        <v>365</v>
      </c>
      <c r="B146" s="576"/>
      <c r="C146" s="583" t="s">
        <v>366</v>
      </c>
      <c r="D146" s="576"/>
      <c r="E146" s="498"/>
      <c r="F146" s="508"/>
      <c r="G146" s="91"/>
      <c r="H146" s="91"/>
      <c r="I146" s="508"/>
      <c r="J146" s="508"/>
      <c r="K146" s="508"/>
      <c r="L146" s="508"/>
      <c r="M146" s="508"/>
      <c r="N146" s="91"/>
      <c r="O146"/>
      <c r="P146"/>
      <c r="Q146"/>
      <c r="R146"/>
      <c r="S146"/>
    </row>
    <row r="147" spans="1:19" x14ac:dyDescent="0.35">
      <c r="A147" s="579"/>
      <c r="B147" s="576"/>
      <c r="C147" s="576"/>
      <c r="D147" s="576"/>
      <c r="E147" s="498"/>
      <c r="F147" s="508"/>
      <c r="G147" s="91"/>
      <c r="H147" s="91"/>
      <c r="I147" s="508"/>
      <c r="J147" s="508"/>
      <c r="K147" s="508"/>
      <c r="L147" s="91"/>
      <c r="M147" s="549"/>
      <c r="N147" s="91"/>
      <c r="O147"/>
      <c r="P147"/>
      <c r="Q147"/>
      <c r="R147"/>
      <c r="S147"/>
    </row>
    <row r="148" spans="1:19" x14ac:dyDescent="0.35">
      <c r="A148" s="536" t="s">
        <v>375</v>
      </c>
      <c r="B148" s="579"/>
      <c r="C148" s="585" t="s">
        <v>370</v>
      </c>
      <c r="D148" s="576"/>
      <c r="E148" s="498"/>
      <c r="F148" s="508"/>
      <c r="G148" s="91"/>
      <c r="H148" s="91"/>
      <c r="I148" s="508"/>
      <c r="J148" s="508"/>
      <c r="K148" s="508"/>
      <c r="L148" s="91"/>
      <c r="M148" s="549"/>
      <c r="N148" s="91"/>
      <c r="O148"/>
      <c r="P148"/>
      <c r="Q148"/>
      <c r="R148"/>
      <c r="S148"/>
    </row>
    <row r="149" spans="1:19" x14ac:dyDescent="0.35">
      <c r="A149" s="576"/>
      <c r="B149" s="576"/>
      <c r="C149" s="576"/>
      <c r="D149" s="576"/>
      <c r="E149" s="498"/>
      <c r="F149" s="508"/>
      <c r="G149" s="91"/>
      <c r="H149" s="91"/>
      <c r="I149" s="508"/>
      <c r="J149" s="508"/>
      <c r="K149" s="508"/>
      <c r="L149" s="91"/>
      <c r="M149" s="549"/>
      <c r="N149" s="91"/>
      <c r="O149"/>
      <c r="P149"/>
      <c r="Q149"/>
      <c r="R149"/>
      <c r="S149"/>
    </row>
    <row r="150" spans="1:19" x14ac:dyDescent="0.35">
      <c r="A150" s="583" t="s">
        <v>376</v>
      </c>
      <c r="B150" s="576"/>
      <c r="C150" s="583" t="s">
        <v>373</v>
      </c>
      <c r="D150" s="576"/>
      <c r="E150" s="498"/>
      <c r="F150" s="508"/>
      <c r="G150" s="91"/>
      <c r="H150" s="91"/>
      <c r="I150" s="508"/>
      <c r="J150" s="508"/>
      <c r="K150" s="508"/>
      <c r="L150" s="91"/>
      <c r="M150" s="549"/>
      <c r="N150" s="91"/>
      <c r="O150"/>
      <c r="P150"/>
      <c r="Q150"/>
      <c r="R150"/>
      <c r="S150"/>
    </row>
    <row r="151" spans="1:19" x14ac:dyDescent="0.35">
      <c r="A151" s="539"/>
      <c r="B151" s="539"/>
      <c r="C151" s="539"/>
      <c r="D151" s="539"/>
      <c r="E151" s="498"/>
      <c r="F151" s="508"/>
      <c r="G151" s="91"/>
      <c r="H151" s="91"/>
      <c r="I151" s="508"/>
      <c r="J151" s="508"/>
      <c r="K151" s="508"/>
      <c r="L151" s="91"/>
      <c r="M151" s="549"/>
      <c r="N151" s="91"/>
      <c r="O151"/>
      <c r="P151"/>
      <c r="Q151"/>
      <c r="R151"/>
      <c r="S151"/>
    </row>
    <row r="152" spans="1:19" x14ac:dyDescent="0.35">
      <c r="A152" s="539"/>
      <c r="B152" s="539"/>
      <c r="C152" s="539"/>
      <c r="D152" s="539"/>
      <c r="E152" s="498"/>
      <c r="F152" s="508"/>
      <c r="G152" s="91"/>
      <c r="H152" s="91"/>
      <c r="I152" s="508"/>
      <c r="J152" s="508"/>
      <c r="K152" s="508"/>
      <c r="L152" s="91"/>
      <c r="M152" s="549"/>
      <c r="N152" s="91"/>
      <c r="O152"/>
      <c r="P152"/>
      <c r="Q152"/>
      <c r="R152"/>
      <c r="S152"/>
    </row>
    <row r="153" spans="1:19" x14ac:dyDescent="0.35">
      <c r="A153" s="539"/>
      <c r="B153" s="539"/>
      <c r="C153" s="539"/>
      <c r="D153" s="539"/>
      <c r="E153" s="498"/>
      <c r="F153" s="508"/>
      <c r="G153" s="91"/>
      <c r="H153" s="91"/>
      <c r="I153" s="508"/>
      <c r="J153" s="508"/>
      <c r="K153" s="508"/>
      <c r="L153" s="91"/>
      <c r="M153" s="549"/>
      <c r="N153" s="91"/>
      <c r="O153"/>
      <c r="P153"/>
      <c r="Q153"/>
      <c r="R153"/>
      <c r="S153"/>
    </row>
    <row r="154" spans="1:19" x14ac:dyDescent="0.35">
      <c r="A154" s="539"/>
      <c r="B154" s="539"/>
      <c r="C154" s="539"/>
      <c r="D154" s="539"/>
      <c r="E154" s="498"/>
      <c r="F154" s="508"/>
      <c r="G154" s="91"/>
      <c r="H154" s="91"/>
      <c r="I154" s="508"/>
      <c r="J154" s="508"/>
      <c r="K154" s="508"/>
      <c r="L154" s="91"/>
      <c r="M154" s="549"/>
      <c r="N154" s="91"/>
      <c r="O154"/>
      <c r="P154"/>
      <c r="Q154"/>
      <c r="R154"/>
      <c r="S154"/>
    </row>
    <row r="155" spans="1:19" x14ac:dyDescent="0.35">
      <c r="A155" s="539"/>
      <c r="B155" s="539"/>
      <c r="C155" s="539"/>
      <c r="D155" s="539"/>
      <c r="E155" s="498"/>
      <c r="F155" s="508"/>
      <c r="G155" s="91"/>
      <c r="H155" s="91"/>
      <c r="I155" s="508"/>
      <c r="J155" s="508"/>
      <c r="K155" s="508"/>
      <c r="L155" s="91"/>
      <c r="M155" s="549"/>
      <c r="N155" s="91"/>
      <c r="O155"/>
      <c r="P155"/>
      <c r="Q155"/>
      <c r="R155"/>
      <c r="S155"/>
    </row>
    <row r="156" spans="1:19" x14ac:dyDescent="0.35">
      <c r="A156" s="498"/>
      <c r="B156" s="498"/>
      <c r="C156" s="498"/>
      <c r="D156" s="498"/>
      <c r="E156" s="498"/>
      <c r="F156" s="508"/>
      <c r="G156" s="91"/>
      <c r="H156" s="91"/>
      <c r="I156" s="508"/>
      <c r="J156" s="508"/>
      <c r="K156" s="508"/>
      <c r="L156" s="91"/>
      <c r="M156" s="549"/>
      <c r="N156" s="91"/>
      <c r="O156"/>
      <c r="P156"/>
      <c r="Q156"/>
      <c r="R156"/>
      <c r="S156"/>
    </row>
    <row r="157" spans="1:19" x14ac:dyDescent="0.35">
      <c r="E157" s="91"/>
      <c r="F157" s="508"/>
      <c r="G157" s="91"/>
      <c r="H157" s="91"/>
      <c r="I157" s="508"/>
      <c r="J157" s="508"/>
      <c r="K157" s="508"/>
      <c r="L157" s="91"/>
      <c r="M157" s="549"/>
      <c r="N157" s="91"/>
      <c r="O157"/>
      <c r="P157"/>
      <c r="Q157"/>
      <c r="R157"/>
      <c r="S157"/>
    </row>
    <row r="158" spans="1:19" x14ac:dyDescent="0.35">
      <c r="F158" s="508"/>
      <c r="G158" s="91"/>
      <c r="H158" s="91"/>
      <c r="I158" s="508"/>
      <c r="J158" s="508"/>
      <c r="K158" s="508"/>
      <c r="L158" s="91"/>
      <c r="M158" s="549"/>
      <c r="N158" s="91"/>
      <c r="O158"/>
      <c r="P158"/>
      <c r="Q158"/>
      <c r="R158"/>
      <c r="S158"/>
    </row>
    <row r="159" spans="1:19" x14ac:dyDescent="0.35">
      <c r="F159" s="552"/>
      <c r="G159" s="587"/>
      <c r="H159" s="587"/>
      <c r="I159" s="552"/>
      <c r="J159" s="552"/>
      <c r="K159" s="552"/>
      <c r="L159" s="587"/>
      <c r="M159" s="588"/>
    </row>
    <row r="160" spans="1:19" x14ac:dyDescent="0.35">
      <c r="F160" s="552"/>
      <c r="G160" s="587"/>
      <c r="H160" s="587"/>
      <c r="I160" s="552"/>
      <c r="J160" s="552"/>
      <c r="K160" s="552"/>
      <c r="L160" s="587"/>
      <c r="M160" s="588"/>
    </row>
    <row r="161" spans="6:13" x14ac:dyDescent="0.35">
      <c r="F161" s="552"/>
      <c r="G161" s="587"/>
      <c r="H161" s="587"/>
      <c r="I161" s="552"/>
      <c r="J161" s="552"/>
      <c r="K161" s="552"/>
      <c r="L161" s="587"/>
      <c r="M161" s="588"/>
    </row>
    <row r="162" spans="6:13" x14ac:dyDescent="0.35">
      <c r="F162" s="552"/>
      <c r="G162" s="587"/>
      <c r="H162" s="587"/>
      <c r="I162" s="552"/>
      <c r="J162" s="552"/>
      <c r="K162" s="552"/>
      <c r="L162" s="587"/>
      <c r="M162" s="588"/>
    </row>
    <row r="163" spans="6:13" x14ac:dyDescent="0.35">
      <c r="F163" s="552"/>
      <c r="G163" s="587"/>
      <c r="H163" s="587"/>
      <c r="I163" s="552"/>
      <c r="J163" s="552"/>
      <c r="K163" s="552"/>
      <c r="L163" s="587"/>
      <c r="M163" s="588"/>
    </row>
  </sheetData>
  <mergeCells count="160">
    <mergeCell ref="B16:D16"/>
    <mergeCell ref="B17:D17"/>
    <mergeCell ref="A127:D127"/>
    <mergeCell ref="M42:R42"/>
    <mergeCell ref="A87:B87"/>
    <mergeCell ref="C87:D87"/>
    <mergeCell ref="A89:D89"/>
    <mergeCell ref="A105:B105"/>
    <mergeCell ref="C105:D105"/>
    <mergeCell ref="A100:B100"/>
    <mergeCell ref="C100:D100"/>
    <mergeCell ref="A95:B95"/>
    <mergeCell ref="C95:D95"/>
    <mergeCell ref="A96:B96"/>
    <mergeCell ref="C96:D96"/>
    <mergeCell ref="A107:D107"/>
    <mergeCell ref="A113:D113"/>
    <mergeCell ref="A119:D119"/>
    <mergeCell ref="A123:D123"/>
    <mergeCell ref="A77:B77"/>
    <mergeCell ref="A88:B88"/>
    <mergeCell ref="C88:D88"/>
    <mergeCell ref="A83:B83"/>
    <mergeCell ref="C83:D83"/>
    <mergeCell ref="A129:D129"/>
    <mergeCell ref="A60:D60"/>
    <mergeCell ref="A65:D65"/>
    <mergeCell ref="A64:D64"/>
    <mergeCell ref="A63:D63"/>
    <mergeCell ref="A106:B106"/>
    <mergeCell ref="C106:D106"/>
    <mergeCell ref="A114:D114"/>
    <mergeCell ref="A126:D126"/>
    <mergeCell ref="A104:B104"/>
    <mergeCell ref="C104:D104"/>
    <mergeCell ref="A121:D121"/>
    <mergeCell ref="A124:D124"/>
    <mergeCell ref="A125:D125"/>
    <mergeCell ref="A101:B101"/>
    <mergeCell ref="C101:D101"/>
    <mergeCell ref="C102:D102"/>
    <mergeCell ref="A103:B103"/>
    <mergeCell ref="C103:D103"/>
    <mergeCell ref="A97:B97"/>
    <mergeCell ref="C97:D97"/>
    <mergeCell ref="A117:D117"/>
    <mergeCell ref="A99:B99"/>
    <mergeCell ref="C99:D99"/>
    <mergeCell ref="A84:B84"/>
    <mergeCell ref="C84:D84"/>
    <mergeCell ref="A85:B85"/>
    <mergeCell ref="C85:D85"/>
    <mergeCell ref="A80:B80"/>
    <mergeCell ref="C80:D80"/>
    <mergeCell ref="A81:B81"/>
    <mergeCell ref="C81:D81"/>
    <mergeCell ref="A82:B82"/>
    <mergeCell ref="C82:D82"/>
    <mergeCell ref="A102:B102"/>
    <mergeCell ref="I130:I134"/>
    <mergeCell ref="I136:I141"/>
    <mergeCell ref="H138:H139"/>
    <mergeCell ref="B13:D13"/>
    <mergeCell ref="B18:D18"/>
    <mergeCell ref="A50:D50"/>
    <mergeCell ref="A56:D56"/>
    <mergeCell ref="A115:D115"/>
    <mergeCell ref="A98:B98"/>
    <mergeCell ref="C98:D98"/>
    <mergeCell ref="A92:B92"/>
    <mergeCell ref="C92:D92"/>
    <mergeCell ref="A93:B93"/>
    <mergeCell ref="C93:D93"/>
    <mergeCell ref="A94:B94"/>
    <mergeCell ref="C94:D94"/>
    <mergeCell ref="A90:B90"/>
    <mergeCell ref="C90:D90"/>
    <mergeCell ref="A91:B91"/>
    <mergeCell ref="C91:D91"/>
    <mergeCell ref="A86:B86"/>
    <mergeCell ref="C86:D86"/>
    <mergeCell ref="A76:B76"/>
    <mergeCell ref="C76:D76"/>
    <mergeCell ref="A78:B78"/>
    <mergeCell ref="C78:D78"/>
    <mergeCell ref="A79:B79"/>
    <mergeCell ref="C79:D79"/>
    <mergeCell ref="A73:B73"/>
    <mergeCell ref="C73:D73"/>
    <mergeCell ref="A74:B74"/>
    <mergeCell ref="C74:D74"/>
    <mergeCell ref="A75:B75"/>
    <mergeCell ref="C75:D75"/>
    <mergeCell ref="C77:D77"/>
    <mergeCell ref="A70:B70"/>
    <mergeCell ref="C70:D70"/>
    <mergeCell ref="A71:B71"/>
    <mergeCell ref="C71:D71"/>
    <mergeCell ref="A72:B72"/>
    <mergeCell ref="C72:D72"/>
    <mergeCell ref="A67:B67"/>
    <mergeCell ref="C67:D67"/>
    <mergeCell ref="A68:B68"/>
    <mergeCell ref="C68:D68"/>
    <mergeCell ref="A69:B69"/>
    <mergeCell ref="C69:D69"/>
    <mergeCell ref="A45:D45"/>
    <mergeCell ref="A46:D46"/>
    <mergeCell ref="A47:D47"/>
    <mergeCell ref="A37:D37"/>
    <mergeCell ref="A38:D38"/>
    <mergeCell ref="A39:D39"/>
    <mergeCell ref="A40:D40"/>
    <mergeCell ref="A41:D41"/>
    <mergeCell ref="A66:B66"/>
    <mergeCell ref="C66:D66"/>
    <mergeCell ref="A62:D62"/>
    <mergeCell ref="A59:D59"/>
    <mergeCell ref="A61:D61"/>
    <mergeCell ref="A55:D55"/>
    <mergeCell ref="A57:D57"/>
    <mergeCell ref="A58:D58"/>
    <mergeCell ref="A48:D48"/>
    <mergeCell ref="A49:D49"/>
    <mergeCell ref="A51:D51"/>
    <mergeCell ref="A52:D52"/>
    <mergeCell ref="A54:D54"/>
    <mergeCell ref="B27:D27"/>
    <mergeCell ref="B28:D28"/>
    <mergeCell ref="A36:D36"/>
    <mergeCell ref="B22:D22"/>
    <mergeCell ref="B23:D23"/>
    <mergeCell ref="B24:D24"/>
    <mergeCell ref="A42:D42"/>
    <mergeCell ref="A43:D43"/>
    <mergeCell ref="A44:D44"/>
    <mergeCell ref="B7:D7"/>
    <mergeCell ref="F65:J65"/>
    <mergeCell ref="B6:C6"/>
    <mergeCell ref="F50:F52"/>
    <mergeCell ref="H50:H52"/>
    <mergeCell ref="I50:I52"/>
    <mergeCell ref="A2:D2"/>
    <mergeCell ref="A3:D3"/>
    <mergeCell ref="B4:D4"/>
    <mergeCell ref="G4:G6"/>
    <mergeCell ref="B5:D5"/>
    <mergeCell ref="F9:J9"/>
    <mergeCell ref="B19:D19"/>
    <mergeCell ref="B20:D20"/>
    <mergeCell ref="B12:D12"/>
    <mergeCell ref="B21:D21"/>
    <mergeCell ref="B14:D14"/>
    <mergeCell ref="A8:D8"/>
    <mergeCell ref="A9:D9"/>
    <mergeCell ref="B10:D10"/>
    <mergeCell ref="B11:D11"/>
    <mergeCell ref="B15:D15"/>
    <mergeCell ref="B25:D25"/>
    <mergeCell ref="B26:D26"/>
  </mergeCells>
  <conditionalFormatting sqref="A1:D1">
    <cfRule type="expression" dxfId="103" priority="31">
      <formula>$A$1="PLEASE SELECT A PRODUCT IN THE BTL CALCULATOR TAB CELL AI 77"</formula>
    </cfRule>
  </conditionalFormatting>
  <conditionalFormatting sqref="A144:B151">
    <cfRule type="expression" dxfId="102" priority="14">
      <formula>IF($H$138&gt;=3,FALSE,TRUE)</formula>
    </cfRule>
  </conditionalFormatting>
  <conditionalFormatting sqref="C133:D140">
    <cfRule type="expression" dxfId="101" priority="15">
      <formula>IF($H$138&gt;1,FALSE,TRUE)</formula>
    </cfRule>
  </conditionalFormatting>
  <conditionalFormatting sqref="C144:D151">
    <cfRule type="expression" dxfId="100" priority="16">
      <formula>IF($H$138=4,FALSE,TRUE)</formula>
    </cfRule>
  </conditionalFormatting>
  <conditionalFormatting sqref="F27:G27">
    <cfRule type="expression" dxfId="99" priority="11">
      <formula>$H$2="Corporate"</formula>
    </cfRule>
  </conditionalFormatting>
  <conditionalFormatting sqref="A27:D27">
    <cfRule type="expression" dxfId="98" priority="10">
      <formula>$H$2="Personal"</formula>
    </cfRule>
  </conditionalFormatting>
  <conditionalFormatting sqref="A50:D52">
    <cfRule type="expression" dxfId="97" priority="8">
      <formula>$H$50="Yes"</formula>
    </cfRule>
  </conditionalFormatting>
  <conditionalFormatting sqref="F50:F52">
    <cfRule type="expression" dxfId="96" priority="6">
      <formula>$H$50="No"</formula>
    </cfRule>
  </conditionalFormatting>
  <conditionalFormatting sqref="G25">
    <cfRule type="expression" dxfId="95" priority="4">
      <formula>$H$2="Corporate"</formula>
    </cfRule>
  </conditionalFormatting>
  <conditionalFormatting sqref="A18:D18">
    <cfRule type="expression" dxfId="94" priority="2">
      <formula>$H$18="Hide"</formula>
    </cfRule>
  </conditionalFormatting>
  <conditionalFormatting sqref="F18">
    <cfRule type="containsText" dxfId="93" priority="1" operator="containsText" text="Hide">
      <formula>NOT(ISERROR(SEARCH("Hide",F18)))</formula>
    </cfRule>
  </conditionalFormatting>
  <dataValidations count="5">
    <dataValidation type="list" allowBlank="1" showInputMessage="1" showErrorMessage="1" sqref="H11:H14" xr:uid="{6D9AD897-A7EC-40BF-A938-180959EFB2BA}">
      <formula1>"Commercial,Semi-Commercial"</formula1>
    </dataValidation>
    <dataValidation type="list" allowBlank="1" showInputMessage="1" showErrorMessage="1" sqref="M27" xr:uid="{ECFA3BF1-0A0D-4578-81E8-15060704D00D}">
      <formula1>"Personal.Corporate"</formula1>
    </dataValidation>
    <dataValidation type="list" allowBlank="1" showInputMessage="1" showErrorMessage="1" sqref="H138:H139" xr:uid="{28F2AF46-DC8E-4343-9FCB-10E8AF948D2A}">
      <formula1>$P$136:$P$139</formula1>
    </dataValidation>
    <dataValidation type="list" allowBlank="1" showInputMessage="1" showErrorMessage="1" sqref="J26" xr:uid="{1B3A67AD-2704-444D-909E-DE043B072926}">
      <formula1>"First,Second"</formula1>
    </dataValidation>
    <dataValidation type="list" allowBlank="1" showInputMessage="1" showErrorMessage="1" sqref="H50:H52" xr:uid="{417F4422-0BE5-4418-96C7-30C435EDB24B}">
      <formula1>"Yes,No"</formula1>
    </dataValidation>
  </dataValidations>
  <pageMargins left="0.51181102362204722" right="0.51181102362204722" top="0.9055118110236221" bottom="0.31496062992125984" header="0.31496062992125984" footer="0.31496062992125984"/>
  <pageSetup paperSize="9" scale="81" fitToHeight="0" orientation="portrait" r:id="rId1"/>
  <headerFooter scaleWithDoc="0">
    <oddHeader>&amp;R&amp;G</oddHeader>
    <oddFooter>&amp;CPage &amp;P of &amp;N</oddFooter>
  </headerFooter>
  <rowBreaks count="6" manualBreakCount="6">
    <brk id="2" max="16383" man="1"/>
    <brk id="21" max="3" man="1"/>
    <brk id="36" max="16383" man="1"/>
    <brk id="47" max="3" man="1"/>
    <brk id="63" max="3" man="1"/>
    <brk id="117" max="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7179" r:id="rId5" name="Button 11">
              <controlPr defaultSize="0" print="0" autoFill="0" autoPict="0" macro="[0]!Button5_Click">
                <anchor moveWithCells="1" sizeWithCells="1">
                  <from>
                    <xdr:col>5</xdr:col>
                    <xdr:colOff>142875</xdr:colOff>
                    <xdr:row>7</xdr:row>
                    <xdr:rowOff>228600</xdr:rowOff>
                  </from>
                  <to>
                    <xdr:col>6</xdr:col>
                    <xdr:colOff>695325</xdr:colOff>
                    <xdr:row>7</xdr:row>
                    <xdr:rowOff>733425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6" id="{5EDE74E5-B5BD-4C47-B07A-EAF47DF8A8C2}">
            <xm:f>'Input Sheet'!$Q$12=""</xm:f>
            <x14:dxf>
              <font>
                <color theme="0"/>
              </font>
            </x14:dxf>
          </x14:cfRule>
          <xm:sqref>A25:D25</xm:sqref>
        </x14:conditionalFormatting>
        <x14:conditionalFormatting xmlns:xm="http://schemas.microsoft.com/office/excel/2006/main">
          <x14:cfRule type="expression" priority="13" id="{600480B2-A983-4D1A-87B0-46F0ED39204B}">
            <xm:f>'Input Sheet'!$Q$13&lt;1</xm:f>
            <x14:dxf>
              <font>
                <b/>
                <i val="0"/>
                <color theme="0"/>
              </font>
              <fill>
                <patternFill>
                  <bgColor rgb="FFFF0000"/>
                </patternFill>
              </fill>
            </x14:dxf>
          </x14:cfRule>
          <xm:sqref>F25</xm:sqref>
        </x14:conditionalFormatting>
        <x14:conditionalFormatting xmlns:xm="http://schemas.microsoft.com/office/excel/2006/main">
          <x14:cfRule type="expression" priority="12" id="{EA6C45C8-6F9D-4EE5-809E-AB5C8A78EA86}">
            <xm:f>'Input Sheet'!$Q$13&lt;1</xm:f>
            <x14:dxf>
              <font>
                <b/>
                <i val="0"/>
                <color theme="0"/>
              </font>
              <fill>
                <patternFill>
                  <bgColor rgb="FFFF0000"/>
                </patternFill>
              </fill>
            </x14:dxf>
          </x14:cfRule>
          <xm:sqref>F27:G27</xm:sqref>
        </x14:conditionalFormatting>
        <x14:conditionalFormatting xmlns:xm="http://schemas.microsoft.com/office/excel/2006/main">
          <x14:cfRule type="expression" priority="7" id="{939739AB-7BD3-4A3F-8EAD-B7DCC3A5F953}">
            <xm:f>'Input Sheet'!$C$13="Residential"</xm:f>
            <x14:dxf>
              <font>
                <color theme="0"/>
              </font>
              <fill>
                <patternFill>
                  <bgColor theme="0"/>
                </patternFill>
              </fill>
              <border>
                <left/>
                <right/>
                <top/>
                <bottom/>
              </border>
            </x14:dxf>
          </x14:cfRule>
          <xm:sqref>H11:I14</xm:sqref>
        </x14:conditionalFormatting>
        <x14:conditionalFormatting xmlns:xm="http://schemas.microsoft.com/office/excel/2006/main">
          <x14:cfRule type="expression" priority="5" id="{942A294F-22F8-4D17-9C85-9FC74E93A440}">
            <xm:f>'Input Sheet'!$Q$13&lt;1</xm:f>
            <x14:dxf>
              <font>
                <b/>
                <i val="0"/>
                <color theme="0"/>
              </font>
              <fill>
                <patternFill>
                  <bgColor rgb="FFFF0000"/>
                </patternFill>
              </fill>
            </x14:dxf>
          </x14:cfRule>
          <xm:sqref>G25</xm:sqref>
        </x14:conditionalFormatting>
        <x14:conditionalFormatting xmlns:xm="http://schemas.microsoft.com/office/excel/2006/main">
          <x14:cfRule type="expression" priority="3" id="{529AAB65-10A7-4C66-AA93-AE71CD8E8C0A}">
            <xm:f>AND('Input Sheet'!$C$36&lt;0.001,'Input Sheet'!$C$37&lt;0.001)</xm:f>
            <x14:dxf>
              <font>
                <color theme="0"/>
              </font>
            </x14:dxf>
          </x14:cfRule>
          <xm:sqref>A20:D20</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95EF6-AB01-4223-99D6-3A8EE09B49BF}">
  <sheetPr codeName="Sheet19">
    <tabColor theme="5"/>
  </sheetPr>
  <dimension ref="A1:V163"/>
  <sheetViews>
    <sheetView topLeftCell="A22" zoomScaleNormal="100" zoomScaleSheetLayoutView="85" workbookViewId="0">
      <selection activeCell="B30" sqref="B30:D30"/>
    </sheetView>
  </sheetViews>
  <sheetFormatPr defaultRowHeight="18" x14ac:dyDescent="0.35"/>
  <cols>
    <col min="1" max="1" width="30.5703125" style="72" customWidth="1"/>
    <col min="2" max="2" width="22.42578125" style="72" customWidth="1"/>
    <col min="3" max="3" width="24.28515625" style="72" customWidth="1"/>
    <col min="4" max="4" width="35.5703125" style="72" customWidth="1"/>
    <col min="5" max="5" width="1.28515625" style="587" customWidth="1"/>
    <col min="6" max="6" width="21" style="553" customWidth="1"/>
    <col min="7" max="7" width="30.28515625" style="72" customWidth="1"/>
    <col min="8" max="8" width="24.7109375" style="72" customWidth="1"/>
    <col min="9" max="11" width="34.28515625" style="553" customWidth="1"/>
    <col min="12" max="12" width="2.5703125" style="72" customWidth="1"/>
    <col min="13" max="13" width="47.140625" style="589" customWidth="1"/>
    <col min="14" max="14" width="43.42578125" style="587" customWidth="1"/>
    <col min="15" max="15" width="63.7109375" style="72" customWidth="1"/>
    <col min="16" max="16" width="40.140625" style="72" customWidth="1"/>
    <col min="17" max="17" width="16.28515625" style="72" customWidth="1"/>
    <col min="18" max="20" width="9.140625" style="72" customWidth="1"/>
    <col min="21" max="16384" width="9.140625" style="72"/>
  </cols>
  <sheetData>
    <row r="1" spans="1:22" ht="35.25" customHeight="1" thickBot="1" x14ac:dyDescent="0.4">
      <c r="A1" s="493" t="s">
        <v>407</v>
      </c>
      <c r="B1"/>
      <c r="C1"/>
      <c r="D1"/>
      <c r="E1"/>
      <c r="F1" s="494"/>
      <c r="G1" s="509"/>
      <c r="H1" s="509"/>
      <c r="I1" s="509"/>
      <c r="J1" s="509"/>
      <c r="K1" s="509"/>
      <c r="L1" s="509"/>
      <c r="M1" s="509"/>
      <c r="N1" s="1118"/>
      <c r="O1"/>
      <c r="P1"/>
      <c r="Q1"/>
      <c r="R1"/>
      <c r="S1"/>
    </row>
    <row r="2" spans="1:22" ht="30.75" customHeight="1" thickBot="1" x14ac:dyDescent="0.4">
      <c r="A2" s="1074" t="s">
        <v>261</v>
      </c>
      <c r="B2" s="1074"/>
      <c r="C2" s="1074"/>
      <c r="D2" s="1074"/>
      <c r="E2" s="495"/>
      <c r="F2" s="496" t="s">
        <v>262</v>
      </c>
      <c r="G2" s="633" t="s">
        <v>166</v>
      </c>
      <c r="H2" s="634">
        <f>'Input Sheet'!C12</f>
        <v>0</v>
      </c>
      <c r="I2" s="508"/>
      <c r="J2" s="508"/>
      <c r="K2" s="509"/>
      <c r="L2" s="509"/>
      <c r="M2" s="509"/>
      <c r="N2" s="1118"/>
      <c r="O2"/>
      <c r="P2"/>
      <c r="Q2"/>
      <c r="R2"/>
      <c r="S2"/>
    </row>
    <row r="3" spans="1:22" x14ac:dyDescent="0.35">
      <c r="A3" s="1075"/>
      <c r="B3" s="1075"/>
      <c r="C3" s="1075"/>
      <c r="D3" s="1075"/>
      <c r="E3" s="498"/>
      <c r="F3" s="631" t="s">
        <v>263</v>
      </c>
      <c r="G3" s="644" t="s">
        <v>264</v>
      </c>
      <c r="H3" s="645" t="s">
        <v>265</v>
      </c>
      <c r="I3" s="649" t="s">
        <v>266</v>
      </c>
      <c r="J3" s="650" t="s">
        <v>267</v>
      </c>
      <c r="K3" s="509"/>
      <c r="L3" s="509"/>
      <c r="M3" s="509"/>
      <c r="N3" s="1118"/>
      <c r="O3"/>
      <c r="P3"/>
      <c r="Q3"/>
      <c r="R3"/>
      <c r="S3"/>
    </row>
    <row r="4" spans="1:22" s="504" customFormat="1" ht="18" customHeight="1" x14ac:dyDescent="0.2">
      <c r="A4" s="499" t="s">
        <v>268</v>
      </c>
      <c r="B4" s="1076">
        <f ca="1">IF(H4="",J4,H4)</f>
        <v>45989</v>
      </c>
      <c r="C4" s="1076"/>
      <c r="D4" s="1076"/>
      <c r="E4" s="500"/>
      <c r="F4" s="501" t="s">
        <v>269</v>
      </c>
      <c r="G4" s="1077" t="s">
        <v>270</v>
      </c>
      <c r="H4" s="635"/>
      <c r="I4" s="639" t="s">
        <v>271</v>
      </c>
      <c r="J4" s="640">
        <f ca="1">IF(H4="",TODAY(),H4)</f>
        <v>45989</v>
      </c>
      <c r="K4" s="509"/>
      <c r="L4" s="509"/>
      <c r="M4" s="509"/>
      <c r="N4" s="502"/>
      <c r="O4" s="503"/>
      <c r="P4" s="503"/>
      <c r="Q4" s="503"/>
      <c r="R4" s="503"/>
      <c r="S4" s="503"/>
    </row>
    <row r="5" spans="1:22" s="504" customFormat="1" ht="18" customHeight="1" x14ac:dyDescent="0.15">
      <c r="A5" s="499" t="s">
        <v>272</v>
      </c>
      <c r="B5" s="1080" t="str">
        <f>IF(H2="Personal",IF(H5="",'Input Sheet'!C8,H5),(IF(H5="",'Input Sheet'!C8,H5)&amp;" (Company No: "&amp;J5&amp;")"))</f>
        <v>xxxxx (Company No: xxxxxxx)</v>
      </c>
      <c r="C5" s="1080"/>
      <c r="D5" s="1080"/>
      <c r="E5" s="505"/>
      <c r="F5" s="501" t="s">
        <v>269</v>
      </c>
      <c r="G5" s="1078"/>
      <c r="H5" s="636"/>
      <c r="I5" s="639" t="s">
        <v>424</v>
      </c>
      <c r="J5" s="662" t="s">
        <v>423</v>
      </c>
      <c r="K5" s="509"/>
      <c r="L5" s="509"/>
      <c r="M5" s="509"/>
      <c r="N5" s="616"/>
      <c r="O5" s="503"/>
      <c r="P5" s="503"/>
      <c r="Q5" s="503"/>
      <c r="R5" s="503"/>
      <c r="S5" s="503"/>
    </row>
    <row r="6" spans="1:22" s="504" customFormat="1" ht="24" customHeight="1" thickBot="1" x14ac:dyDescent="0.3">
      <c r="A6" s="679" t="s">
        <v>273</v>
      </c>
      <c r="B6" s="1068" t="str">
        <f>IF('Input Sheet'!$C$16="Yes",$K$6,IF(H6="",'Input Sheet'!$C$9,DIP!$H$6))</f>
        <v>xxxxx</v>
      </c>
      <c r="C6" s="1068"/>
      <c r="D6" s="557" t="str">
        <f>IF('Input Sheet'!$C$16="Yes",$M$6,"Title No: "&amp;$J$6)</f>
        <v>Title No: xxxxxxx</v>
      </c>
      <c r="E6" s="505"/>
      <c r="F6" s="667" t="s">
        <v>440</v>
      </c>
      <c r="G6" s="1079"/>
      <c r="H6" s="637"/>
      <c r="I6" s="641" t="s">
        <v>426</v>
      </c>
      <c r="J6" s="661" t="s">
        <v>423</v>
      </c>
      <c r="K6" s="665" t="str">
        <f>_xlfn.TEXTJOIN("
",TRUE,"Address",'Multi Property Deal'!B4:D6,'Multi Property Deal'!B7:D9,'Multi Property Deal'!B10:D12,'Multi Property Deal'!B13:D15,'Multi Property Deal'!B16:D18,'Multi Property Deal'!B19:D21,'Multi Property Deal'!B22:D24,'Multi Property Deal'!B25:D27,'Multi Property Deal'!B28:D30,'Multi Property Deal'!B31:D33,'Multi Property Deal'!B34:D36,'Multi Property Deal'!B37:D39,'Multi Property Deal'!B40:D42,'Multi Property Deal'!B43:D45,'Multi Property Deal'!B46:D48,'Multi Property Deal'!B49:D51,'Multi Property Deal'!B52:D54,'Multi Property Deal'!B55:D57,'Multi Property Deal'!B58:D60,'Multi Property Deal'!B61:D63)</f>
        <v>Address</v>
      </c>
      <c r="L6" s="666"/>
      <c r="M6" s="665" t="str">
        <f>_xlfn.TEXTJOIN("
",TRUE,"Title No",'Multi Property Deal'!F4:F6,'Multi Property Deal'!F7:F9,'Multi Property Deal'!F10:F12,'Multi Property Deal'!F13:F15,'Multi Property Deal'!F16:F18,'Multi Property Deal'!F19:F21,'Multi Property Deal'!F22:F24,'Multi Property Deal'!F25:F27,'Multi Property Deal'!F28:F30,'Multi Property Deal'!F31:F33,'Multi Property Deal'!F34:F36,'Multi Property Deal'!F37:F39,'Multi Property Deal'!F40:F42,'Multi Property Deal'!F43:F45,'Multi Property Deal'!F46:F48,'Multi Property Deal'!F49:F51,'Multi Property Deal'!F52:F54,'Multi Property Deal'!F55:F57,'Multi Property Deal'!F58:F60,'Multi Property Deal'!F61:F63)</f>
        <v>Title No</v>
      </c>
      <c r="N6" s="502"/>
      <c r="O6" s="503"/>
      <c r="P6" s="503"/>
      <c r="Q6" s="503"/>
      <c r="R6" s="503"/>
      <c r="S6" s="503"/>
    </row>
    <row r="7" spans="1:22" s="504" customFormat="1" ht="24" customHeight="1" x14ac:dyDescent="0.25">
      <c r="A7" s="678" t="s">
        <v>443</v>
      </c>
      <c r="B7" s="1066">
        <f>'Input Sheet'!$C$28</f>
        <v>0</v>
      </c>
      <c r="C7" s="1066"/>
      <c r="D7" s="1066"/>
      <c r="E7" s="505"/>
      <c r="F7" s="667"/>
      <c r="G7" s="674"/>
      <c r="H7" s="675"/>
      <c r="I7" s="676"/>
      <c r="J7" s="677"/>
      <c r="K7" s="665"/>
      <c r="L7" s="666"/>
      <c r="M7" s="665"/>
      <c r="N7" s="502"/>
      <c r="O7" s="503"/>
      <c r="P7" s="503"/>
      <c r="Q7" s="503"/>
      <c r="R7" s="503"/>
      <c r="S7" s="503"/>
    </row>
    <row r="8" spans="1:22" ht="183" customHeight="1" x14ac:dyDescent="0.35">
      <c r="A8" s="1085" t="s">
        <v>274</v>
      </c>
      <c r="B8" s="1085"/>
      <c r="C8" s="1085"/>
      <c r="D8" s="1085"/>
      <c r="E8" s="507"/>
      <c r="F8" s="508"/>
      <c r="G8" s="508"/>
      <c r="H8" s="508"/>
      <c r="I8" s="509"/>
      <c r="J8" s="509"/>
      <c r="K8" s="509"/>
      <c r="L8" s="509"/>
      <c r="M8" s="509"/>
      <c r="N8" s="91"/>
      <c r="O8"/>
      <c r="P8"/>
      <c r="Q8"/>
      <c r="R8"/>
      <c r="S8"/>
    </row>
    <row r="9" spans="1:22" ht="20.25" customHeight="1" x14ac:dyDescent="0.35">
      <c r="A9" s="1086" t="s">
        <v>275</v>
      </c>
      <c r="B9" s="1086"/>
      <c r="C9" s="1086"/>
      <c r="D9" s="1086"/>
      <c r="E9" s="511"/>
      <c r="F9" s="1119" t="s">
        <v>276</v>
      </c>
      <c r="G9" s="1119"/>
      <c r="H9" s="1119"/>
      <c r="I9" s="1119"/>
      <c r="J9" s="1119"/>
      <c r="K9" s="509"/>
      <c r="L9" s="509"/>
      <c r="M9" s="509"/>
      <c r="N9" s="91"/>
      <c r="O9"/>
      <c r="P9"/>
      <c r="Q9"/>
      <c r="R9"/>
      <c r="S9"/>
    </row>
    <row r="10" spans="1:22" ht="20.25" customHeight="1" x14ac:dyDescent="0.35">
      <c r="A10" s="512" t="s">
        <v>277</v>
      </c>
      <c r="B10" s="1068" t="str">
        <f>B5</f>
        <v>xxxxx (Company No: xxxxxxx)</v>
      </c>
      <c r="C10" s="1068"/>
      <c r="D10" s="1068"/>
      <c r="E10" s="507"/>
      <c r="F10" s="501" t="s">
        <v>269</v>
      </c>
      <c r="G10" s="513"/>
      <c r="H10" s="626"/>
      <c r="I10" s="494"/>
      <c r="J10" s="508"/>
      <c r="K10" s="509"/>
      <c r="L10" s="509"/>
      <c r="M10" s="509"/>
      <c r="N10"/>
      <c r="O10" s="514"/>
      <c r="P10"/>
      <c r="Q10"/>
      <c r="R10"/>
      <c r="S10"/>
    </row>
    <row r="11" spans="1:22" ht="20.25" customHeight="1" x14ac:dyDescent="0.35">
      <c r="A11" s="512" t="s">
        <v>278</v>
      </c>
      <c r="B11" s="1085" t="str">
        <f>"Bridge 'Fusion' "  &amp; IF('Input Sheet'!$C$13="Residential", "Residential", H11)</f>
        <v>Bridge 'Fusion' Semi-Commercial</v>
      </c>
      <c r="C11" s="1085"/>
      <c r="D11" s="1085"/>
      <c r="E11" s="507"/>
      <c r="F11" s="501"/>
      <c r="G11" s="513"/>
      <c r="H11" s="629" t="s">
        <v>427</v>
      </c>
      <c r="I11" s="630" t="s">
        <v>418</v>
      </c>
      <c r="J11" s="91"/>
      <c r="K11" s="91"/>
      <c r="L11" s="55"/>
      <c r="M11" s="55"/>
      <c r="N11" s="55"/>
      <c r="O11" s="515"/>
      <c r="P11"/>
      <c r="Q11"/>
      <c r="R11"/>
      <c r="S11"/>
    </row>
    <row r="12" spans="1:22" ht="30" customHeight="1" x14ac:dyDescent="0.35">
      <c r="A12" s="512" t="s">
        <v>378</v>
      </c>
      <c r="B12" s="1085" t="s">
        <v>379</v>
      </c>
      <c r="C12" s="1085"/>
      <c r="D12" s="1085"/>
      <c r="E12" s="507"/>
      <c r="F12" s="501"/>
      <c r="G12" s="513"/>
      <c r="H12" s="626"/>
      <c r="I12" s="91"/>
      <c r="J12" s="91"/>
      <c r="K12" s="91"/>
      <c r="L12" s="55"/>
      <c r="M12" s="55"/>
      <c r="N12" s="55"/>
      <c r="O12" s="515"/>
      <c r="P12"/>
      <c r="Q12"/>
      <c r="R12"/>
      <c r="S12"/>
    </row>
    <row r="13" spans="1:22" ht="45.75" customHeight="1" x14ac:dyDescent="0.35">
      <c r="A13" s="512" t="s">
        <v>279</v>
      </c>
      <c r="B13" s="1085" t="e">
        <f>"an annual tracker rate of " &amp;('Input Sheet'!F11-'Input Sheet'!C41)*100&amp;"% + Bank of England Base Rate (BBR) which is equal to a monthly coupon of " &amp;TEXT(('Input Sheet'!F11 - 'Input Sheet'!C41)/ 12, "0.00%")&amp;" + BBR. Following any change to BBR, your mortgage rate and monthly payment will be adjusted on the 1st day of the next calendar month."</f>
        <v>#VALUE!</v>
      </c>
      <c r="C13" s="1085"/>
      <c r="D13" s="1085"/>
      <c r="E13" s="507"/>
      <c r="F13" s="501"/>
      <c r="G13" s="513"/>
      <c r="H13" s="626"/>
      <c r="I13" s="91"/>
      <c r="J13" s="91"/>
      <c r="K13" s="91"/>
      <c r="L13" s="55"/>
      <c r="M13" s="55"/>
      <c r="N13" s="55"/>
      <c r="O13" s="515"/>
      <c r="P13"/>
      <c r="Q13"/>
      <c r="R13"/>
      <c r="S13"/>
    </row>
    <row r="14" spans="1:22" ht="36" customHeight="1" x14ac:dyDescent="0.35">
      <c r="A14" s="512" t="s">
        <v>380</v>
      </c>
      <c r="B14" s="1085" t="str">
        <f>TEXT('Input Sheet'!$F$15, "£#,##0") &amp; "  (including the Broker Client Fee, as below) "</f>
        <v xml:space="preserve">£0  (including the Broker Client Fee, as below) </v>
      </c>
      <c r="C14" s="1085"/>
      <c r="D14" s="1085"/>
      <c r="E14" s="507"/>
      <c r="F14" s="501"/>
      <c r="G14" s="513"/>
      <c r="H14" s="626"/>
      <c r="I14" s="91"/>
      <c r="J14" s="91"/>
      <c r="K14" s="91"/>
      <c r="L14" s="55"/>
      <c r="M14" s="55"/>
      <c r="N14" s="55"/>
      <c r="O14" s="515"/>
      <c r="P14"/>
      <c r="Q14"/>
      <c r="R14"/>
      <c r="S14"/>
    </row>
    <row r="15" spans="1:22" ht="42" customHeight="1" x14ac:dyDescent="0.35">
      <c r="A15" s="516" t="s">
        <v>377</v>
      </c>
      <c r="B15" s="1085" t="str">
        <f>TEXT('Input Sheet'!$F$12, "£#,##0") &amp; " (on estimated valuation of " &amp;TEXT('Input Sheet'!$C$27, "£#,##0") &amp; "). LTV must be maintained throughout the life of the Loan. An increase in Bank of England Base Rate (BBR) will result in an increased interest payment to maintain the initial LTV."</f>
        <v>£0 (on estimated valuation of £0). LTV must be maintained throughout the life of the Loan. An increase in Bank of England Base Rate (BBR) will result in an increased interest payment to maintain the initial LTV.</v>
      </c>
      <c r="C15" s="1085"/>
      <c r="D15" s="1085"/>
      <c r="E15" s="507"/>
      <c r="F15" s="501" t="s">
        <v>269</v>
      </c>
      <c r="G15" s="508"/>
      <c r="H15" s="508"/>
      <c r="I15" s="627"/>
      <c r="J15" s="627"/>
      <c r="K15" s="627"/>
      <c r="L15" s="494"/>
      <c r="M15" s="591"/>
      <c r="N15" s="591"/>
      <c r="O15" s="517"/>
      <c r="P15" s="517"/>
      <c r="Q15" s="517"/>
      <c r="R15" s="517"/>
      <c r="S15" s="517"/>
      <c r="T15" s="518"/>
      <c r="U15" s="518"/>
      <c r="V15" s="518"/>
    </row>
    <row r="16" spans="1:22" ht="24" customHeight="1" x14ac:dyDescent="0.35">
      <c r="A16" s="516" t="s">
        <v>381</v>
      </c>
      <c r="B16" s="1085" t="str">
        <f>TEXT('Input Sheet'!$F$18, "£#,##0") &amp; " ("&amp;TEXT('Input Sheet'!C34, "#.00%")&amp; " of the Gross Loan Amount)"</f>
        <v>£0 (.00% of the Gross Loan Amount)</v>
      </c>
      <c r="C16" s="1085"/>
      <c r="D16" s="1085"/>
      <c r="E16" s="507"/>
      <c r="F16" s="501"/>
      <c r="G16" s="508"/>
      <c r="H16" s="508"/>
      <c r="I16" s="627"/>
      <c r="J16" s="627"/>
      <c r="K16" s="627"/>
      <c r="L16" s="494"/>
      <c r="M16" s="591"/>
      <c r="N16" s="591"/>
      <c r="O16" s="517"/>
      <c r="P16" s="517"/>
      <c r="Q16" s="517"/>
      <c r="R16" s="517"/>
      <c r="S16" s="517"/>
      <c r="T16" s="518"/>
      <c r="U16" s="518"/>
      <c r="V16" s="518"/>
    </row>
    <row r="17" spans="1:19" ht="20.25" customHeight="1" x14ac:dyDescent="0.35">
      <c r="A17" s="512" t="s">
        <v>382</v>
      </c>
      <c r="B17" s="1117" t="str">
        <f>'Input Sheet'!$F$7&amp; " month(s), equivalent to " &amp;TEXT('Input Sheet'!$F$23, "£#,##0")</f>
        <v>6 month(s), equivalent to £0</v>
      </c>
      <c r="C17" s="1117"/>
      <c r="D17" s="1117"/>
      <c r="E17" s="519"/>
      <c r="F17" s="501"/>
      <c r="G17" s="508"/>
      <c r="H17" s="508"/>
      <c r="I17" s="508"/>
      <c r="J17" s="508"/>
      <c r="K17" s="508"/>
      <c r="L17" s="494"/>
      <c r="M17" s="521"/>
      <c r="N17"/>
      <c r="O17"/>
      <c r="P17"/>
      <c r="Q17"/>
      <c r="R17"/>
      <c r="S17"/>
    </row>
    <row r="18" spans="1:19" ht="20.25" customHeight="1" x14ac:dyDescent="0.35">
      <c r="A18" s="512" t="s">
        <v>422</v>
      </c>
      <c r="B18" s="1117" t="e">
        <f>TEXT('Input Sheet'!$F$9, "0.00%")&amp;"  deferred, equivalent to "&amp;TEXT('Input Sheet'!$F$24,"£#,##0")&amp;" over 24 months.  Pay Rate now "&amp;TEXT('Input Sheet'!F11-'Input Sheet'!$F$9, "0.00%")&amp;" for 24 months"</f>
        <v>#VALUE!</v>
      </c>
      <c r="C18" s="1117"/>
      <c r="D18" s="1117"/>
      <c r="E18" s="519"/>
      <c r="F18" s="542" t="str">
        <f>IF('Input Sheet'!F9&lt;0.00001,"HIDE ROW","")</f>
        <v>HIDE ROW</v>
      </c>
      <c r="G18" s="670" t="s">
        <v>419</v>
      </c>
      <c r="H18" s="508"/>
      <c r="I18" s="508"/>
      <c r="J18" s="508"/>
      <c r="K18" s="508"/>
      <c r="L18" s="494"/>
      <c r="M18" s="521"/>
      <c r="N18"/>
      <c r="O18"/>
      <c r="P18"/>
      <c r="Q18"/>
      <c r="R18"/>
      <c r="S18"/>
    </row>
    <row r="19" spans="1:19" ht="189" customHeight="1" x14ac:dyDescent="0.35">
      <c r="A19" s="512" t="s">
        <v>383</v>
      </c>
      <c r="B19" s="1117" t="str">
        <f>'Input Sheet'!F22&amp;" monthly payments of "&amp;TEXT('Input Sheet'!$F$29, "£#,##0") &amp; " will start in month "&amp;'Input Sheet'!$F$7+1&amp;" following drawdown of the Loan (following the months of Rolled Up interest), from a valid UK bank account.  
"&amp;'DIP Fusion'!M19</f>
        <v xml:space="preserve">18 monthly payments of £0 will start in month 7 following drawdown of the Loan (following the months of Rolled Up interest), from a valid UK bank account.  
*Monthly rate is rounded to 2 decimal points; however, Interest Rate is calculated on annualised rate. 
Please note, the amount stated to service the interest monthly is as of today’s date &amp; BBR. Any increase in the BBR will require the increased interest cost to be serviced from the 1st day of the next calendar month, regardless of if you are currently in a Rolled Up initial period. Any reduction in BBR will be credited back to you upon redemption.  
IMPORTANT: monthly payments shown in this illustration can be considerably different if a variable rate changes. For example: for every £100,000 borrowed a 0.25% increase in BBR would raise the annual cost by £250. Rates may increase by more than this, or be significantly different on the anticipated Interest Rate so make sure you can afford the monthly payment </v>
      </c>
      <c r="C19" s="1117"/>
      <c r="D19" s="1117"/>
      <c r="E19" s="519"/>
      <c r="F19" s="501"/>
      <c r="G19" s="508"/>
      <c r="H19" s="508"/>
      <c r="I19" s="552"/>
      <c r="J19" s="552"/>
      <c r="K19" s="552"/>
      <c r="L19" s="494"/>
      <c r="M19" s="592" t="s">
        <v>444</v>
      </c>
      <c r="N19"/>
      <c r="O19"/>
      <c r="P19"/>
      <c r="Q19"/>
      <c r="R19"/>
      <c r="S19"/>
    </row>
    <row r="20" spans="1:19" ht="20.25" customHeight="1" x14ac:dyDescent="0.35">
      <c r="A20" s="512" t="s">
        <v>384</v>
      </c>
      <c r="B20" s="1068" t="s">
        <v>385</v>
      </c>
      <c r="C20" s="1068"/>
      <c r="D20" s="1068"/>
      <c r="E20" s="507"/>
      <c r="F20" s="501"/>
      <c r="G20" s="508"/>
      <c r="H20" s="508"/>
      <c r="I20" s="508"/>
      <c r="J20" s="508"/>
      <c r="K20" s="508"/>
      <c r="L20" s="494"/>
      <c r="M20" s="521"/>
      <c r="N20"/>
      <c r="O20"/>
      <c r="P20"/>
      <c r="Q20"/>
      <c r="R20"/>
      <c r="S20"/>
    </row>
    <row r="21" spans="1:19" ht="100.5" customHeight="1" x14ac:dyDescent="0.35">
      <c r="A21" s="522" t="s">
        <v>386</v>
      </c>
      <c r="B21" s="1082" t="s">
        <v>1329</v>
      </c>
      <c r="C21" s="1082"/>
      <c r="D21" s="1082"/>
      <c r="E21" s="507"/>
      <c r="F21" s="501" t="s">
        <v>269</v>
      </c>
      <c r="G21" s="508"/>
      <c r="H21" s="508"/>
      <c r="I21" s="508"/>
      <c r="J21" s="508"/>
      <c r="K21" s="508"/>
      <c r="L21" s="494"/>
      <c r="M21" s="523"/>
      <c r="N21"/>
      <c r="O21"/>
      <c r="P21"/>
      <c r="Q21"/>
      <c r="R21"/>
      <c r="S21"/>
    </row>
    <row r="22" spans="1:19" ht="18.75" x14ac:dyDescent="0.35">
      <c r="A22" s="522" t="s">
        <v>387</v>
      </c>
      <c r="B22" s="1082" t="str">
        <f>TEXT('Input Sheet'!$F$19, "£#,##0") &amp;" (to be deducted from the Arrangement Fee) "</f>
        <v xml:space="preserve">£0 (to be deducted from the Arrangement Fee) </v>
      </c>
      <c r="C22" s="1082"/>
      <c r="D22" s="1082"/>
      <c r="E22" s="507"/>
      <c r="F22" s="501" t="s">
        <v>269</v>
      </c>
      <c r="H22" s="508"/>
      <c r="I22" s="508"/>
      <c r="J22" s="508"/>
      <c r="K22" s="508"/>
      <c r="L22" s="494"/>
      <c r="M22" s="523"/>
      <c r="N22"/>
      <c r="O22"/>
      <c r="P22"/>
      <c r="Q22"/>
      <c r="R22"/>
      <c r="S22"/>
    </row>
    <row r="23" spans="1:19" ht="28.5" customHeight="1" x14ac:dyDescent="0.35">
      <c r="A23" s="512" t="s">
        <v>388</v>
      </c>
      <c r="B23" s="1083" t="str">
        <f>TEXT('Input Sheet'!$F$20, "£#,##") &amp;" (to be deducted from the Net Loan Amount)."</f>
        <v>£ (to be deducted from the Net Loan Amount).</v>
      </c>
      <c r="C23" s="1083"/>
      <c r="D23" s="1083"/>
      <c r="E23" s="519"/>
      <c r="F23" s="684" t="s">
        <v>459</v>
      </c>
      <c r="G23" s="595"/>
      <c r="H23" s="508"/>
      <c r="I23" s="508"/>
      <c r="J23" s="508"/>
      <c r="K23" s="508"/>
      <c r="L23" s="494"/>
      <c r="M23" s="521"/>
      <c r="N23"/>
      <c r="O23"/>
      <c r="P23"/>
      <c r="Q23"/>
      <c r="R23"/>
      <c r="S23"/>
    </row>
    <row r="24" spans="1:19" s="530" customFormat="1" ht="109.5" customHeight="1" x14ac:dyDescent="0.35">
      <c r="A24" s="524" t="s">
        <v>389</v>
      </c>
      <c r="B24" s="1084" t="s">
        <v>1331</v>
      </c>
      <c r="C24" s="1084"/>
      <c r="D24" s="1084"/>
      <c r="E24" s="525"/>
      <c r="F24" s="526" t="s">
        <v>408</v>
      </c>
      <c r="G24" s="593"/>
      <c r="H24" s="539"/>
      <c r="I24" s="625"/>
      <c r="J24" s="625"/>
      <c r="K24" s="625"/>
      <c r="L24" s="539"/>
      <c r="M24" s="529"/>
      <c r="N24" s="527"/>
      <c r="O24" s="527"/>
      <c r="P24" s="527"/>
      <c r="Q24" s="527"/>
      <c r="R24" s="527"/>
      <c r="S24" s="527"/>
    </row>
    <row r="25" spans="1:19" s="530" customFormat="1" ht="34.5" customHeight="1" x14ac:dyDescent="0.35">
      <c r="A25" s="524" t="s">
        <v>451</v>
      </c>
      <c r="B25" s="1084" t="s">
        <v>1330</v>
      </c>
      <c r="C25" s="1084"/>
      <c r="D25" s="1084"/>
      <c r="E25" s="525"/>
      <c r="F25" s="526"/>
      <c r="G25" s="593"/>
      <c r="H25" s="539"/>
      <c r="I25" s="625"/>
      <c r="J25" s="625"/>
      <c r="K25" s="625"/>
      <c r="L25" s="539"/>
      <c r="M25" s="529"/>
      <c r="N25" s="527"/>
      <c r="O25" s="527"/>
      <c r="P25" s="527"/>
      <c r="Q25" s="527"/>
      <c r="R25" s="527"/>
      <c r="S25" s="527"/>
    </row>
    <row r="26" spans="1:19" s="530" customFormat="1" ht="118.5" customHeight="1" x14ac:dyDescent="0.35">
      <c r="A26" s="524" t="s">
        <v>390</v>
      </c>
      <c r="B26" s="1084" t="str">
        <f>"A Commitment Fee (a reasonable estimate of costs for undertaking the process necessary to prepare the Loan for completion) of " &amp;TEXT('Input Sheet'!$C$39, "£#,##0")&amp;'DIP Fusion'!N26</f>
        <v xml:space="preserve">A Commitment Fee (a reasonable estimate of costs for undertaking the process necessary to prepare the Loan for completion) of £0 is to be paid to us or an associated company as directed by us prior to instructing Valuers &amp; Solicitors and is payable on acceptance of this Decision in Principle. The Commitment Fee will be refunded to you by us on completion (drawdown) of the Loan. In circumstances where the Loan is not completed for reasons such as the property failing to meet valuation, the Loan failing to meet current underwriting criteria, you failing to satisfy customer due diligence, non-disclosure by you, misrepresentation by you, or any other matter or issue which, at our discretion deems us unable to proceed with providing you the Loan, the Commitment Fee will not be refunded.   </v>
      </c>
      <c r="C26" s="1084"/>
      <c r="D26" s="1084"/>
      <c r="E26" s="525"/>
      <c r="F26" s="501" t="s">
        <v>269</v>
      </c>
      <c r="G26" s="593"/>
      <c r="H26" s="539"/>
      <c r="I26" s="625"/>
      <c r="J26" s="625"/>
      <c r="K26" s="625"/>
      <c r="L26" s="539"/>
      <c r="M26" s="531"/>
      <c r="N26" s="529" t="s">
        <v>406</v>
      </c>
      <c r="O26" s="529"/>
      <c r="P26" s="529"/>
      <c r="Q26" s="529"/>
      <c r="R26" s="529"/>
      <c r="S26" s="532"/>
    </row>
    <row r="27" spans="1:19" ht="69.75" customHeight="1" x14ac:dyDescent="0.35">
      <c r="A27" s="533" t="s">
        <v>283</v>
      </c>
      <c r="B27" s="1068" t="str">
        <f>IF('Input Sheet'!F12&lt;=4000000,N27,M27)</f>
        <v xml:space="preserve">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
</v>
      </c>
      <c r="C27" s="1068"/>
      <c r="D27" s="1068"/>
      <c r="E27" s="507"/>
      <c r="F27" s="501" t="s">
        <v>269</v>
      </c>
      <c r="G27" s="91"/>
      <c r="H27" s="606" t="s">
        <v>66</v>
      </c>
      <c r="I27" s="608" t="s">
        <v>284</v>
      </c>
      <c r="J27" s="614"/>
      <c r="K27" s="614"/>
      <c r="L27" s="91"/>
      <c r="M27" s="517" t="str">
        <f>"A non-refundable Valuation Fee of "&amp;TEXT(IF(H27="TBC by Underwriters",100,H27),"£#,##")&amp;" is to be paid to us or an associated company as directed by us prior to instructing valuers. "&amp;"This represents the cost incurred by us for arranging the valuation. We may also instruct third party services like National Field Agency for a review of "&amp;"the application and fees incurred in the event of instructing any third party services will be payable by you."</f>
        <v>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v>
      </c>
      <c r="N27" s="517" t="str">
        <f>M27&amp; "
"&amp;O27</f>
        <v xml:space="preserve">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
</v>
      </c>
      <c r="O27" s="517"/>
      <c r="P27" s="517"/>
      <c r="Q27" s="517"/>
      <c r="R27" s="517"/>
      <c r="S27"/>
    </row>
    <row r="28" spans="1:19" ht="28.5" customHeight="1" x14ac:dyDescent="0.35">
      <c r="A28" s="533" t="s">
        <v>391</v>
      </c>
      <c r="B28" s="1068" t="s">
        <v>457</v>
      </c>
      <c r="C28" s="1068"/>
      <c r="D28" s="1068"/>
      <c r="E28" s="507"/>
      <c r="F28" s="501"/>
      <c r="G28" s="91"/>
      <c r="H28" s="91"/>
      <c r="I28" s="91"/>
      <c r="J28" s="91"/>
      <c r="K28" s="91"/>
      <c r="L28" s="91"/>
      <c r="M28" s="534"/>
      <c r="N28"/>
      <c r="O28"/>
      <c r="P28"/>
      <c r="Q28"/>
      <c r="R28"/>
      <c r="S28"/>
    </row>
    <row r="29" spans="1:19" ht="28.5" customHeight="1" x14ac:dyDescent="0.35">
      <c r="A29" s="535" t="s">
        <v>392</v>
      </c>
      <c r="B29" s="1068" t="str">
        <f>TEXT('Input Sheet'!$Q$12,"£#,##0.00")&amp;" (made up of 0.13% of the Gross Loan amount, subject to a minimum amount of £350 plus Insurance Premium Tax, currently 12% of premium).  Deducted from the Net Loan Amount at completion."</f>
        <v xml:space="preserve"> (made up of 0.13% of the Gross Loan amount, subject to a minimum amount of £350 plus Insurance Premium Tax, currently 12% of premium).  Deducted from the Net Loan Amount at completion.</v>
      </c>
      <c r="C29" s="1068"/>
      <c r="D29" s="1068"/>
      <c r="E29" s="507"/>
      <c r="F29" s="542" t="str">
        <f>IF('Input Sheet'!$Q$12="","HIDE ROW","")</f>
        <v>HIDE ROW</v>
      </c>
      <c r="G29" s="669" t="s">
        <v>288</v>
      </c>
      <c r="H29" s="91"/>
      <c r="I29" s="91"/>
      <c r="J29" s="91"/>
      <c r="K29" s="91"/>
      <c r="L29" s="91"/>
      <c r="M29" s="534"/>
      <c r="N29"/>
      <c r="O29"/>
      <c r="P29"/>
      <c r="Q29"/>
      <c r="R29"/>
      <c r="S29"/>
    </row>
    <row r="30" spans="1:19" s="547" customFormat="1" ht="108.75" customHeight="1" x14ac:dyDescent="0.25">
      <c r="A30" s="533" t="s">
        <v>289</v>
      </c>
      <c r="B30" s="1084" t="s">
        <v>436</v>
      </c>
      <c r="C30" s="1084"/>
      <c r="D30" s="1084"/>
      <c r="E30" s="545"/>
      <c r="F30" s="671" t="s">
        <v>441</v>
      </c>
      <c r="G30" s="683" t="s">
        <v>458</v>
      </c>
      <c r="H30" s="656"/>
      <c r="I30" s="657"/>
      <c r="J30" s="614"/>
      <c r="K30" s="91"/>
      <c r="L30" s="625"/>
      <c r="M30" s="658"/>
      <c r="N30" s="658"/>
      <c r="O30" s="625"/>
      <c r="P30" s="625"/>
      <c r="Q30" s="625"/>
      <c r="R30" s="528"/>
      <c r="S30" s="528"/>
    </row>
    <row r="31" spans="1:19" s="547" customFormat="1" ht="33.75" customHeight="1" x14ac:dyDescent="0.25">
      <c r="A31" s="533" t="s">
        <v>417</v>
      </c>
      <c r="B31" s="1068" t="str">
        <f>"a personal guarantee from "&amp;H31&amp;" for the repayment of the Gross Loan Amount plus all interest, default interest and costs and expenses."</f>
        <v>a personal guarantee from xxxxxxxxxxx for the repayment of the Gross Loan Amount plus all interest, default interest and costs and expenses.</v>
      </c>
      <c r="C31" s="1068"/>
      <c r="D31" s="1068"/>
      <c r="E31" s="545"/>
      <c r="F31" s="542" t="s">
        <v>410</v>
      </c>
      <c r="G31" s="668" t="s">
        <v>429</v>
      </c>
      <c r="H31" s="673" t="s">
        <v>290</v>
      </c>
      <c r="I31" s="647" t="s">
        <v>428</v>
      </c>
      <c r="J31" s="91"/>
      <c r="K31" s="91"/>
      <c r="L31" s="625"/>
      <c r="M31" s="607"/>
      <c r="N31" s="528"/>
      <c r="O31" s="528"/>
      <c r="P31" s="528"/>
      <c r="Q31" s="528"/>
      <c r="R31" s="528"/>
      <c r="S31" s="528"/>
    </row>
    <row r="32" spans="1:19" ht="23.25" customHeight="1" x14ac:dyDescent="0.35">
      <c r="A32" s="533" t="s">
        <v>393</v>
      </c>
      <c r="B32" s="1068" t="str">
        <f>"Loan to Value must not exceed " &amp; TEXT(ROUNDUP('Input Sheet'!$F$13, 2), "0%") &amp; "."</f>
        <v>Loan to Value must not exceed 0%.</v>
      </c>
      <c r="C32" s="1068"/>
      <c r="D32" s="1068"/>
      <c r="E32" s="507"/>
      <c r="F32" s="501"/>
      <c r="G32" s="91"/>
      <c r="H32" s="508"/>
      <c r="I32" s="672"/>
      <c r="J32" s="624"/>
      <c r="K32" s="624"/>
      <c r="L32" s="91"/>
      <c r="N32"/>
      <c r="O32"/>
      <c r="P32"/>
      <c r="Q32"/>
      <c r="R32"/>
      <c r="S32"/>
    </row>
    <row r="33" spans="1:19" ht="23.25" customHeight="1" x14ac:dyDescent="0.35">
      <c r="A33" s="533"/>
      <c r="B33" s="1068" t="s">
        <v>456</v>
      </c>
      <c r="C33" s="1068"/>
      <c r="D33" s="1068"/>
      <c r="E33" s="507"/>
      <c r="F33" s="501"/>
      <c r="G33" s="91"/>
      <c r="H33" s="508"/>
      <c r="I33" s="672"/>
      <c r="J33" s="624"/>
      <c r="K33" s="624"/>
      <c r="L33" s="91"/>
      <c r="N33"/>
      <c r="O33"/>
      <c r="P33"/>
      <c r="Q33"/>
      <c r="R33"/>
      <c r="S33"/>
    </row>
    <row r="34" spans="1:19" ht="27.75" customHeight="1" x14ac:dyDescent="0.35">
      <c r="A34" s="533"/>
      <c r="B34" s="1068"/>
      <c r="C34" s="1068"/>
      <c r="D34" s="1068"/>
      <c r="E34" s="507"/>
      <c r="F34" s="501"/>
      <c r="G34" s="91"/>
      <c r="H34" s="601" t="s">
        <v>409</v>
      </c>
      <c r="I34" s="596" t="s">
        <v>282</v>
      </c>
      <c r="J34" s="91"/>
      <c r="K34" s="596"/>
      <c r="L34" s="144"/>
      <c r="M34" s="597" t="str">
        <f>"A non-refundable fee of "&amp;TEXT(IF(H34="TBC by Underwriters",199,H34),"£#,##")&amp;" per property payable to MFS along with the Valuation Fee. "</f>
        <v xml:space="preserve">A non-refundable fee of £199 per property payable to MFS along with the Valuation Fee. </v>
      </c>
      <c r="N34" s="144"/>
      <c r="O34" s="144"/>
      <c r="P34" s="144"/>
      <c r="Q34" s="144"/>
      <c r="R34" s="144"/>
      <c r="S34"/>
    </row>
    <row r="35" spans="1:19" ht="65.25" customHeight="1" x14ac:dyDescent="0.35">
      <c r="A35" s="533"/>
      <c r="B35" s="1068"/>
      <c r="C35" s="1068"/>
      <c r="D35" s="1068"/>
      <c r="E35" s="507"/>
      <c r="F35" s="501"/>
      <c r="G35" s="91"/>
      <c r="H35" s="602" t="s">
        <v>66</v>
      </c>
      <c r="I35" s="596" t="s">
        <v>284</v>
      </c>
      <c r="J35" s="596"/>
      <c r="K35" s="596"/>
      <c r="L35" s="144"/>
      <c r="M35" s="1120" t="str">
        <f>"A non-refundable Valuation Fee of "&amp;TEXT(IF(H35="TBC by Underwriters",100,H35),"£#,##")&amp;" is to be paid to us or an associated company as directed by us prior to instructing valuers. "&amp;"This represents the cost incurred by us for arranging the valuation. We may also instruct third party services like National Field Agency for a review of "&amp;"the application and fees incurred in the event of instructing any third party services will be payable by you."</f>
        <v>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v>
      </c>
      <c r="N35" s="1120"/>
      <c r="O35" s="1120"/>
      <c r="P35" s="1120"/>
      <c r="Q35" s="1120"/>
      <c r="R35" s="1120"/>
      <c r="S35"/>
    </row>
    <row r="36" spans="1:19" ht="18" customHeight="1" x14ac:dyDescent="0.35">
      <c r="A36" s="533"/>
      <c r="B36" s="1068"/>
      <c r="C36" s="1068"/>
      <c r="D36" s="1068"/>
      <c r="E36" s="507"/>
      <c r="F36" s="541"/>
      <c r="G36" s="91"/>
      <c r="H36" s="603" t="s">
        <v>66</v>
      </c>
      <c r="I36" s="596" t="s">
        <v>287</v>
      </c>
      <c r="J36" s="596"/>
      <c r="K36" s="596"/>
      <c r="L36" s="144"/>
      <c r="M36" s="597" t="str">
        <f>TEXT(H36, "£#,##0") &amp; ", to be payable by you."</f>
        <v>TBC by the Underwriter, to be payable by you.</v>
      </c>
      <c r="N36" s="144"/>
      <c r="O36" s="144"/>
      <c r="P36" s="144"/>
      <c r="Q36" s="144"/>
      <c r="R36" s="144"/>
      <c r="S36"/>
    </row>
    <row r="37" spans="1:19" s="530" customFormat="1" ht="25.5" customHeight="1" x14ac:dyDescent="0.35">
      <c r="A37" s="533"/>
      <c r="B37" s="1068"/>
      <c r="C37" s="1068"/>
      <c r="D37" s="1068"/>
      <c r="E37" s="525"/>
      <c r="F37" s="594"/>
      <c r="G37" s="595"/>
      <c r="H37" s="383"/>
      <c r="I37" s="598"/>
      <c r="J37" s="598"/>
      <c r="K37" s="598"/>
      <c r="L37" s="383"/>
      <c r="M37" s="599" t="s">
        <v>408</v>
      </c>
      <c r="N37" s="383"/>
      <c r="O37" s="383"/>
      <c r="P37" s="383"/>
      <c r="Q37" s="383"/>
      <c r="R37" s="383"/>
      <c r="S37" s="527"/>
    </row>
    <row r="38" spans="1:19" s="547" customFormat="1" ht="58.5" customHeight="1" x14ac:dyDescent="0.25">
      <c r="A38" s="544"/>
      <c r="B38" s="1085"/>
      <c r="C38" s="1085"/>
      <c r="D38" s="1085"/>
      <c r="E38" s="545"/>
      <c r="F38" s="501"/>
      <c r="G38" s="546" t="s">
        <v>408</v>
      </c>
      <c r="H38" s="604"/>
      <c r="I38" s="600" t="s">
        <v>408</v>
      </c>
      <c r="J38" s="600"/>
      <c r="K38" s="600"/>
      <c r="L38" s="598"/>
      <c r="M38" s="599" t="s">
        <v>411</v>
      </c>
      <c r="N38" s="598"/>
      <c r="O38" s="598"/>
      <c r="P38" s="598"/>
      <c r="Q38" s="598"/>
      <c r="R38" s="598"/>
      <c r="S38" s="528"/>
    </row>
    <row r="39" spans="1:19" s="547" customFormat="1" ht="33.75" customHeight="1" x14ac:dyDescent="0.25">
      <c r="A39" s="533"/>
      <c r="B39" s="1068"/>
      <c r="C39" s="1068"/>
      <c r="D39" s="1068"/>
      <c r="E39" s="545"/>
      <c r="F39" s="501"/>
      <c r="G39" s="605"/>
      <c r="H39" s="602" t="s">
        <v>290</v>
      </c>
      <c r="I39" s="600" t="s">
        <v>408</v>
      </c>
      <c r="J39" s="600"/>
      <c r="K39" s="600"/>
      <c r="L39" s="598"/>
      <c r="M39" s="599"/>
      <c r="N39" s="598"/>
      <c r="O39" s="528"/>
      <c r="P39" s="528"/>
      <c r="Q39" s="528"/>
      <c r="R39" s="528"/>
      <c r="S39" s="528"/>
    </row>
    <row r="40" spans="1:19" ht="24" customHeight="1" x14ac:dyDescent="0.35">
      <c r="A40" s="1087" t="s">
        <v>292</v>
      </c>
      <c r="B40" s="1087"/>
      <c r="C40" s="1087"/>
      <c r="D40" s="1087"/>
      <c r="E40" s="511"/>
      <c r="F40" s="508"/>
      <c r="G40" s="91"/>
      <c r="H40" s="91"/>
      <c r="I40" s="508"/>
      <c r="J40" s="508"/>
      <c r="K40" s="508"/>
      <c r="L40" s="91"/>
      <c r="M40" s="549"/>
      <c r="N40" s="91"/>
      <c r="O40"/>
      <c r="P40"/>
      <c r="Q40"/>
      <c r="R40"/>
      <c r="S40"/>
    </row>
    <row r="41" spans="1:19" x14ac:dyDescent="0.35">
      <c r="A41" s="1088" t="s">
        <v>293</v>
      </c>
      <c r="B41" s="1088"/>
      <c r="C41" s="1088"/>
      <c r="D41" s="1088"/>
      <c r="E41" s="511"/>
      <c r="F41" s="508"/>
      <c r="G41" s="91"/>
      <c r="H41" s="91"/>
      <c r="I41" s="508"/>
      <c r="J41" s="508"/>
      <c r="K41" s="508"/>
      <c r="L41" s="91"/>
      <c r="M41" s="549"/>
      <c r="N41" s="91"/>
      <c r="O41"/>
      <c r="P41"/>
      <c r="Q41"/>
      <c r="R41"/>
      <c r="S41"/>
    </row>
    <row r="42" spans="1:19" ht="19.5" customHeight="1" x14ac:dyDescent="0.35">
      <c r="A42" s="1068" t="s">
        <v>294</v>
      </c>
      <c r="B42" s="1068"/>
      <c r="C42" s="1068"/>
      <c r="D42" s="1068"/>
      <c r="E42" s="507"/>
      <c r="F42" s="508"/>
      <c r="G42" s="91"/>
      <c r="H42" s="91"/>
      <c r="I42" s="508"/>
      <c r="J42" s="508"/>
      <c r="K42" s="508"/>
      <c r="L42" s="91"/>
      <c r="M42" s="549"/>
      <c r="N42" s="91"/>
      <c r="O42"/>
      <c r="P42"/>
      <c r="Q42"/>
      <c r="R42"/>
      <c r="S42"/>
    </row>
    <row r="43" spans="1:19" ht="18" customHeight="1" thickBot="1" x14ac:dyDescent="0.4">
      <c r="A43" s="1088" t="s">
        <v>394</v>
      </c>
      <c r="B43" s="1088"/>
      <c r="C43" s="1088"/>
      <c r="D43" s="1088"/>
      <c r="E43" s="511"/>
      <c r="F43" s="508"/>
      <c r="G43" s="91"/>
      <c r="H43" s="91"/>
      <c r="I43" s="508"/>
      <c r="J43" s="508"/>
      <c r="K43" s="508"/>
      <c r="L43" s="91"/>
      <c r="M43" s="549"/>
      <c r="N43" s="91"/>
      <c r="O43"/>
      <c r="P43"/>
      <c r="Q43"/>
      <c r="R43"/>
      <c r="S43"/>
    </row>
    <row r="44" spans="1:19" ht="80.25" customHeight="1" thickBot="1" x14ac:dyDescent="0.4">
      <c r="A44" s="1068" t="str">
        <f>M44</f>
        <v xml:space="preserve">Please note that the terms offered are valid for only 14 days from the date of this offer. 
The Loan as per the terms offered within The Summary above must be drawn down on or before 21 Days from the date on which we instruct our solicitors. Failure to complete the drawdown of the Loan on or before 21 Days from the date of which we instruct our solicitors will render the loan offer expired and you will be liable to pay our costs incurred including our solicitors’ abortive legal fees and disbursements. </v>
      </c>
      <c r="B44" s="1068"/>
      <c r="C44" s="1068"/>
      <c r="D44" s="1068"/>
      <c r="E44" s="507"/>
      <c r="F44" s="501" t="s">
        <v>295</v>
      </c>
      <c r="G44"/>
      <c r="H44" s="651">
        <f ca="1">B4+14</f>
        <v>46003</v>
      </c>
      <c r="I44" s="652" t="s">
        <v>431</v>
      </c>
      <c r="J44" s="513"/>
      <c r="K44" s="513"/>
      <c r="L44"/>
      <c r="M44" s="1115" t="s">
        <v>395</v>
      </c>
      <c r="N44" s="1115"/>
      <c r="O44" s="1115"/>
      <c r="P44" s="1115"/>
      <c r="Q44" s="1115"/>
      <c r="R44" s="1115"/>
      <c r="S44"/>
    </row>
    <row r="45" spans="1:19" x14ac:dyDescent="0.35">
      <c r="A45" s="1088" t="s">
        <v>297</v>
      </c>
      <c r="B45" s="1088"/>
      <c r="C45" s="1088"/>
      <c r="D45" s="1088"/>
      <c r="E45" s="511"/>
      <c r="F45" s="508"/>
      <c r="G45" s="91"/>
      <c r="H45" s="91"/>
      <c r="I45" s="508"/>
      <c r="J45" s="508"/>
      <c r="K45" s="508"/>
      <c r="L45" s="91"/>
      <c r="M45" s="549"/>
      <c r="N45" s="91"/>
      <c r="O45"/>
      <c r="P45"/>
      <c r="Q45"/>
      <c r="R45"/>
      <c r="S45"/>
    </row>
    <row r="46" spans="1:19" ht="115.5" customHeight="1" x14ac:dyDescent="0.35">
      <c r="A46" s="1089" t="s">
        <v>396</v>
      </c>
      <c r="B46" s="1089"/>
      <c r="C46" s="1089"/>
      <c r="D46" s="1089"/>
      <c r="E46" s="507"/>
      <c r="F46" s="508"/>
      <c r="G46" s="91"/>
      <c r="H46" s="91"/>
      <c r="I46" s="508"/>
      <c r="J46" s="508"/>
      <c r="K46" s="508"/>
      <c r="L46" s="91"/>
      <c r="M46" s="549"/>
      <c r="N46" s="91"/>
      <c r="O46"/>
      <c r="P46"/>
      <c r="Q46"/>
      <c r="R46"/>
      <c r="S46"/>
    </row>
    <row r="47" spans="1:19" ht="221.25" customHeight="1" x14ac:dyDescent="0.35">
      <c r="A47" s="1089" t="s">
        <v>434</v>
      </c>
      <c r="B47" s="1089"/>
      <c r="C47" s="1089"/>
      <c r="D47" s="1089"/>
      <c r="E47" s="507"/>
      <c r="F47" s="508"/>
      <c r="G47" s="91"/>
      <c r="H47" s="91"/>
      <c r="I47" s="508"/>
      <c r="J47" s="508"/>
      <c r="K47" s="508"/>
      <c r="L47" s="91"/>
      <c r="M47" s="549"/>
      <c r="N47" s="91"/>
      <c r="O47"/>
      <c r="P47"/>
      <c r="Q47"/>
      <c r="R47"/>
      <c r="S47"/>
    </row>
    <row r="48" spans="1:19" ht="116.25" customHeight="1" x14ac:dyDescent="0.35">
      <c r="A48" s="1089" t="s">
        <v>1328</v>
      </c>
      <c r="B48" s="1089"/>
      <c r="C48" s="1089"/>
      <c r="D48" s="1089"/>
      <c r="E48" s="507"/>
      <c r="F48" s="508"/>
      <c r="G48" s="91"/>
      <c r="H48" s="91"/>
      <c r="I48" s="508"/>
      <c r="J48" s="508"/>
      <c r="K48" s="508"/>
      <c r="L48" s="91"/>
      <c r="M48" s="549"/>
      <c r="N48" s="91"/>
      <c r="O48"/>
      <c r="P48"/>
      <c r="Q48"/>
      <c r="R48"/>
      <c r="S48"/>
    </row>
    <row r="49" spans="1:19" ht="63" customHeight="1" x14ac:dyDescent="0.35">
      <c r="A49" s="1089" t="s">
        <v>435</v>
      </c>
      <c r="B49" s="1089"/>
      <c r="C49" s="1089"/>
      <c r="D49" s="1089"/>
      <c r="E49" s="507"/>
      <c r="F49" s="508"/>
      <c r="G49" s="91"/>
      <c r="H49" s="91"/>
      <c r="I49" s="508"/>
      <c r="J49" s="508"/>
      <c r="K49" s="508"/>
      <c r="L49" s="91"/>
      <c r="M49" s="549"/>
      <c r="N49" s="91"/>
      <c r="O49"/>
      <c r="P49"/>
      <c r="Q49"/>
      <c r="R49"/>
      <c r="S49"/>
    </row>
    <row r="50" spans="1:19" s="553" customFormat="1" ht="25.5" customHeight="1" x14ac:dyDescent="0.25">
      <c r="A50" s="1092" t="s">
        <v>298</v>
      </c>
      <c r="B50" s="1092"/>
      <c r="C50" s="1092"/>
      <c r="D50" s="1092"/>
      <c r="E50" s="551"/>
      <c r="F50" s="508"/>
      <c r="G50" s="552"/>
      <c r="H50" s="552"/>
      <c r="I50" s="552"/>
      <c r="J50" s="552"/>
      <c r="K50" s="552"/>
      <c r="L50" s="508"/>
      <c r="M50" s="510"/>
      <c r="N50" s="508"/>
      <c r="O50" s="494"/>
      <c r="P50" s="494"/>
      <c r="Q50" s="494"/>
      <c r="R50" s="494"/>
      <c r="S50" s="494"/>
    </row>
    <row r="51" spans="1:19" s="553" customFormat="1" ht="74.25" customHeight="1" thickBot="1" x14ac:dyDescent="0.3">
      <c r="A51" s="1068" t="s">
        <v>397</v>
      </c>
      <c r="B51" s="1068"/>
      <c r="C51" s="1068"/>
      <c r="D51" s="1068"/>
      <c r="E51" s="551"/>
      <c r="F51" s="508"/>
      <c r="G51" s="554"/>
      <c r="H51" s="554"/>
      <c r="I51" s="554"/>
      <c r="J51" s="554"/>
      <c r="K51" s="554"/>
      <c r="L51" s="508"/>
      <c r="M51" s="510"/>
      <c r="N51" s="508"/>
      <c r="O51" s="494"/>
      <c r="P51" s="494"/>
      <c r="Q51" s="494"/>
      <c r="R51" s="494"/>
      <c r="S51" s="494"/>
    </row>
    <row r="52" spans="1:19" s="553" customFormat="1" ht="58.5" customHeight="1" x14ac:dyDescent="0.25">
      <c r="A52" s="1068" t="s">
        <v>398</v>
      </c>
      <c r="B52" s="1068"/>
      <c r="C52" s="1068"/>
      <c r="D52" s="1068"/>
      <c r="E52" s="551"/>
      <c r="F52" s="1069" t="s">
        <v>439</v>
      </c>
      <c r="G52" s="623"/>
      <c r="H52" s="1070" t="s">
        <v>108</v>
      </c>
      <c r="I52" s="1071" t="s">
        <v>438</v>
      </c>
      <c r="J52" s="623"/>
      <c r="K52" s="623"/>
      <c r="L52" s="508"/>
      <c r="M52" s="510"/>
      <c r="N52" s="508"/>
      <c r="O52" s="494"/>
      <c r="P52" s="494"/>
      <c r="Q52" s="494"/>
      <c r="R52" s="494"/>
      <c r="S52" s="494"/>
    </row>
    <row r="53" spans="1:19" ht="26.25" customHeight="1" x14ac:dyDescent="0.35">
      <c r="A53" s="1068" t="s">
        <v>399</v>
      </c>
      <c r="B53" s="1068"/>
      <c r="C53" s="1068"/>
      <c r="D53" s="1068"/>
      <c r="E53" s="507"/>
      <c r="F53" s="1069"/>
      <c r="G53" s="91"/>
      <c r="H53" s="1070"/>
      <c r="I53" s="1072"/>
      <c r="J53" s="508"/>
      <c r="K53" s="508"/>
      <c r="L53" s="91"/>
      <c r="M53" s="549"/>
      <c r="N53" s="91"/>
      <c r="O53"/>
      <c r="P53"/>
      <c r="Q53"/>
      <c r="R53"/>
      <c r="S53"/>
    </row>
    <row r="54" spans="1:19" ht="26.25" customHeight="1" thickBot="1" x14ac:dyDescent="0.4">
      <c r="A54" s="1068" t="s">
        <v>453</v>
      </c>
      <c r="B54" s="1068"/>
      <c r="C54" s="1068"/>
      <c r="D54" s="1068"/>
      <c r="E54" s="507"/>
      <c r="F54" s="1069"/>
      <c r="G54" s="91"/>
      <c r="H54" s="1070"/>
      <c r="I54" s="1073"/>
      <c r="J54" s="508"/>
      <c r="K54" s="508"/>
      <c r="L54" s="91"/>
      <c r="M54" s="549"/>
      <c r="N54" s="91"/>
      <c r="O54"/>
      <c r="P54"/>
      <c r="Q54"/>
      <c r="R54"/>
      <c r="S54"/>
    </row>
    <row r="55" spans="1:19" x14ac:dyDescent="0.35">
      <c r="A55" s="555" t="s">
        <v>299</v>
      </c>
      <c r="B55" s="556"/>
      <c r="C55" s="556"/>
      <c r="D55" s="228"/>
      <c r="E55" s="511"/>
      <c r="F55" s="508"/>
      <c r="G55" s="91"/>
      <c r="H55" s="91"/>
      <c r="I55" s="508"/>
      <c r="J55" s="508"/>
      <c r="K55" s="508"/>
      <c r="L55" s="91"/>
      <c r="M55" s="497"/>
      <c r="N55" s="91"/>
      <c r="O55"/>
      <c r="P55"/>
      <c r="Q55"/>
      <c r="R55"/>
      <c r="S55"/>
    </row>
    <row r="56" spans="1:19" ht="40.5" customHeight="1" x14ac:dyDescent="0.35">
      <c r="A56" s="1068" t="s">
        <v>300</v>
      </c>
      <c r="B56" s="1068"/>
      <c r="C56" s="1068"/>
      <c r="D56" s="1068"/>
      <c r="E56" s="507"/>
      <c r="F56" s="557"/>
      <c r="G56" s="557"/>
      <c r="H56" s="557"/>
      <c r="I56" s="557"/>
      <c r="J56" s="557"/>
      <c r="K56" s="557"/>
      <c r="L56" s="557"/>
      <c r="M56" s="557"/>
      <c r="N56" s="557"/>
      <c r="O56" s="557"/>
      <c r="P56" s="557"/>
      <c r="Q56"/>
      <c r="R56"/>
      <c r="S56"/>
    </row>
    <row r="57" spans="1:19" ht="57" customHeight="1" x14ac:dyDescent="0.35">
      <c r="A57" s="1068" t="s">
        <v>432</v>
      </c>
      <c r="B57" s="1068"/>
      <c r="C57" s="1068"/>
      <c r="D57" s="1068"/>
      <c r="E57" s="507"/>
      <c r="F57" s="618"/>
      <c r="G57" s="619" t="str">
        <f>H57&amp;I57</f>
        <v>60</v>
      </c>
      <c r="H57" s="620">
        <f>'Input Sheet'!$F$7</f>
        <v>6</v>
      </c>
      <c r="I57" s="621">
        <f>'Input Sheet'!$F$9</f>
        <v>0</v>
      </c>
      <c r="J57" s="622"/>
      <c r="K57" s="622"/>
      <c r="L57" s="91"/>
      <c r="M57" s="557" t="str">
        <f>"You authorise us to deduct (and/or to instruct our solicitor), any Product Fee (which includes the Broker’s Commission as specified in The Summary), Legal Fees and expenses, "&amp;IF('Input Sheet'!Q6="Yes","Title Insurance fee, ","")&amp;IF(G57&gt;0,"any Interest (months of interest rolled and deferred until loan redemption), ","")&amp;N57</f>
        <v>You authorise us to deduct (and/or to instruct our solicitor), any Product Fee (which includes the Broker’s Commission as specified in The Summary), Legal Fees and expenses, any Interest (months of interest rolled and deferred until loan redemption), and any other fees, costs, or expenses payable by you (which have not already been paid), from the Gross Loan Amount upon completion of the Loan.</v>
      </c>
      <c r="N57" s="558" t="s">
        <v>301</v>
      </c>
      <c r="O57" s="557"/>
      <c r="P57" s="557"/>
      <c r="Q57"/>
      <c r="R57"/>
      <c r="S57"/>
    </row>
    <row r="58" spans="1:19" x14ac:dyDescent="0.35">
      <c r="A58" s="1088" t="s">
        <v>302</v>
      </c>
      <c r="B58" s="1088"/>
      <c r="C58" s="1088"/>
      <c r="D58" s="1088"/>
      <c r="E58" s="511"/>
      <c r="F58" s="508"/>
      <c r="G58" s="91"/>
      <c r="H58" s="91"/>
      <c r="I58" s="508"/>
      <c r="J58" s="508"/>
      <c r="K58" s="508"/>
      <c r="L58" s="91"/>
      <c r="M58" s="549"/>
      <c r="N58" s="91"/>
      <c r="O58"/>
      <c r="P58"/>
      <c r="Q58"/>
      <c r="R58"/>
      <c r="S58"/>
    </row>
    <row r="59" spans="1:19" ht="87" customHeight="1" x14ac:dyDescent="0.35">
      <c r="A59" s="1068" t="str">
        <f>M59</f>
        <v xml:space="preserve">Market Financial Solutions or its investors pay a part of the Product Fee to your Introducer/Broker as Broker’s Commission upon drawdown of the Loan, in the amount as specified in The Summary. This means that your Broker/Intermediary may be unable to provide impartial advice about the Loan to you. </v>
      </c>
      <c r="B59" s="1068"/>
      <c r="C59" s="1068"/>
      <c r="D59" s="1068"/>
      <c r="E59" s="507"/>
      <c r="F59" s="501" t="s">
        <v>269</v>
      </c>
      <c r="G59" s="587"/>
      <c r="H59" s="620" t="str">
        <f>IF('Input Sheet'!F20&gt;1, "Yes","No")</f>
        <v>No</v>
      </c>
      <c r="I59" s="659"/>
      <c r="J59" s="617"/>
      <c r="K59" s="617"/>
      <c r="L59" s="91"/>
      <c r="M59" s="559" t="str">
        <f>IF(H59="Yes",N59,O59)</f>
        <v xml:space="preserve">Market Financial Solutions or its investors pay a part of the Product Fee to your Introducer/Broker as Broker’s Commission upon drawdown of the Loan, in the amount as specified in The Summary. This means that your Broker/Intermediary may be unable to provide impartial advice about the Loan to you. </v>
      </c>
      <c r="N59" s="559" t="s">
        <v>303</v>
      </c>
      <c r="O59" s="559" t="s">
        <v>304</v>
      </c>
      <c r="P59"/>
      <c r="Q59"/>
      <c r="R59"/>
      <c r="S59"/>
    </row>
    <row r="60" spans="1:19" ht="27" customHeight="1" x14ac:dyDescent="0.35">
      <c r="A60" s="1094" t="s">
        <v>305</v>
      </c>
      <c r="B60" s="1094"/>
      <c r="C60" s="1094"/>
      <c r="D60" s="1094"/>
      <c r="E60" s="511"/>
      <c r="F60" s="508"/>
      <c r="G60" s="91"/>
      <c r="H60" s="91"/>
      <c r="I60" s="508"/>
      <c r="J60" s="508"/>
      <c r="K60" s="508"/>
      <c r="L60" s="91"/>
      <c r="M60" s="549"/>
      <c r="N60" s="91"/>
      <c r="O60"/>
      <c r="P60"/>
      <c r="Q60"/>
      <c r="R60"/>
      <c r="S60"/>
    </row>
    <row r="61" spans="1:19" ht="204.75" customHeight="1" x14ac:dyDescent="0.35">
      <c r="A61" s="1068" t="s">
        <v>400</v>
      </c>
      <c r="B61" s="1068"/>
      <c r="C61" s="1068"/>
      <c r="D61" s="1068"/>
      <c r="E61" s="507"/>
      <c r="F61" s="508"/>
      <c r="G61" s="91"/>
      <c r="H61" s="91"/>
      <c r="I61" s="508"/>
      <c r="J61" s="508"/>
      <c r="K61" s="508"/>
      <c r="L61" s="91"/>
      <c r="M61" s="562"/>
      <c r="N61" s="91"/>
      <c r="O61" s="562"/>
      <c r="P61"/>
      <c r="Q61"/>
      <c r="R61"/>
      <c r="S61"/>
    </row>
    <row r="62" spans="1:19" ht="22.5" customHeight="1" x14ac:dyDescent="0.35">
      <c r="A62" s="1110" t="s">
        <v>306</v>
      </c>
      <c r="B62" s="1110"/>
      <c r="C62" s="1110"/>
      <c r="D62" s="1110"/>
      <c r="E62" s="511"/>
      <c r="F62" s="508"/>
      <c r="G62" s="91"/>
      <c r="H62" s="91"/>
      <c r="I62" s="508"/>
      <c r="J62" s="508"/>
      <c r="K62" s="508"/>
      <c r="L62" s="91"/>
      <c r="M62" s="549"/>
      <c r="N62" s="91"/>
      <c r="O62"/>
      <c r="P62"/>
      <c r="Q62"/>
      <c r="R62"/>
      <c r="S62"/>
    </row>
    <row r="63" spans="1:19" ht="45" customHeight="1" x14ac:dyDescent="0.35">
      <c r="A63" s="1093" t="s">
        <v>1326</v>
      </c>
      <c r="B63" s="1093"/>
      <c r="C63" s="1093"/>
      <c r="D63" s="1093"/>
      <c r="E63" s="507"/>
      <c r="F63" s="611"/>
      <c r="G63" s="91"/>
      <c r="H63" s="91"/>
      <c r="I63" s="508"/>
      <c r="J63" s="508"/>
      <c r="K63" s="508"/>
      <c r="L63" s="91"/>
      <c r="M63" s="549" t="s">
        <v>1326</v>
      </c>
      <c r="N63" s="91"/>
      <c r="O63"/>
      <c r="P63"/>
      <c r="Q63"/>
      <c r="R63"/>
      <c r="S63"/>
    </row>
    <row r="64" spans="1:19" x14ac:dyDescent="0.35">
      <c r="A64" s="1092" t="s">
        <v>307</v>
      </c>
      <c r="B64" s="1092"/>
      <c r="C64" s="1092"/>
      <c r="D64" s="1092"/>
      <c r="E64" s="511"/>
      <c r="F64" s="508"/>
      <c r="G64" s="91"/>
      <c r="H64" s="91"/>
      <c r="I64" s="508"/>
      <c r="J64" s="508"/>
      <c r="K64" s="508"/>
      <c r="L64" s="91"/>
      <c r="M64" s="549"/>
      <c r="N64" s="91"/>
      <c r="O64"/>
      <c r="P64"/>
      <c r="Q64"/>
      <c r="R64"/>
      <c r="S64"/>
    </row>
    <row r="65" spans="1:19" ht="93" customHeight="1" x14ac:dyDescent="0.35">
      <c r="A65" s="1068" t="s">
        <v>308</v>
      </c>
      <c r="B65" s="1068"/>
      <c r="C65" s="1068"/>
      <c r="D65" s="1068"/>
      <c r="E65" s="507"/>
      <c r="F65" s="508"/>
      <c r="G65" s="91"/>
      <c r="H65" s="91"/>
      <c r="I65" s="508"/>
      <c r="J65" s="508"/>
      <c r="K65" s="508"/>
      <c r="L65" s="91"/>
      <c r="M65" s="549"/>
      <c r="N65" s="91"/>
      <c r="O65"/>
      <c r="P65"/>
      <c r="Q65"/>
      <c r="R65"/>
      <c r="S65"/>
    </row>
    <row r="66" spans="1:19" ht="26.25" customHeight="1" x14ac:dyDescent="0.35">
      <c r="A66" s="1114" t="s">
        <v>309</v>
      </c>
      <c r="B66" s="1114"/>
      <c r="C66" s="1114"/>
      <c r="D66" s="1114"/>
      <c r="E66" s="511"/>
      <c r="F66" s="508"/>
      <c r="G66" s="91"/>
      <c r="H66" s="91"/>
      <c r="I66" s="508"/>
      <c r="J66" s="508"/>
      <c r="K66" s="508"/>
      <c r="L66" s="91"/>
      <c r="M66" s="549"/>
      <c r="N66" s="91"/>
      <c r="O66"/>
      <c r="P66"/>
      <c r="Q66"/>
      <c r="R66"/>
      <c r="S66"/>
    </row>
    <row r="67" spans="1:19" ht="25.5" customHeight="1" x14ac:dyDescent="0.35">
      <c r="A67" s="1111" t="s">
        <v>310</v>
      </c>
      <c r="B67" s="1112"/>
      <c r="C67" s="1112"/>
      <c r="D67" s="1113"/>
      <c r="E67" s="563"/>
      <c r="F67" s="1067" t="s">
        <v>311</v>
      </c>
      <c r="G67" s="1067"/>
      <c r="H67" s="1067"/>
      <c r="I67" s="1067"/>
      <c r="J67" s="1067"/>
      <c r="K67" s="508"/>
      <c r="L67" s="508"/>
      <c r="M67" s="508"/>
      <c r="N67" s="564"/>
      <c r="O67"/>
      <c r="P67"/>
      <c r="Q67"/>
      <c r="R67"/>
      <c r="S67"/>
    </row>
    <row r="68" spans="1:19" x14ac:dyDescent="0.35">
      <c r="A68" s="1090" t="s">
        <v>80</v>
      </c>
      <c r="B68" s="1091"/>
      <c r="C68" s="1090" t="s">
        <v>312</v>
      </c>
      <c r="D68" s="1091"/>
      <c r="E68" s="565"/>
      <c r="F68" s="566"/>
      <c r="G68"/>
      <c r="H68" s="527"/>
      <c r="I68" s="494"/>
      <c r="J68" s="494"/>
      <c r="K68" s="508"/>
      <c r="L68" s="508"/>
      <c r="M68" s="508"/>
      <c r="N68" s="91"/>
      <c r="O68"/>
      <c r="P68"/>
      <c r="Q68"/>
      <c r="R68"/>
      <c r="S68"/>
    </row>
    <row r="69" spans="1:19" ht="14.25" customHeight="1" x14ac:dyDescent="0.35">
      <c r="A69" s="1095" t="s">
        <v>313</v>
      </c>
      <c r="B69" s="1096"/>
      <c r="C69" s="1097">
        <f t="shared" ref="C69:C89" si="0">H69</f>
        <v>0</v>
      </c>
      <c r="D69" s="1098"/>
      <c r="E69" s="567"/>
      <c r="F69" s="566"/>
      <c r="G69"/>
      <c r="H69" s="568">
        <v>0</v>
      </c>
      <c r="I69" s="494"/>
      <c r="J69" s="494"/>
      <c r="K69" s="508"/>
      <c r="L69" s="508"/>
      <c r="M69" s="508"/>
      <c r="N69" s="91"/>
      <c r="O69"/>
      <c r="P69"/>
      <c r="Q69"/>
      <c r="R69"/>
      <c r="S69"/>
    </row>
    <row r="70" spans="1:19" ht="14.25" customHeight="1" x14ac:dyDescent="0.35">
      <c r="A70" s="1095" t="s">
        <v>314</v>
      </c>
      <c r="B70" s="1096"/>
      <c r="C70" s="1097">
        <f t="shared" si="0"/>
        <v>0</v>
      </c>
      <c r="D70" s="1098"/>
      <c r="E70" s="567"/>
      <c r="F70" s="566"/>
      <c r="G70"/>
      <c r="H70" s="568">
        <v>0</v>
      </c>
      <c r="I70" s="494"/>
      <c r="J70" s="494"/>
      <c r="K70" s="508"/>
      <c r="L70" s="508"/>
      <c r="M70" s="508"/>
      <c r="N70" s="91"/>
      <c r="O70"/>
      <c r="P70"/>
      <c r="Q70"/>
      <c r="R70"/>
      <c r="S70"/>
    </row>
    <row r="71" spans="1:19" ht="14.25" customHeight="1" x14ac:dyDescent="0.35">
      <c r="A71" s="1095" t="s">
        <v>315</v>
      </c>
      <c r="B71" s="1096"/>
      <c r="C71" s="1097">
        <f t="shared" si="0"/>
        <v>250</v>
      </c>
      <c r="D71" s="1098"/>
      <c r="E71" s="567"/>
      <c r="F71" s="566"/>
      <c r="G71"/>
      <c r="H71" s="568">
        <v>250</v>
      </c>
      <c r="I71" s="494"/>
      <c r="J71" s="494"/>
      <c r="K71" s="508"/>
      <c r="L71" s="508"/>
      <c r="M71" s="508"/>
      <c r="N71" s="91"/>
      <c r="O71"/>
      <c r="P71"/>
      <c r="Q71"/>
      <c r="R71"/>
      <c r="S71"/>
    </row>
    <row r="72" spans="1:19" ht="14.25" customHeight="1" x14ac:dyDescent="0.35">
      <c r="A72" s="1095" t="s">
        <v>316</v>
      </c>
      <c r="B72" s="1096"/>
      <c r="C72" s="1097">
        <f t="shared" si="0"/>
        <v>500</v>
      </c>
      <c r="D72" s="1098"/>
      <c r="E72" s="567"/>
      <c r="F72" s="566"/>
      <c r="G72"/>
      <c r="H72" s="568">
        <v>500</v>
      </c>
      <c r="I72" s="494"/>
      <c r="J72" s="494"/>
      <c r="K72" s="508"/>
      <c r="L72" s="508"/>
      <c r="M72" s="508"/>
      <c r="N72" s="91"/>
      <c r="O72"/>
      <c r="P72"/>
      <c r="Q72"/>
      <c r="R72"/>
      <c r="S72"/>
    </row>
    <row r="73" spans="1:19" ht="14.25" customHeight="1" x14ac:dyDescent="0.35">
      <c r="A73" s="1095" t="s">
        <v>317</v>
      </c>
      <c r="B73" s="1096"/>
      <c r="C73" s="1097">
        <f t="shared" si="0"/>
        <v>35</v>
      </c>
      <c r="D73" s="1098"/>
      <c r="E73" s="567"/>
      <c r="F73" s="566"/>
      <c r="G73"/>
      <c r="H73" s="568">
        <v>35</v>
      </c>
      <c r="I73" s="494"/>
      <c r="J73" s="494"/>
      <c r="K73" s="508"/>
      <c r="L73" s="508"/>
      <c r="M73" s="508"/>
      <c r="N73" s="91"/>
      <c r="O73"/>
      <c r="P73"/>
      <c r="Q73"/>
      <c r="R73"/>
      <c r="S73"/>
    </row>
    <row r="74" spans="1:19" ht="14.25" customHeight="1" x14ac:dyDescent="0.35">
      <c r="A74" s="1095" t="s">
        <v>318</v>
      </c>
      <c r="B74" s="1096"/>
      <c r="C74" s="1097">
        <f t="shared" si="0"/>
        <v>55</v>
      </c>
      <c r="D74" s="1098"/>
      <c r="E74" s="567"/>
      <c r="F74" s="566"/>
      <c r="G74"/>
      <c r="H74" s="568">
        <v>55</v>
      </c>
      <c r="I74" s="494"/>
      <c r="J74" s="494"/>
      <c r="K74" s="508"/>
      <c r="L74" s="508"/>
      <c r="M74" s="508"/>
      <c r="N74" s="91"/>
      <c r="O74"/>
      <c r="P74"/>
      <c r="Q74"/>
      <c r="R74"/>
      <c r="S74"/>
    </row>
    <row r="75" spans="1:19" ht="14.25" customHeight="1" x14ac:dyDescent="0.35">
      <c r="A75" s="1095" t="s">
        <v>319</v>
      </c>
      <c r="B75" s="1096"/>
      <c r="C75" s="1097">
        <f t="shared" si="0"/>
        <v>0</v>
      </c>
      <c r="D75" s="1098"/>
      <c r="E75" s="567"/>
      <c r="F75" s="566"/>
      <c r="G75"/>
      <c r="H75" s="568">
        <v>0</v>
      </c>
      <c r="I75" s="494"/>
      <c r="J75" s="494"/>
      <c r="K75" s="508"/>
      <c r="L75" s="508"/>
      <c r="M75" s="508"/>
      <c r="N75" s="91"/>
      <c r="O75"/>
      <c r="P75"/>
      <c r="Q75"/>
      <c r="R75"/>
      <c r="S75"/>
    </row>
    <row r="76" spans="1:19" ht="14.25" customHeight="1" x14ac:dyDescent="0.35">
      <c r="A76" s="1095" t="s">
        <v>320</v>
      </c>
      <c r="B76" s="1096"/>
      <c r="C76" s="1097">
        <f t="shared" si="0"/>
        <v>250</v>
      </c>
      <c r="D76" s="1098"/>
      <c r="E76" s="567"/>
      <c r="F76" s="566"/>
      <c r="G76"/>
      <c r="H76" s="568">
        <v>250</v>
      </c>
      <c r="I76" s="494"/>
      <c r="J76" s="494"/>
      <c r="K76" s="508"/>
      <c r="L76" s="508"/>
      <c r="M76" s="508"/>
      <c r="N76" s="91"/>
      <c r="O76"/>
      <c r="P76"/>
      <c r="Q76"/>
      <c r="R76"/>
      <c r="S76"/>
    </row>
    <row r="77" spans="1:19" ht="14.25" customHeight="1" x14ac:dyDescent="0.35">
      <c r="A77" s="1095" t="s">
        <v>321</v>
      </c>
      <c r="B77" s="1096"/>
      <c r="C77" s="1097">
        <f t="shared" si="0"/>
        <v>75</v>
      </c>
      <c r="D77" s="1098"/>
      <c r="E77" s="567"/>
      <c r="F77" s="566"/>
      <c r="G77"/>
      <c r="H77" s="568">
        <v>75</v>
      </c>
      <c r="I77" s="494"/>
      <c r="J77" s="494"/>
      <c r="K77" s="508"/>
      <c r="L77" s="508"/>
      <c r="M77" s="508"/>
      <c r="N77" s="91"/>
      <c r="O77"/>
      <c r="P77"/>
      <c r="Q77"/>
      <c r="R77"/>
      <c r="S77"/>
    </row>
    <row r="78" spans="1:19" ht="14.25" customHeight="1" x14ac:dyDescent="0.35">
      <c r="A78" s="1095" t="s">
        <v>322</v>
      </c>
      <c r="B78" s="1096"/>
      <c r="C78" s="1097">
        <f t="shared" si="0"/>
        <v>475</v>
      </c>
      <c r="D78" s="1098"/>
      <c r="E78" s="567"/>
      <c r="F78" s="566"/>
      <c r="G78"/>
      <c r="H78" s="568">
        <v>475</v>
      </c>
      <c r="I78" s="494"/>
      <c r="J78" s="494"/>
      <c r="K78" s="508"/>
      <c r="L78" s="508"/>
      <c r="M78" s="508"/>
      <c r="N78" s="91"/>
      <c r="O78"/>
      <c r="P78"/>
      <c r="Q78"/>
      <c r="R78"/>
      <c r="S78"/>
    </row>
    <row r="79" spans="1:19" ht="14.25" customHeight="1" x14ac:dyDescent="0.35">
      <c r="A79" s="1095" t="s">
        <v>323</v>
      </c>
      <c r="B79" s="1096"/>
      <c r="C79" s="1097">
        <f t="shared" si="0"/>
        <v>0</v>
      </c>
      <c r="D79" s="1098"/>
      <c r="E79" s="567"/>
      <c r="F79" s="566"/>
      <c r="G79"/>
      <c r="H79" s="568">
        <v>0</v>
      </c>
      <c r="I79" s="494"/>
      <c r="J79" s="494"/>
      <c r="K79" s="508"/>
      <c r="L79" s="508"/>
      <c r="M79" s="508"/>
      <c r="N79" s="91"/>
      <c r="O79"/>
      <c r="P79"/>
      <c r="Q79"/>
      <c r="R79"/>
      <c r="S79"/>
    </row>
    <row r="80" spans="1:19" ht="14.25" customHeight="1" x14ac:dyDescent="0.35">
      <c r="A80" s="1095" t="s">
        <v>324</v>
      </c>
      <c r="B80" s="1096"/>
      <c r="C80" s="1097">
        <f t="shared" si="0"/>
        <v>250</v>
      </c>
      <c r="D80" s="1098"/>
      <c r="E80" s="567"/>
      <c r="F80" s="566"/>
      <c r="G80"/>
      <c r="H80" s="568">
        <v>250</v>
      </c>
      <c r="I80" s="494"/>
      <c r="J80" s="494"/>
      <c r="K80" s="508"/>
      <c r="L80" s="508"/>
      <c r="M80" s="508"/>
      <c r="N80" s="91"/>
      <c r="O80"/>
      <c r="P80"/>
      <c r="Q80"/>
      <c r="R80"/>
      <c r="S80"/>
    </row>
    <row r="81" spans="1:19" ht="14.25" customHeight="1" x14ac:dyDescent="0.35">
      <c r="A81" s="1095" t="s">
        <v>325</v>
      </c>
      <c r="B81" s="1096"/>
      <c r="C81" s="1097">
        <f t="shared" si="0"/>
        <v>250</v>
      </c>
      <c r="D81" s="1098"/>
      <c r="E81" s="567"/>
      <c r="F81" s="566"/>
      <c r="G81"/>
      <c r="H81" s="568">
        <v>250</v>
      </c>
      <c r="I81" s="494"/>
      <c r="J81" s="494"/>
      <c r="K81" s="508"/>
      <c r="L81" s="508"/>
      <c r="M81" s="508"/>
      <c r="N81" s="91"/>
      <c r="O81"/>
      <c r="P81"/>
      <c r="Q81"/>
      <c r="R81"/>
      <c r="S81"/>
    </row>
    <row r="82" spans="1:19" ht="14.25" customHeight="1" x14ac:dyDescent="0.35">
      <c r="A82" s="1095" t="s">
        <v>326</v>
      </c>
      <c r="B82" s="1096"/>
      <c r="C82" s="1097">
        <f t="shared" si="0"/>
        <v>250</v>
      </c>
      <c r="D82" s="1098"/>
      <c r="E82" s="567"/>
      <c r="F82" s="566"/>
      <c r="G82"/>
      <c r="H82" s="568">
        <v>250</v>
      </c>
      <c r="I82" s="494"/>
      <c r="J82" s="494"/>
      <c r="K82" s="508"/>
      <c r="L82" s="508"/>
      <c r="M82" s="508"/>
      <c r="N82" s="91"/>
      <c r="O82"/>
      <c r="P82"/>
      <c r="Q82"/>
      <c r="R82"/>
      <c r="S82"/>
    </row>
    <row r="83" spans="1:19" ht="14.25" customHeight="1" x14ac:dyDescent="0.35">
      <c r="A83" s="1095" t="s">
        <v>327</v>
      </c>
      <c r="B83" s="1096"/>
      <c r="C83" s="1097">
        <f t="shared" si="0"/>
        <v>75</v>
      </c>
      <c r="D83" s="1098"/>
      <c r="E83" s="567"/>
      <c r="F83" s="566"/>
      <c r="G83"/>
      <c r="H83" s="568">
        <v>75</v>
      </c>
      <c r="I83" s="494"/>
      <c r="J83" s="494"/>
      <c r="K83" s="508"/>
      <c r="L83" s="508"/>
      <c r="M83" s="508"/>
      <c r="N83" s="91"/>
      <c r="O83"/>
      <c r="P83"/>
      <c r="Q83"/>
      <c r="R83"/>
      <c r="S83"/>
    </row>
    <row r="84" spans="1:19" ht="14.25" customHeight="1" x14ac:dyDescent="0.35">
      <c r="A84" s="1095" t="s">
        <v>328</v>
      </c>
      <c r="B84" s="1096"/>
      <c r="C84" s="1097">
        <f t="shared" si="0"/>
        <v>0</v>
      </c>
      <c r="D84" s="1098"/>
      <c r="E84" s="567"/>
      <c r="F84" s="566"/>
      <c r="G84"/>
      <c r="H84" s="568">
        <v>0</v>
      </c>
      <c r="I84" s="494"/>
      <c r="J84" s="494"/>
      <c r="K84" s="508"/>
      <c r="L84" s="508"/>
      <c r="M84" s="508"/>
      <c r="N84" s="91"/>
      <c r="O84"/>
      <c r="P84"/>
      <c r="Q84"/>
      <c r="R84"/>
      <c r="S84"/>
    </row>
    <row r="85" spans="1:19" ht="14.25" customHeight="1" x14ac:dyDescent="0.35">
      <c r="A85" s="1095" t="s">
        <v>329</v>
      </c>
      <c r="B85" s="1096"/>
      <c r="C85" s="1097">
        <f t="shared" si="0"/>
        <v>0</v>
      </c>
      <c r="D85" s="1098"/>
      <c r="E85" s="567"/>
      <c r="F85" s="566"/>
      <c r="G85"/>
      <c r="H85" s="568">
        <v>0</v>
      </c>
      <c r="I85" s="494"/>
      <c r="J85" s="494"/>
      <c r="K85" s="508"/>
      <c r="L85" s="508"/>
      <c r="M85" s="508"/>
      <c r="N85" s="91"/>
      <c r="O85"/>
      <c r="P85"/>
      <c r="Q85"/>
      <c r="R85"/>
      <c r="S85"/>
    </row>
    <row r="86" spans="1:19" ht="14.25" customHeight="1" x14ac:dyDescent="0.35">
      <c r="A86" s="1095" t="s">
        <v>330</v>
      </c>
      <c r="B86" s="1096"/>
      <c r="C86" s="1097">
        <f t="shared" si="0"/>
        <v>0</v>
      </c>
      <c r="D86" s="1098"/>
      <c r="E86" s="567"/>
      <c r="F86" s="566"/>
      <c r="G86"/>
      <c r="H86" s="568">
        <v>0</v>
      </c>
      <c r="I86" s="494"/>
      <c r="J86" s="494"/>
      <c r="K86" s="508"/>
      <c r="L86" s="508"/>
      <c r="M86" s="508"/>
      <c r="N86" s="91"/>
      <c r="O86"/>
      <c r="P86"/>
      <c r="Q86"/>
      <c r="R86"/>
      <c r="S86"/>
    </row>
    <row r="87" spans="1:19" ht="14.25" customHeight="1" x14ac:dyDescent="0.35">
      <c r="A87" s="1095" t="s">
        <v>331</v>
      </c>
      <c r="B87" s="1096"/>
      <c r="C87" s="1097">
        <f t="shared" si="0"/>
        <v>55</v>
      </c>
      <c r="D87" s="1098"/>
      <c r="E87" s="567"/>
      <c r="F87" s="566"/>
      <c r="G87"/>
      <c r="H87" s="568">
        <v>55</v>
      </c>
      <c r="I87" s="494"/>
      <c r="J87" s="494"/>
      <c r="K87" s="508"/>
      <c r="L87" s="508"/>
      <c r="M87" s="508"/>
      <c r="N87" s="91"/>
      <c r="O87"/>
      <c r="P87"/>
      <c r="Q87"/>
      <c r="R87"/>
      <c r="S87"/>
    </row>
    <row r="88" spans="1:19" ht="14.25" customHeight="1" x14ac:dyDescent="0.35">
      <c r="A88" s="1095" t="s">
        <v>332</v>
      </c>
      <c r="B88" s="1096"/>
      <c r="C88" s="1097">
        <f t="shared" si="0"/>
        <v>0</v>
      </c>
      <c r="D88" s="1098"/>
      <c r="E88" s="567"/>
      <c r="F88" s="566"/>
      <c r="G88"/>
      <c r="H88" s="568">
        <v>0</v>
      </c>
      <c r="I88" s="494"/>
      <c r="J88" s="494"/>
      <c r="K88" s="508"/>
      <c r="L88" s="508"/>
      <c r="M88" s="508"/>
      <c r="N88" s="91"/>
      <c r="O88"/>
      <c r="P88"/>
      <c r="Q88"/>
      <c r="R88"/>
      <c r="S88"/>
    </row>
    <row r="89" spans="1:19" ht="14.25" customHeight="1" x14ac:dyDescent="0.35">
      <c r="A89" s="1095" t="s">
        <v>333</v>
      </c>
      <c r="B89" s="1096"/>
      <c r="C89" s="1097">
        <f t="shared" si="0"/>
        <v>0</v>
      </c>
      <c r="D89" s="1098"/>
      <c r="E89" s="567"/>
      <c r="F89" s="566"/>
      <c r="G89"/>
      <c r="H89" s="568">
        <v>0</v>
      </c>
      <c r="I89" s="494"/>
      <c r="J89" s="494"/>
      <c r="K89" s="508"/>
      <c r="L89" s="508"/>
      <c r="M89" s="508"/>
      <c r="N89" s="91"/>
      <c r="O89"/>
      <c r="P89"/>
      <c r="Q89"/>
      <c r="R89"/>
      <c r="S89"/>
    </row>
    <row r="90" spans="1:19" ht="14.25" customHeight="1" x14ac:dyDescent="0.35">
      <c r="A90" s="1095" t="s">
        <v>334</v>
      </c>
      <c r="B90" s="1096"/>
      <c r="C90" s="1097">
        <f t="shared" ref="C90" si="1">H90</f>
        <v>0</v>
      </c>
      <c r="D90" s="1098"/>
      <c r="E90" s="567"/>
      <c r="F90" s="566"/>
      <c r="G90"/>
      <c r="H90" s="612">
        <v>0</v>
      </c>
      <c r="I90" s="494"/>
      <c r="J90" s="494"/>
      <c r="K90" s="508"/>
      <c r="L90" s="508"/>
      <c r="M90" s="508"/>
      <c r="N90" s="91"/>
      <c r="O90"/>
      <c r="P90"/>
      <c r="Q90"/>
      <c r="R90"/>
      <c r="S90"/>
    </row>
    <row r="91" spans="1:19" ht="24" customHeight="1" x14ac:dyDescent="0.35">
      <c r="A91" s="1111" t="s">
        <v>335</v>
      </c>
      <c r="B91" s="1112"/>
      <c r="C91" s="1112"/>
      <c r="D91" s="1113"/>
      <c r="E91" s="563"/>
      <c r="F91" s="566"/>
      <c r="G91"/>
      <c r="H91" s="569"/>
      <c r="I91" s="494"/>
      <c r="J91" s="494"/>
      <c r="K91" s="508"/>
      <c r="L91" s="508"/>
      <c r="M91" s="508"/>
      <c r="N91" s="91"/>
      <c r="O91"/>
      <c r="P91"/>
      <c r="Q91"/>
      <c r="R91"/>
      <c r="S91"/>
    </row>
    <row r="92" spans="1:19" x14ac:dyDescent="0.35">
      <c r="A92" s="1107" t="s">
        <v>80</v>
      </c>
      <c r="B92" s="1108"/>
      <c r="C92" s="1090" t="s">
        <v>312</v>
      </c>
      <c r="D92" s="1091"/>
      <c r="E92" s="565"/>
      <c r="F92" s="566"/>
      <c r="G92"/>
      <c r="H92" s="569"/>
      <c r="I92" s="494"/>
      <c r="J92" s="494"/>
      <c r="K92" s="508"/>
      <c r="L92" s="508"/>
      <c r="M92" s="508"/>
      <c r="N92" s="91"/>
      <c r="O92"/>
      <c r="P92"/>
      <c r="Q92"/>
      <c r="R92"/>
      <c r="S92"/>
    </row>
    <row r="93" spans="1:19" ht="14.25" customHeight="1" x14ac:dyDescent="0.35">
      <c r="A93" s="1099" t="s">
        <v>336</v>
      </c>
      <c r="B93" s="1100"/>
      <c r="C93" s="1097">
        <f t="shared" ref="C93:C108" si="2">H93</f>
        <v>35</v>
      </c>
      <c r="D93" s="1098"/>
      <c r="E93" s="567"/>
      <c r="F93" s="566"/>
      <c r="G93"/>
      <c r="H93" s="568">
        <v>35</v>
      </c>
      <c r="I93" s="494"/>
      <c r="J93" s="494"/>
      <c r="K93" s="508"/>
      <c r="L93" s="508"/>
      <c r="M93" s="508"/>
      <c r="N93" s="91"/>
      <c r="O93"/>
      <c r="P93"/>
      <c r="Q93"/>
      <c r="R93"/>
      <c r="S93"/>
    </row>
    <row r="94" spans="1:19" ht="14.25" customHeight="1" x14ac:dyDescent="0.35">
      <c r="A94" s="1099" t="s">
        <v>337</v>
      </c>
      <c r="B94" s="1100"/>
      <c r="C94" s="1097">
        <f t="shared" si="2"/>
        <v>35</v>
      </c>
      <c r="D94" s="1098"/>
      <c r="E94" s="567"/>
      <c r="F94" s="566"/>
      <c r="G94"/>
      <c r="H94" s="568">
        <v>35</v>
      </c>
      <c r="I94" s="494"/>
      <c r="J94" s="494"/>
      <c r="K94" s="508"/>
      <c r="L94" s="508"/>
      <c r="M94" s="508"/>
      <c r="N94" s="91"/>
      <c r="O94"/>
      <c r="P94"/>
      <c r="Q94"/>
      <c r="R94"/>
      <c r="S94"/>
    </row>
    <row r="95" spans="1:19" ht="14.25" customHeight="1" x14ac:dyDescent="0.35">
      <c r="A95" s="1099" t="s">
        <v>338</v>
      </c>
      <c r="B95" s="1100"/>
      <c r="C95" s="1097">
        <f t="shared" si="2"/>
        <v>100</v>
      </c>
      <c r="D95" s="1098"/>
      <c r="E95" s="567"/>
      <c r="F95" s="566"/>
      <c r="G95"/>
      <c r="H95" s="568">
        <v>100</v>
      </c>
      <c r="I95" s="494"/>
      <c r="J95" s="494"/>
      <c r="K95" s="508"/>
      <c r="L95" s="508"/>
      <c r="M95" s="508"/>
      <c r="N95" s="91"/>
      <c r="O95"/>
      <c r="P95"/>
      <c r="Q95"/>
      <c r="R95"/>
      <c r="S95"/>
    </row>
    <row r="96" spans="1:19" ht="14.25" customHeight="1" x14ac:dyDescent="0.35">
      <c r="A96" s="1099" t="s">
        <v>339</v>
      </c>
      <c r="B96" s="1100"/>
      <c r="C96" s="1097">
        <f t="shared" si="2"/>
        <v>70</v>
      </c>
      <c r="D96" s="1098"/>
      <c r="E96" s="567"/>
      <c r="F96" s="566"/>
      <c r="G96"/>
      <c r="H96" s="568">
        <v>70</v>
      </c>
      <c r="I96" s="494"/>
      <c r="J96" s="494"/>
      <c r="K96" s="508"/>
      <c r="L96" s="508"/>
      <c r="M96" s="508"/>
      <c r="N96" s="91"/>
      <c r="O96"/>
      <c r="P96"/>
      <c r="Q96"/>
      <c r="R96"/>
      <c r="S96"/>
    </row>
    <row r="97" spans="1:19" ht="14.25" customHeight="1" x14ac:dyDescent="0.35">
      <c r="A97" s="1099" t="s">
        <v>340</v>
      </c>
      <c r="B97" s="1100"/>
      <c r="C97" s="1097">
        <f t="shared" si="2"/>
        <v>150</v>
      </c>
      <c r="D97" s="1098"/>
      <c r="E97" s="567"/>
      <c r="F97" s="566"/>
      <c r="G97"/>
      <c r="H97" s="568">
        <v>150</v>
      </c>
      <c r="I97" s="494"/>
      <c r="J97" s="494"/>
      <c r="K97" s="508"/>
      <c r="L97" s="508"/>
      <c r="M97" s="508"/>
      <c r="N97" s="91"/>
      <c r="O97"/>
      <c r="P97"/>
      <c r="Q97"/>
      <c r="R97"/>
      <c r="S97"/>
    </row>
    <row r="98" spans="1:19" ht="14.25" customHeight="1" x14ac:dyDescent="0.35">
      <c r="A98" s="1099" t="s">
        <v>341</v>
      </c>
      <c r="B98" s="1100"/>
      <c r="C98" s="1097">
        <f t="shared" si="2"/>
        <v>195</v>
      </c>
      <c r="D98" s="1098"/>
      <c r="E98" s="567"/>
      <c r="F98" s="566"/>
      <c r="G98"/>
      <c r="H98" s="568">
        <v>195</v>
      </c>
      <c r="I98" s="494"/>
      <c r="J98" s="494"/>
      <c r="K98" s="508"/>
      <c r="L98" s="508"/>
      <c r="M98" s="508"/>
      <c r="N98" s="91"/>
      <c r="O98"/>
      <c r="P98"/>
      <c r="Q98"/>
      <c r="R98"/>
      <c r="S98"/>
    </row>
    <row r="99" spans="1:19" ht="14.25" customHeight="1" x14ac:dyDescent="0.35">
      <c r="A99" s="1099" t="s">
        <v>342</v>
      </c>
      <c r="B99" s="1100"/>
      <c r="C99" s="1097">
        <f t="shared" si="2"/>
        <v>250</v>
      </c>
      <c r="D99" s="1098"/>
      <c r="E99" s="567"/>
      <c r="F99" s="566"/>
      <c r="G99"/>
      <c r="H99" s="568">
        <v>250</v>
      </c>
      <c r="I99" s="494"/>
      <c r="J99" s="494"/>
      <c r="K99" s="508"/>
      <c r="L99" s="508"/>
      <c r="M99" s="508"/>
      <c r="N99" s="91"/>
      <c r="O99"/>
      <c r="P99"/>
      <c r="Q99"/>
      <c r="R99"/>
      <c r="S99"/>
    </row>
    <row r="100" spans="1:19" ht="14.25" customHeight="1" x14ac:dyDescent="0.35">
      <c r="A100" s="1099" t="s">
        <v>343</v>
      </c>
      <c r="B100" s="1100"/>
      <c r="C100" s="1097">
        <f t="shared" si="2"/>
        <v>175</v>
      </c>
      <c r="D100" s="1098"/>
      <c r="E100" s="567"/>
      <c r="F100" s="566"/>
      <c r="G100"/>
      <c r="H100" s="568">
        <v>175</v>
      </c>
      <c r="I100" s="494"/>
      <c r="J100" s="494"/>
      <c r="K100" s="508"/>
      <c r="L100" s="508"/>
      <c r="M100" s="508"/>
      <c r="N100" s="91"/>
      <c r="O100"/>
      <c r="P100"/>
      <c r="Q100"/>
      <c r="R100"/>
      <c r="S100"/>
    </row>
    <row r="101" spans="1:19" ht="14.25" customHeight="1" x14ac:dyDescent="0.35">
      <c r="A101" s="1099" t="s">
        <v>344</v>
      </c>
      <c r="B101" s="1100"/>
      <c r="C101" s="1097">
        <f t="shared" si="2"/>
        <v>155</v>
      </c>
      <c r="D101" s="1098"/>
      <c r="E101" s="567"/>
      <c r="F101" s="566"/>
      <c r="G101"/>
      <c r="H101" s="568">
        <v>155</v>
      </c>
      <c r="I101" s="494"/>
      <c r="J101" s="494"/>
      <c r="K101" s="508"/>
      <c r="L101" s="508"/>
      <c r="M101" s="508"/>
      <c r="N101" s="91"/>
      <c r="O101"/>
      <c r="P101"/>
      <c r="Q101"/>
      <c r="R101"/>
      <c r="S101"/>
    </row>
    <row r="102" spans="1:19" ht="14.25" customHeight="1" x14ac:dyDescent="0.35">
      <c r="A102" s="1099" t="s">
        <v>345</v>
      </c>
      <c r="B102" s="1100"/>
      <c r="C102" s="1097">
        <f t="shared" si="2"/>
        <v>175</v>
      </c>
      <c r="D102" s="1098"/>
      <c r="E102" s="567"/>
      <c r="F102" s="566"/>
      <c r="G102"/>
      <c r="H102" s="568">
        <v>175</v>
      </c>
      <c r="I102" s="494"/>
      <c r="J102" s="494"/>
      <c r="K102" s="508"/>
      <c r="L102" s="508"/>
      <c r="M102" s="508"/>
      <c r="N102" s="91"/>
      <c r="O102"/>
      <c r="P102"/>
      <c r="Q102"/>
      <c r="R102"/>
      <c r="S102"/>
    </row>
    <row r="103" spans="1:19" ht="14.25" customHeight="1" x14ac:dyDescent="0.35">
      <c r="A103" s="1099" t="s">
        <v>346</v>
      </c>
      <c r="B103" s="1100"/>
      <c r="C103" s="1097">
        <f t="shared" si="2"/>
        <v>250</v>
      </c>
      <c r="D103" s="1098"/>
      <c r="E103" s="567"/>
      <c r="F103" s="566"/>
      <c r="G103"/>
      <c r="H103" s="568">
        <v>250</v>
      </c>
      <c r="I103" s="494"/>
      <c r="J103" s="494"/>
      <c r="K103" s="508"/>
      <c r="L103" s="508"/>
      <c r="M103" s="508"/>
      <c r="N103" s="91"/>
      <c r="O103"/>
      <c r="P103"/>
      <c r="Q103"/>
      <c r="R103"/>
      <c r="S103"/>
    </row>
    <row r="104" spans="1:19" ht="14.25" customHeight="1" x14ac:dyDescent="0.35">
      <c r="A104" s="1099" t="s">
        <v>347</v>
      </c>
      <c r="B104" s="1100"/>
      <c r="C104" s="1097">
        <f t="shared" si="2"/>
        <v>300</v>
      </c>
      <c r="D104" s="1098"/>
      <c r="E104" s="567"/>
      <c r="F104" s="566"/>
      <c r="G104"/>
      <c r="H104" s="568">
        <v>300</v>
      </c>
      <c r="I104" s="494"/>
      <c r="J104" s="494"/>
      <c r="K104" s="508"/>
      <c r="L104" s="508"/>
      <c r="M104" s="508"/>
      <c r="N104" s="91"/>
      <c r="O104"/>
      <c r="P104"/>
      <c r="Q104"/>
      <c r="R104"/>
      <c r="S104"/>
    </row>
    <row r="105" spans="1:19" ht="14.25" customHeight="1" x14ac:dyDescent="0.35">
      <c r="A105" s="1099" t="s">
        <v>348</v>
      </c>
      <c r="B105" s="1100"/>
      <c r="C105" s="1097">
        <f t="shared" si="2"/>
        <v>750</v>
      </c>
      <c r="D105" s="1098"/>
      <c r="E105" s="567"/>
      <c r="F105" s="566"/>
      <c r="G105"/>
      <c r="H105" s="568">
        <v>750</v>
      </c>
      <c r="I105" s="494"/>
      <c r="J105" s="494"/>
      <c r="K105" s="508"/>
      <c r="L105" s="508"/>
      <c r="M105" s="508"/>
      <c r="N105" s="91"/>
      <c r="O105"/>
      <c r="P105"/>
      <c r="Q105"/>
      <c r="R105"/>
      <c r="S105"/>
    </row>
    <row r="106" spans="1:19" ht="14.25" customHeight="1" x14ac:dyDescent="0.35">
      <c r="A106" s="1099" t="s">
        <v>349</v>
      </c>
      <c r="B106" s="1100"/>
      <c r="C106" s="1097">
        <f t="shared" si="2"/>
        <v>2500</v>
      </c>
      <c r="D106" s="1098"/>
      <c r="E106" s="567"/>
      <c r="F106" s="566"/>
      <c r="G106"/>
      <c r="H106" s="568">
        <v>2500</v>
      </c>
      <c r="I106" s="494"/>
      <c r="J106" s="494"/>
      <c r="K106" s="508"/>
      <c r="L106" s="508"/>
      <c r="M106" s="508"/>
      <c r="N106" s="91"/>
      <c r="O106"/>
      <c r="P106"/>
      <c r="Q106"/>
      <c r="R106"/>
      <c r="S106"/>
    </row>
    <row r="107" spans="1:19" ht="14.25" customHeight="1" x14ac:dyDescent="0.35">
      <c r="A107" s="1099" t="s">
        <v>350</v>
      </c>
      <c r="B107" s="1100"/>
      <c r="C107" s="1097">
        <f t="shared" si="2"/>
        <v>150</v>
      </c>
      <c r="D107" s="1098"/>
      <c r="E107" s="567"/>
      <c r="F107" s="566"/>
      <c r="G107"/>
      <c r="H107" s="568">
        <v>150</v>
      </c>
      <c r="I107" s="494"/>
      <c r="J107" s="494"/>
      <c r="K107" s="508"/>
      <c r="L107" s="508"/>
      <c r="M107" s="508"/>
      <c r="N107" s="91"/>
      <c r="O107"/>
      <c r="P107"/>
      <c r="Q107"/>
      <c r="R107"/>
      <c r="S107"/>
    </row>
    <row r="108" spans="1:19" ht="14.25" customHeight="1" x14ac:dyDescent="0.35">
      <c r="A108" s="1099" t="s">
        <v>351</v>
      </c>
      <c r="B108" s="1100"/>
      <c r="C108" s="1097">
        <f t="shared" si="2"/>
        <v>400</v>
      </c>
      <c r="D108" s="1098"/>
      <c r="E108" s="567"/>
      <c r="F108" s="566"/>
      <c r="G108"/>
      <c r="H108" s="568">
        <v>400</v>
      </c>
      <c r="I108" s="494"/>
      <c r="J108" s="494"/>
      <c r="K108" s="508"/>
      <c r="L108" s="508"/>
      <c r="M108" s="508"/>
      <c r="N108" s="91"/>
      <c r="O108"/>
      <c r="P108"/>
      <c r="Q108"/>
      <c r="R108"/>
      <c r="S108"/>
    </row>
    <row r="109" spans="1:19" ht="27.75" customHeight="1" x14ac:dyDescent="0.35">
      <c r="A109" s="1116" t="s">
        <v>352</v>
      </c>
      <c r="B109" s="1116"/>
      <c r="C109" s="1116"/>
      <c r="D109" s="1116"/>
      <c r="E109" s="570"/>
      <c r="F109" s="508"/>
      <c r="G109" s="91"/>
      <c r="H109" s="91"/>
      <c r="I109" s="508"/>
      <c r="J109" s="508"/>
      <c r="K109" s="508"/>
      <c r="L109" s="508"/>
      <c r="M109" s="508"/>
      <c r="N109" s="91"/>
      <c r="O109"/>
      <c r="P109"/>
      <c r="Q109"/>
      <c r="R109"/>
      <c r="S109"/>
    </row>
    <row r="110" spans="1:19" x14ac:dyDescent="0.35">
      <c r="A110" s="571" t="s">
        <v>401</v>
      </c>
      <c r="B110" s="228"/>
      <c r="C110" s="228"/>
      <c r="D110" s="228"/>
      <c r="E110" s="511"/>
      <c r="F110" s="508"/>
      <c r="G110" s="91"/>
      <c r="H110" s="91"/>
      <c r="I110" s="508"/>
      <c r="J110" s="508"/>
      <c r="K110" s="508"/>
      <c r="L110" s="508"/>
      <c r="M110" s="508"/>
      <c r="N110" s="91"/>
      <c r="O110"/>
      <c r="P110"/>
      <c r="Q110"/>
      <c r="R110"/>
      <c r="S110"/>
    </row>
    <row r="111" spans="1:19" ht="33" customHeight="1" x14ac:dyDescent="0.35">
      <c r="A111" s="1068" t="s">
        <v>353</v>
      </c>
      <c r="B111" s="1068"/>
      <c r="C111" s="1068"/>
      <c r="D111" s="1068"/>
      <c r="E111" s="507"/>
      <c r="F111" s="508"/>
      <c r="G111" s="91"/>
      <c r="H111" s="91"/>
      <c r="I111" s="508"/>
      <c r="J111" s="508"/>
      <c r="K111" s="508"/>
      <c r="L111" s="508"/>
      <c r="M111" s="508"/>
      <c r="N111" s="91"/>
      <c r="O111"/>
      <c r="P111"/>
      <c r="Q111"/>
      <c r="R111"/>
      <c r="S111"/>
    </row>
    <row r="112" spans="1:19" ht="58.5" customHeight="1" x14ac:dyDescent="0.35">
      <c r="A112" s="1068" t="s">
        <v>402</v>
      </c>
      <c r="B112" s="1068"/>
      <c r="C112" s="1068"/>
      <c r="D112" s="1068"/>
      <c r="E112" s="507"/>
      <c r="F112" s="508"/>
      <c r="G112" s="91"/>
      <c r="H112" s="91"/>
      <c r="I112" s="508"/>
      <c r="J112" s="508"/>
      <c r="K112" s="508"/>
      <c r="L112" s="508"/>
      <c r="M112" s="508"/>
      <c r="N112" s="91"/>
      <c r="O112"/>
      <c r="P112"/>
      <c r="Q112"/>
      <c r="R112"/>
      <c r="S112"/>
    </row>
    <row r="113" spans="1:19" ht="29.25" customHeight="1" x14ac:dyDescent="0.35">
      <c r="A113" s="1106" t="s">
        <v>354</v>
      </c>
      <c r="B113" s="1106"/>
      <c r="C113" s="1106"/>
      <c r="D113" s="1106"/>
      <c r="E113" s="572"/>
      <c r="F113" s="508"/>
      <c r="G113" s="91"/>
      <c r="H113" s="91"/>
      <c r="I113" s="508"/>
      <c r="J113" s="508"/>
      <c r="K113" s="508"/>
      <c r="L113" s="508"/>
      <c r="M113" s="508"/>
      <c r="N113" s="91"/>
      <c r="O113"/>
      <c r="P113"/>
      <c r="Q113"/>
      <c r="R113"/>
      <c r="S113"/>
    </row>
    <row r="114" spans="1:19" x14ac:dyDescent="0.35">
      <c r="A114" s="571" t="s">
        <v>355</v>
      </c>
      <c r="B114" s="228"/>
      <c r="C114" s="228"/>
      <c r="D114" s="228"/>
      <c r="E114" s="511"/>
      <c r="F114" s="508"/>
      <c r="G114" s="91"/>
      <c r="H114" s="91"/>
      <c r="I114" s="508"/>
      <c r="J114" s="508"/>
      <c r="K114" s="508"/>
      <c r="L114" s="508"/>
      <c r="M114" s="508"/>
      <c r="N114" s="91"/>
      <c r="O114"/>
      <c r="P114"/>
      <c r="Q114"/>
      <c r="R114"/>
      <c r="S114"/>
    </row>
    <row r="115" spans="1:19" ht="48.75" customHeight="1" x14ac:dyDescent="0.35">
      <c r="A115" s="1068" t="s">
        <v>403</v>
      </c>
      <c r="B115" s="1068"/>
      <c r="C115" s="1068"/>
      <c r="D115" s="1068"/>
      <c r="E115" s="507"/>
      <c r="F115" s="508"/>
      <c r="G115" s="91"/>
      <c r="H115" s="91"/>
      <c r="I115" s="508"/>
      <c r="J115" s="508"/>
      <c r="K115" s="508"/>
      <c r="L115" s="508"/>
      <c r="M115" s="508"/>
      <c r="N115" s="91"/>
      <c r="O115"/>
      <c r="P115"/>
      <c r="Q115"/>
      <c r="R115"/>
      <c r="S115"/>
    </row>
    <row r="116" spans="1:19" x14ac:dyDescent="0.35">
      <c r="A116" s="544" t="s">
        <v>356</v>
      </c>
      <c r="B116" s="228"/>
      <c r="C116" s="228"/>
      <c r="D116" s="228"/>
      <c r="E116" s="511"/>
      <c r="F116" s="508"/>
      <c r="G116" s="91"/>
      <c r="H116" s="91"/>
      <c r="I116" s="508"/>
      <c r="J116" s="508"/>
      <c r="K116" s="508"/>
      <c r="L116" s="508"/>
      <c r="M116" s="508"/>
      <c r="N116" s="91"/>
      <c r="O116"/>
      <c r="P116"/>
      <c r="Q116"/>
      <c r="R116"/>
      <c r="S116"/>
    </row>
    <row r="117" spans="1:19" ht="48.75" customHeight="1" x14ac:dyDescent="0.35">
      <c r="A117" s="1068" t="s">
        <v>404</v>
      </c>
      <c r="B117" s="1068"/>
      <c r="C117" s="1068"/>
      <c r="D117" s="1068"/>
      <c r="E117" s="507"/>
      <c r="F117" s="508"/>
      <c r="G117" s="91"/>
      <c r="H117" s="91"/>
      <c r="I117" s="508"/>
      <c r="J117" s="508"/>
      <c r="K117" s="508"/>
      <c r="L117" s="508"/>
      <c r="M117" s="508"/>
      <c r="N117" s="91"/>
      <c r="O117"/>
      <c r="P117"/>
      <c r="Q117"/>
      <c r="R117"/>
      <c r="S117"/>
    </row>
    <row r="118" spans="1:19" x14ac:dyDescent="0.35">
      <c r="A118" s="571" t="s">
        <v>357</v>
      </c>
      <c r="B118" s="228"/>
      <c r="C118" s="228"/>
      <c r="D118" s="228"/>
      <c r="E118" s="511"/>
      <c r="F118" s="508"/>
      <c r="G118" s="91"/>
      <c r="H118" s="91"/>
      <c r="I118" s="508"/>
      <c r="J118" s="508"/>
      <c r="K118" s="508"/>
      <c r="L118" s="508"/>
      <c r="M118" s="508"/>
      <c r="N118" s="91"/>
      <c r="O118"/>
      <c r="P118"/>
      <c r="Q118"/>
      <c r="R118"/>
      <c r="S118"/>
    </row>
    <row r="119" spans="1:19" ht="75" customHeight="1" x14ac:dyDescent="0.35">
      <c r="A119" s="1068" t="s">
        <v>405</v>
      </c>
      <c r="B119" s="1068"/>
      <c r="C119" s="1068"/>
      <c r="D119" s="1068"/>
      <c r="E119" s="507"/>
      <c r="F119" s="508"/>
      <c r="G119" s="91"/>
      <c r="H119" s="91"/>
      <c r="I119" s="508"/>
      <c r="J119" s="508"/>
      <c r="K119" s="508"/>
      <c r="L119" s="508"/>
      <c r="M119" s="508"/>
      <c r="N119" s="91"/>
      <c r="O119"/>
      <c r="P119"/>
      <c r="Q119"/>
      <c r="R119"/>
      <c r="S119"/>
    </row>
    <row r="120" spans="1:19" ht="21" customHeight="1" x14ac:dyDescent="0.35">
      <c r="A120" s="571" t="s">
        <v>358</v>
      </c>
      <c r="B120" s="228"/>
      <c r="C120" s="228"/>
      <c r="D120" s="228"/>
      <c r="E120" s="511"/>
      <c r="F120" s="508"/>
      <c r="G120" s="91"/>
      <c r="H120" s="91"/>
      <c r="I120" s="508"/>
      <c r="J120" s="508"/>
      <c r="K120" s="508"/>
      <c r="L120" s="508"/>
      <c r="M120" s="508"/>
      <c r="N120" s="91"/>
      <c r="O120"/>
      <c r="P120"/>
      <c r="Q120"/>
      <c r="R120"/>
      <c r="S120"/>
    </row>
    <row r="121" spans="1:19" ht="21" customHeight="1" x14ac:dyDescent="0.35">
      <c r="A121" s="1068" t="s">
        <v>359</v>
      </c>
      <c r="B121" s="1068"/>
      <c r="C121" s="1068"/>
      <c r="D121" s="1068"/>
      <c r="E121" s="507"/>
      <c r="F121" s="508"/>
      <c r="G121" s="91"/>
      <c r="H121" s="91"/>
      <c r="I121" s="508"/>
      <c r="J121" s="508"/>
      <c r="K121" s="508"/>
      <c r="L121" s="508"/>
      <c r="M121" s="508"/>
      <c r="N121" s="91"/>
      <c r="O121"/>
      <c r="P121"/>
      <c r="Q121"/>
      <c r="R121"/>
      <c r="S121"/>
    </row>
    <row r="122" spans="1:19" ht="19.5" customHeight="1" x14ac:dyDescent="0.35">
      <c r="A122" s="1068" t="s">
        <v>360</v>
      </c>
      <c r="B122" s="1068"/>
      <c r="C122" s="1068"/>
      <c r="D122" s="1068"/>
      <c r="E122" s="507"/>
      <c r="F122" s="508"/>
      <c r="G122" s="91"/>
      <c r="H122" s="91"/>
      <c r="I122" s="508"/>
      <c r="J122" s="508"/>
      <c r="K122" s="508"/>
      <c r="L122" s="508"/>
      <c r="M122" s="508"/>
      <c r="N122" s="91"/>
      <c r="O122"/>
      <c r="P122"/>
      <c r="Q122"/>
      <c r="R122"/>
      <c r="S122"/>
    </row>
    <row r="123" spans="1:19" ht="19.5" customHeight="1" x14ac:dyDescent="0.35">
      <c r="A123" s="1068" t="s">
        <v>1327</v>
      </c>
      <c r="B123" s="1068"/>
      <c r="C123" s="1068"/>
      <c r="D123" s="1068"/>
      <c r="E123" s="507"/>
      <c r="F123" s="508"/>
      <c r="G123" s="91"/>
      <c r="H123" s="91"/>
      <c r="I123" s="508"/>
      <c r="J123" s="508"/>
      <c r="K123" s="508"/>
      <c r="L123" s="508"/>
      <c r="M123" s="508"/>
      <c r="N123" s="91"/>
      <c r="O123"/>
      <c r="P123"/>
      <c r="Q123"/>
      <c r="R123"/>
      <c r="S123"/>
    </row>
    <row r="124" spans="1:19" ht="19.5" customHeight="1" x14ac:dyDescent="0.35">
      <c r="A124" s="1068" t="s">
        <v>361</v>
      </c>
      <c r="B124" s="1068"/>
      <c r="C124" s="1068"/>
      <c r="D124" s="1068"/>
      <c r="E124" s="507"/>
      <c r="F124" s="508"/>
      <c r="G124" s="91"/>
      <c r="H124" s="91"/>
      <c r="I124" s="508"/>
      <c r="J124" s="508"/>
      <c r="K124" s="508"/>
      <c r="L124" s="508"/>
      <c r="M124" s="508"/>
      <c r="N124" s="91"/>
      <c r="O124"/>
      <c r="P124"/>
      <c r="Q124"/>
      <c r="R124"/>
      <c r="S124"/>
    </row>
    <row r="125" spans="1:19" ht="26.25" customHeight="1" x14ac:dyDescent="0.35">
      <c r="A125" s="1068" t="s">
        <v>362</v>
      </c>
      <c r="B125" s="1068"/>
      <c r="C125" s="1068"/>
      <c r="D125" s="1068"/>
      <c r="E125" s="507"/>
      <c r="F125" s="508"/>
      <c r="G125" s="91"/>
      <c r="H125" s="91"/>
      <c r="I125" s="508"/>
      <c r="J125" s="508"/>
      <c r="K125" s="508"/>
      <c r="L125" s="508"/>
      <c r="M125" s="508"/>
      <c r="N125" s="91"/>
      <c r="O125"/>
      <c r="P125"/>
      <c r="Q125"/>
      <c r="R125"/>
      <c r="S125"/>
    </row>
    <row r="126" spans="1:19" x14ac:dyDescent="0.35">
      <c r="A126" s="573"/>
      <c r="B126" s="574"/>
      <c r="C126" s="574"/>
      <c r="D126" s="574"/>
      <c r="E126" s="511"/>
      <c r="F126" s="508"/>
      <c r="G126" s="91"/>
      <c r="H126" s="91"/>
      <c r="I126" s="508"/>
      <c r="J126" s="508"/>
      <c r="K126" s="508"/>
      <c r="L126" s="508"/>
      <c r="M126" s="508"/>
      <c r="N126" s="91"/>
      <c r="O126"/>
      <c r="P126"/>
      <c r="Q126"/>
      <c r="R126"/>
      <c r="S126"/>
    </row>
    <row r="127" spans="1:19" x14ac:dyDescent="0.35">
      <c r="A127" s="575"/>
      <c r="B127" s="576"/>
      <c r="C127" s="576"/>
      <c r="D127" s="576"/>
      <c r="E127" s="511"/>
      <c r="F127" s="508"/>
      <c r="G127" s="91"/>
      <c r="H127" s="91"/>
      <c r="I127" s="508"/>
      <c r="J127" s="508"/>
      <c r="K127" s="508"/>
      <c r="L127" s="508"/>
      <c r="M127" s="508"/>
      <c r="N127" s="91"/>
      <c r="O127"/>
      <c r="P127"/>
      <c r="Q127"/>
      <c r="R127"/>
      <c r="S127"/>
    </row>
    <row r="128" spans="1:19" x14ac:dyDescent="0.35">
      <c r="A128" s="577" t="str">
        <f>"Signed by each " &amp; IF(Application_Type="Personal", "Borrower","Director/Member")</f>
        <v>Signed by each Director/Member</v>
      </c>
      <c r="B128" s="576"/>
      <c r="C128" s="576"/>
      <c r="D128" s="576"/>
      <c r="E128" s="511"/>
      <c r="F128" s="508"/>
      <c r="G128" s="91"/>
      <c r="H128" s="146"/>
      <c r="I128" s="508"/>
      <c r="J128" s="508"/>
      <c r="K128" s="508"/>
      <c r="L128" s="508"/>
      <c r="M128" s="508"/>
      <c r="N128" s="91"/>
      <c r="O128"/>
      <c r="P128"/>
      <c r="Q128"/>
      <c r="R128"/>
      <c r="S128"/>
    </row>
    <row r="129" spans="1:19" ht="15" customHeight="1" x14ac:dyDescent="0.35">
      <c r="A129" s="1109"/>
      <c r="B129" s="1109"/>
      <c r="C129" s="1109"/>
      <c r="D129" s="1109"/>
      <c r="E129" s="511"/>
      <c r="F129" s="508"/>
      <c r="G129" s="91"/>
      <c r="H129" s="91"/>
      <c r="I129" s="508"/>
      <c r="J129" s="508"/>
      <c r="K129" s="508"/>
      <c r="L129" s="508"/>
      <c r="M129" s="508"/>
      <c r="N129" s="91"/>
      <c r="O129"/>
      <c r="P129"/>
      <c r="Q129"/>
      <c r="R129"/>
      <c r="S129"/>
    </row>
    <row r="130" spans="1:19" x14ac:dyDescent="0.35">
      <c r="A130" s="575"/>
      <c r="B130" s="576"/>
      <c r="C130" s="576"/>
      <c r="D130" s="576"/>
      <c r="E130" s="511"/>
      <c r="F130" s="508"/>
      <c r="G130" s="91"/>
      <c r="H130" s="91"/>
      <c r="I130" s="1101"/>
      <c r="J130" s="578"/>
      <c r="K130" s="508"/>
      <c r="L130" s="508"/>
      <c r="M130" s="508"/>
      <c r="N130" s="91"/>
      <c r="O130"/>
      <c r="P130"/>
      <c r="Q130"/>
      <c r="R130"/>
      <c r="S130"/>
    </row>
    <row r="131" spans="1:19" x14ac:dyDescent="0.35">
      <c r="A131" s="575"/>
      <c r="B131" s="576"/>
      <c r="C131" s="576"/>
      <c r="D131" s="576"/>
      <c r="E131" s="511"/>
      <c r="F131" s="508"/>
      <c r="G131" s="91"/>
      <c r="H131" s="91"/>
      <c r="I131" s="1101"/>
      <c r="J131" s="578"/>
      <c r="K131" s="508"/>
      <c r="L131" s="508"/>
      <c r="M131" s="508"/>
      <c r="N131" s="91"/>
      <c r="O131"/>
      <c r="P131"/>
      <c r="Q131"/>
      <c r="R131"/>
      <c r="S131"/>
    </row>
    <row r="132" spans="1:19" x14ac:dyDescent="0.35">
      <c r="A132" s="575"/>
      <c r="B132" s="576"/>
      <c r="C132" s="576"/>
      <c r="D132" s="576"/>
      <c r="E132" s="511"/>
      <c r="F132" s="508"/>
      <c r="G132" s="91"/>
      <c r="H132" s="91"/>
      <c r="I132" s="1101"/>
      <c r="J132" s="578"/>
      <c r="K132" s="508"/>
      <c r="L132" s="508"/>
      <c r="M132" s="508"/>
      <c r="N132" s="91"/>
      <c r="O132"/>
      <c r="P132"/>
      <c r="Q132"/>
      <c r="R132"/>
      <c r="S132"/>
    </row>
    <row r="133" spans="1:19" x14ac:dyDescent="0.35">
      <c r="A133" s="579" t="s">
        <v>363</v>
      </c>
      <c r="B133" s="579"/>
      <c r="C133" s="579" t="s">
        <v>364</v>
      </c>
      <c r="D133" s="579"/>
      <c r="E133" s="580"/>
      <c r="F133" s="508"/>
      <c r="G133" s="91"/>
      <c r="H133" s="91"/>
      <c r="I133" s="1101"/>
      <c r="J133" s="578"/>
      <c r="K133" s="508"/>
      <c r="L133" s="508"/>
      <c r="M133" s="508"/>
      <c r="N133" s="91"/>
      <c r="O133"/>
      <c r="P133"/>
      <c r="Q133"/>
      <c r="R133"/>
      <c r="S133"/>
    </row>
    <row r="134" spans="1:19" x14ac:dyDescent="0.35">
      <c r="A134" s="581"/>
      <c r="B134" s="576"/>
      <c r="C134" s="576"/>
      <c r="D134" s="576"/>
      <c r="E134" s="511"/>
      <c r="F134" s="508"/>
      <c r="G134" s="91"/>
      <c r="H134" s="91"/>
      <c r="I134" s="1101"/>
      <c r="J134" s="578"/>
      <c r="K134" s="508"/>
      <c r="L134" s="508"/>
      <c r="M134" s="508"/>
      <c r="N134" s="91"/>
      <c r="O134"/>
      <c r="P134"/>
      <c r="Q134"/>
      <c r="R134"/>
      <c r="S134"/>
    </row>
    <row r="135" spans="1:19" x14ac:dyDescent="0.35">
      <c r="A135" s="582" t="s">
        <v>365</v>
      </c>
      <c r="B135" s="576"/>
      <c r="C135" s="583" t="s">
        <v>366</v>
      </c>
      <c r="D135" s="576"/>
      <c r="E135" s="511"/>
      <c r="F135" s="508"/>
      <c r="G135" s="91"/>
      <c r="H135" s="91"/>
      <c r="I135" s="508"/>
      <c r="J135" s="508"/>
      <c r="K135" s="508"/>
      <c r="L135" s="508"/>
      <c r="M135" s="508"/>
      <c r="N135" s="91"/>
      <c r="O135"/>
      <c r="P135" t="s">
        <v>367</v>
      </c>
      <c r="Q135"/>
      <c r="R135"/>
      <c r="S135"/>
    </row>
    <row r="136" spans="1:19" x14ac:dyDescent="0.35">
      <c r="A136" s="579"/>
      <c r="B136" s="576"/>
      <c r="C136" s="576"/>
      <c r="D136" s="576"/>
      <c r="E136" s="511"/>
      <c r="F136" s="508"/>
      <c r="G136" s="91"/>
      <c r="H136" s="91"/>
      <c r="I136" s="1102" t="s">
        <v>368</v>
      </c>
      <c r="J136" s="91"/>
      <c r="K136" s="508"/>
      <c r="L136" s="508"/>
      <c r="M136" s="508"/>
      <c r="N136" s="91"/>
      <c r="O136"/>
      <c r="P136">
        <v>1</v>
      </c>
      <c r="Q136"/>
      <c r="R136"/>
      <c r="S136"/>
    </row>
    <row r="137" spans="1:19" ht="18.75" thickBot="1" x14ac:dyDescent="0.4">
      <c r="A137" s="536" t="s">
        <v>369</v>
      </c>
      <c r="B137" s="579"/>
      <c r="C137" s="585" t="s">
        <v>370</v>
      </c>
      <c r="D137" s="576"/>
      <c r="E137" s="511"/>
      <c r="F137" s="508"/>
      <c r="G137" s="91"/>
      <c r="H137" s="586" t="s">
        <v>371</v>
      </c>
      <c r="I137" s="1102"/>
      <c r="J137" s="91"/>
      <c r="K137" s="508"/>
      <c r="L137" s="508"/>
      <c r="M137" s="508"/>
      <c r="N137" s="91"/>
      <c r="O137"/>
      <c r="P137">
        <v>2</v>
      </c>
      <c r="Q137"/>
      <c r="R137"/>
      <c r="S137"/>
    </row>
    <row r="138" spans="1:19" ht="18.75" x14ac:dyDescent="0.35">
      <c r="A138" s="576"/>
      <c r="B138" s="576"/>
      <c r="C138" s="576"/>
      <c r="D138" s="576"/>
      <c r="E138" s="511"/>
      <c r="F138" s="501" t="s">
        <v>269</v>
      </c>
      <c r="G138" s="91"/>
      <c r="H138" s="1103">
        <v>4</v>
      </c>
      <c r="I138" s="1102"/>
      <c r="J138" s="91"/>
      <c r="K138" s="508"/>
      <c r="L138" s="508"/>
      <c r="M138" s="508"/>
      <c r="N138" s="91"/>
      <c r="O138"/>
      <c r="P138">
        <v>3</v>
      </c>
      <c r="Q138"/>
      <c r="R138"/>
      <c r="S138"/>
    </row>
    <row r="139" spans="1:19" ht="18.75" thickBot="1" x14ac:dyDescent="0.4">
      <c r="A139" s="583" t="s">
        <v>372</v>
      </c>
      <c r="B139" s="576"/>
      <c r="C139" s="583" t="s">
        <v>373</v>
      </c>
      <c r="D139" s="576"/>
      <c r="E139" s="511"/>
      <c r="F139" s="508"/>
      <c r="G139" s="91"/>
      <c r="H139" s="1104"/>
      <c r="I139" s="1102"/>
      <c r="J139" s="91"/>
      <c r="K139" s="508"/>
      <c r="L139" s="508"/>
      <c r="M139" s="508"/>
      <c r="N139" s="91"/>
      <c r="O139"/>
      <c r="P139">
        <v>4</v>
      </c>
      <c r="Q139"/>
      <c r="R139"/>
      <c r="S139"/>
    </row>
    <row r="140" spans="1:19" x14ac:dyDescent="0.35">
      <c r="A140" s="539"/>
      <c r="B140" s="539"/>
      <c r="C140" s="539"/>
      <c r="D140" s="539"/>
      <c r="E140" s="498"/>
      <c r="F140" s="508"/>
      <c r="G140" s="91"/>
      <c r="H140" s="91"/>
      <c r="I140" s="1102"/>
      <c r="J140" s="91"/>
      <c r="K140" s="508"/>
      <c r="L140" s="508"/>
      <c r="M140" s="508"/>
      <c r="N140" s="91"/>
      <c r="O140"/>
      <c r="P140"/>
      <c r="Q140"/>
      <c r="R140"/>
      <c r="S140"/>
    </row>
    <row r="141" spans="1:19" x14ac:dyDescent="0.35">
      <c r="A141" s="539"/>
      <c r="B141" s="539"/>
      <c r="C141" s="539"/>
      <c r="D141" s="539"/>
      <c r="E141" s="498"/>
      <c r="F141" s="508"/>
      <c r="G141" s="91"/>
      <c r="H141" s="91"/>
      <c r="I141" s="1102"/>
      <c r="J141" s="91"/>
      <c r="K141" s="508"/>
      <c r="L141" s="508"/>
      <c r="M141" s="508"/>
      <c r="N141" s="91"/>
      <c r="O141"/>
      <c r="P141"/>
      <c r="Q141"/>
      <c r="R141"/>
      <c r="S141"/>
    </row>
    <row r="142" spans="1:19" x14ac:dyDescent="0.35">
      <c r="A142" s="539"/>
      <c r="B142" s="539"/>
      <c r="C142" s="539"/>
      <c r="D142" s="539"/>
      <c r="E142" s="498"/>
      <c r="F142" s="508"/>
      <c r="G142" s="91"/>
      <c r="H142" s="91"/>
      <c r="I142" s="508"/>
      <c r="J142" s="91"/>
      <c r="K142" s="508"/>
      <c r="L142" s="508"/>
      <c r="M142" s="508"/>
      <c r="N142" s="91"/>
      <c r="O142"/>
      <c r="P142"/>
      <c r="Q142"/>
      <c r="R142"/>
      <c r="S142"/>
    </row>
    <row r="143" spans="1:19" x14ac:dyDescent="0.35">
      <c r="A143" s="539"/>
      <c r="B143" s="539"/>
      <c r="C143" s="539"/>
      <c r="D143" s="539"/>
      <c r="E143" s="498"/>
      <c r="F143" s="508"/>
      <c r="G143" s="91"/>
      <c r="H143" s="91"/>
      <c r="I143" s="508"/>
      <c r="J143" s="91"/>
      <c r="K143" s="508"/>
      <c r="L143" s="508"/>
      <c r="M143" s="508"/>
      <c r="N143" s="91"/>
      <c r="O143"/>
      <c r="P143"/>
      <c r="Q143"/>
      <c r="R143"/>
      <c r="S143"/>
    </row>
    <row r="144" spans="1:19" x14ac:dyDescent="0.35">
      <c r="A144" s="579" t="s">
        <v>374</v>
      </c>
      <c r="B144" s="579"/>
      <c r="C144" s="579" t="s">
        <v>364</v>
      </c>
      <c r="D144" s="579"/>
      <c r="E144" s="498"/>
      <c r="F144" s="508"/>
      <c r="G144" s="91"/>
      <c r="H144" s="91"/>
      <c r="I144" s="508"/>
      <c r="J144" s="508"/>
      <c r="K144" s="508"/>
      <c r="L144" s="508"/>
      <c r="M144" s="508"/>
      <c r="N144" s="91"/>
      <c r="O144"/>
      <c r="P144"/>
      <c r="Q144"/>
      <c r="R144"/>
      <c r="S144"/>
    </row>
    <row r="145" spans="1:19" x14ac:dyDescent="0.35">
      <c r="A145" s="581"/>
      <c r="B145" s="576"/>
      <c r="C145" s="576"/>
      <c r="D145" s="576"/>
      <c r="E145" s="498"/>
      <c r="F145" s="508"/>
      <c r="G145" s="91"/>
      <c r="H145" s="91"/>
      <c r="I145" s="508"/>
      <c r="J145" s="508"/>
      <c r="K145" s="508"/>
      <c r="L145" s="508"/>
      <c r="M145" s="508"/>
      <c r="N145" s="91"/>
      <c r="O145"/>
      <c r="P145"/>
      <c r="Q145"/>
      <c r="R145"/>
      <c r="S145"/>
    </row>
    <row r="146" spans="1:19" x14ac:dyDescent="0.35">
      <c r="A146" s="582" t="s">
        <v>365</v>
      </c>
      <c r="B146" s="576"/>
      <c r="C146" s="583" t="s">
        <v>366</v>
      </c>
      <c r="D146" s="576"/>
      <c r="E146" s="498"/>
      <c r="F146" s="508"/>
      <c r="G146" s="91"/>
      <c r="H146" s="91"/>
      <c r="I146" s="508"/>
      <c r="J146" s="508"/>
      <c r="K146" s="508"/>
      <c r="L146" s="508"/>
      <c r="M146" s="508"/>
      <c r="N146" s="91"/>
      <c r="O146"/>
      <c r="P146"/>
      <c r="Q146"/>
      <c r="R146"/>
      <c r="S146"/>
    </row>
    <row r="147" spans="1:19" x14ac:dyDescent="0.35">
      <c r="A147" s="579"/>
      <c r="B147" s="576"/>
      <c r="C147" s="576"/>
      <c r="D147" s="576"/>
      <c r="E147" s="498"/>
      <c r="F147" s="508"/>
      <c r="G147" s="91"/>
      <c r="H147" s="91"/>
      <c r="I147" s="508"/>
      <c r="J147" s="508"/>
      <c r="K147" s="508"/>
      <c r="L147" s="508"/>
      <c r="M147" s="508"/>
      <c r="N147" s="91"/>
      <c r="O147"/>
      <c r="P147"/>
      <c r="Q147"/>
      <c r="R147"/>
      <c r="S147"/>
    </row>
    <row r="148" spans="1:19" x14ac:dyDescent="0.35">
      <c r="A148" s="536" t="s">
        <v>375</v>
      </c>
      <c r="B148" s="579"/>
      <c r="C148" s="585" t="s">
        <v>370</v>
      </c>
      <c r="D148" s="576"/>
      <c r="E148" s="498"/>
      <c r="F148" s="508"/>
      <c r="G148" s="91"/>
      <c r="H148" s="91"/>
      <c r="I148" s="508"/>
      <c r="J148" s="508"/>
      <c r="K148" s="508"/>
      <c r="L148" s="508"/>
      <c r="M148" s="508"/>
      <c r="N148" s="91"/>
      <c r="O148"/>
      <c r="P148"/>
      <c r="Q148"/>
      <c r="R148"/>
      <c r="S148"/>
    </row>
    <row r="149" spans="1:19" x14ac:dyDescent="0.35">
      <c r="A149" s="576"/>
      <c r="B149" s="576"/>
      <c r="C149" s="576"/>
      <c r="D149" s="576"/>
      <c r="E149" s="498"/>
      <c r="F149" s="508"/>
      <c r="G149" s="91"/>
      <c r="H149" s="91"/>
      <c r="I149" s="508"/>
      <c r="J149" s="508"/>
      <c r="K149" s="508"/>
      <c r="L149" s="508"/>
      <c r="M149" s="508"/>
      <c r="N149" s="91"/>
      <c r="O149"/>
      <c r="P149"/>
      <c r="Q149"/>
      <c r="R149"/>
      <c r="S149"/>
    </row>
    <row r="150" spans="1:19" x14ac:dyDescent="0.35">
      <c r="A150" s="583" t="s">
        <v>376</v>
      </c>
      <c r="B150" s="576"/>
      <c r="C150" s="583" t="s">
        <v>373</v>
      </c>
      <c r="D150" s="576"/>
      <c r="E150" s="498"/>
      <c r="F150" s="508"/>
      <c r="G150" s="91"/>
      <c r="H150" s="91"/>
      <c r="I150" s="508"/>
      <c r="J150" s="508"/>
      <c r="K150" s="508"/>
      <c r="L150" s="508"/>
      <c r="M150" s="508"/>
      <c r="N150" s="91"/>
      <c r="O150"/>
      <c r="P150"/>
      <c r="Q150"/>
      <c r="R150"/>
      <c r="S150"/>
    </row>
    <row r="151" spans="1:19" x14ac:dyDescent="0.35">
      <c r="A151" s="539"/>
      <c r="B151" s="539"/>
      <c r="C151" s="539"/>
      <c r="D151" s="539"/>
      <c r="E151" s="498"/>
      <c r="F151" s="508"/>
      <c r="G151" s="91"/>
      <c r="H151" s="91"/>
      <c r="I151" s="508"/>
      <c r="J151" s="508"/>
      <c r="K151" s="508"/>
      <c r="L151" s="508"/>
      <c r="M151" s="508"/>
      <c r="N151" s="91"/>
      <c r="O151"/>
      <c r="P151"/>
      <c r="Q151"/>
      <c r="R151"/>
      <c r="S151"/>
    </row>
    <row r="152" spans="1:19" x14ac:dyDescent="0.35">
      <c r="A152" s="539"/>
      <c r="B152" s="539"/>
      <c r="C152" s="539"/>
      <c r="D152" s="539"/>
      <c r="E152" s="498"/>
      <c r="F152" s="508"/>
      <c r="G152" s="91"/>
      <c r="H152" s="91"/>
      <c r="I152" s="508"/>
      <c r="J152" s="508"/>
      <c r="K152" s="508"/>
      <c r="L152" s="508"/>
      <c r="M152" s="508"/>
      <c r="N152" s="91"/>
      <c r="O152"/>
      <c r="P152"/>
      <c r="Q152"/>
      <c r="R152"/>
      <c r="S152"/>
    </row>
    <row r="153" spans="1:19" x14ac:dyDescent="0.35">
      <c r="A153" s="539"/>
      <c r="B153" s="539"/>
      <c r="C153" s="539"/>
      <c r="D153" s="539"/>
      <c r="E153" s="498"/>
      <c r="F153" s="508"/>
      <c r="G153" s="91"/>
      <c r="H153" s="91"/>
      <c r="I153" s="508"/>
      <c r="J153" s="508"/>
      <c r="K153" s="508"/>
      <c r="L153" s="508"/>
      <c r="M153" s="508"/>
      <c r="N153" s="91"/>
      <c r="O153"/>
      <c r="P153"/>
      <c r="Q153"/>
      <c r="R153"/>
      <c r="S153"/>
    </row>
    <row r="154" spans="1:19" x14ac:dyDescent="0.35">
      <c r="A154" s="539"/>
      <c r="B154" s="539"/>
      <c r="C154" s="539"/>
      <c r="D154" s="539"/>
      <c r="E154" s="498"/>
      <c r="F154" s="508"/>
      <c r="G154" s="91"/>
      <c r="H154" s="91"/>
      <c r="I154" s="508"/>
      <c r="J154" s="508"/>
      <c r="K154" s="508"/>
      <c r="L154" s="508"/>
      <c r="M154" s="508"/>
      <c r="N154" s="91"/>
      <c r="O154"/>
      <c r="P154"/>
      <c r="Q154"/>
      <c r="R154"/>
      <c r="S154"/>
    </row>
    <row r="155" spans="1:19" x14ac:dyDescent="0.35">
      <c r="A155" s="539"/>
      <c r="B155" s="539"/>
      <c r="C155" s="539"/>
      <c r="D155" s="539"/>
      <c r="E155" s="498"/>
      <c r="F155" s="508"/>
      <c r="G155" s="91"/>
      <c r="H155" s="91"/>
      <c r="I155" s="508"/>
      <c r="J155" s="508"/>
      <c r="K155" s="508"/>
      <c r="L155" s="508"/>
      <c r="M155" s="508"/>
      <c r="N155" s="91"/>
      <c r="O155"/>
      <c r="P155"/>
      <c r="Q155"/>
      <c r="R155"/>
      <c r="S155"/>
    </row>
    <row r="156" spans="1:19" x14ac:dyDescent="0.35">
      <c r="A156" s="498"/>
      <c r="B156" s="498"/>
      <c r="C156" s="498"/>
      <c r="D156" s="498"/>
      <c r="E156" s="498"/>
      <c r="F156" s="508"/>
      <c r="G156" s="91"/>
      <c r="H156" s="91"/>
      <c r="I156" s="508"/>
      <c r="J156" s="508"/>
      <c r="K156" s="508"/>
      <c r="L156" s="508"/>
      <c r="M156" s="508"/>
      <c r="N156" s="91"/>
      <c r="O156"/>
      <c r="P156"/>
      <c r="Q156"/>
      <c r="R156"/>
      <c r="S156"/>
    </row>
    <row r="157" spans="1:19" x14ac:dyDescent="0.35">
      <c r="A157" s="539"/>
      <c r="B157" s="539"/>
      <c r="C157" s="539"/>
      <c r="D157" s="539"/>
      <c r="E157" s="91"/>
      <c r="F157" s="508"/>
      <c r="G157" s="91"/>
      <c r="H157" s="91"/>
      <c r="I157" s="508"/>
      <c r="J157" s="508"/>
      <c r="K157" s="508"/>
      <c r="L157" s="508"/>
      <c r="M157" s="508"/>
      <c r="N157" s="91"/>
      <c r="O157"/>
      <c r="P157"/>
      <c r="Q157"/>
      <c r="R157"/>
      <c r="S157"/>
    </row>
    <row r="158" spans="1:19" x14ac:dyDescent="0.35">
      <c r="A158" s="91"/>
      <c r="B158" s="91"/>
      <c r="C158" s="91"/>
      <c r="D158" s="91"/>
      <c r="E158" s="91"/>
      <c r="F158" s="508"/>
      <c r="G158" s="91"/>
      <c r="H158" s="91"/>
      <c r="I158" s="508"/>
      <c r="J158" s="508"/>
      <c r="K158" s="508"/>
      <c r="L158" s="508"/>
      <c r="M158" s="508"/>
      <c r="N158" s="91"/>
      <c r="O158"/>
      <c r="P158"/>
      <c r="Q158"/>
      <c r="R158"/>
      <c r="S158"/>
    </row>
    <row r="159" spans="1:19" x14ac:dyDescent="0.35">
      <c r="A159" s="587"/>
      <c r="B159" s="587"/>
      <c r="C159" s="587"/>
      <c r="D159" s="587"/>
      <c r="F159" s="552"/>
      <c r="G159" s="587"/>
      <c r="H159" s="587"/>
      <c r="I159" s="552"/>
      <c r="J159" s="552"/>
      <c r="K159" s="508"/>
      <c r="L159" s="508"/>
      <c r="M159" s="508"/>
    </row>
    <row r="160" spans="1:19" x14ac:dyDescent="0.35">
      <c r="A160" s="587"/>
      <c r="B160" s="587"/>
      <c r="C160" s="587"/>
      <c r="D160" s="587"/>
      <c r="F160" s="552"/>
      <c r="G160" s="587"/>
      <c r="H160" s="587"/>
      <c r="I160" s="552"/>
      <c r="J160" s="552"/>
      <c r="K160" s="508"/>
      <c r="L160" s="508"/>
      <c r="M160" s="508"/>
    </row>
    <row r="161" spans="1:13" x14ac:dyDescent="0.35">
      <c r="A161" s="587"/>
      <c r="B161" s="587"/>
      <c r="C161" s="587"/>
      <c r="D161" s="587"/>
      <c r="F161" s="552"/>
      <c r="G161" s="587"/>
      <c r="H161" s="587"/>
      <c r="I161" s="552"/>
      <c r="J161" s="552"/>
      <c r="K161" s="508"/>
      <c r="L161" s="508"/>
      <c r="M161" s="508"/>
    </row>
    <row r="162" spans="1:13" x14ac:dyDescent="0.35">
      <c r="A162" s="587"/>
      <c r="B162" s="587"/>
      <c r="C162" s="587"/>
      <c r="D162" s="587"/>
      <c r="F162" s="552"/>
      <c r="G162" s="587"/>
      <c r="H162" s="587"/>
      <c r="I162" s="552"/>
      <c r="J162" s="552"/>
      <c r="K162" s="508"/>
      <c r="L162" s="508"/>
      <c r="M162" s="508"/>
    </row>
    <row r="163" spans="1:13" x14ac:dyDescent="0.35">
      <c r="A163" s="587"/>
      <c r="B163" s="587"/>
      <c r="C163" s="587"/>
      <c r="D163" s="587"/>
      <c r="F163" s="552"/>
      <c r="G163" s="587"/>
      <c r="H163" s="587"/>
      <c r="I163" s="552"/>
      <c r="J163" s="552"/>
      <c r="K163" s="508"/>
      <c r="L163" s="508"/>
      <c r="M163" s="508"/>
    </row>
  </sheetData>
  <mergeCells count="171">
    <mergeCell ref="A90:B90"/>
    <mergeCell ref="C90:D90"/>
    <mergeCell ref="A129:D129"/>
    <mergeCell ref="I130:I134"/>
    <mergeCell ref="I136:I141"/>
    <mergeCell ref="H138:H139"/>
    <mergeCell ref="B12:D12"/>
    <mergeCell ref="B13:D13"/>
    <mergeCell ref="B14:D14"/>
    <mergeCell ref="B16:D16"/>
    <mergeCell ref="B17:D17"/>
    <mergeCell ref="B18:D18"/>
    <mergeCell ref="A119:D119"/>
    <mergeCell ref="A121:D121"/>
    <mergeCell ref="A122:D122"/>
    <mergeCell ref="A123:D123"/>
    <mergeCell ref="A124:D124"/>
    <mergeCell ref="A125:D125"/>
    <mergeCell ref="A109:D109"/>
    <mergeCell ref="A111:D111"/>
    <mergeCell ref="A112:D112"/>
    <mergeCell ref="A113:D113"/>
    <mergeCell ref="A115:D115"/>
    <mergeCell ref="A117:D117"/>
    <mergeCell ref="A106:B106"/>
    <mergeCell ref="C106:D106"/>
    <mergeCell ref="A107:B107"/>
    <mergeCell ref="C107:D107"/>
    <mergeCell ref="A108:B108"/>
    <mergeCell ref="C108:D108"/>
    <mergeCell ref="A103:B103"/>
    <mergeCell ref="C103:D103"/>
    <mergeCell ref="A104:B104"/>
    <mergeCell ref="C104:D104"/>
    <mergeCell ref="A105:B105"/>
    <mergeCell ref="C105:D105"/>
    <mergeCell ref="A100:B100"/>
    <mergeCell ref="C100:D100"/>
    <mergeCell ref="A101:B101"/>
    <mergeCell ref="C101:D101"/>
    <mergeCell ref="A102:B102"/>
    <mergeCell ref="C102:D102"/>
    <mergeCell ref="A97:B97"/>
    <mergeCell ref="C97:D97"/>
    <mergeCell ref="A98:B98"/>
    <mergeCell ref="C98:D98"/>
    <mergeCell ref="A99:B99"/>
    <mergeCell ref="C99:D99"/>
    <mergeCell ref="A94:B94"/>
    <mergeCell ref="C94:D94"/>
    <mergeCell ref="A95:B95"/>
    <mergeCell ref="C95:D95"/>
    <mergeCell ref="A96:B96"/>
    <mergeCell ref="C96:D96"/>
    <mergeCell ref="A91:D91"/>
    <mergeCell ref="A92:B92"/>
    <mergeCell ref="C92:D92"/>
    <mergeCell ref="A93:B93"/>
    <mergeCell ref="C93:D93"/>
    <mergeCell ref="A87:B87"/>
    <mergeCell ref="C87:D87"/>
    <mergeCell ref="A88:B88"/>
    <mergeCell ref="C88:D88"/>
    <mergeCell ref="A89:B89"/>
    <mergeCell ref="C89:D89"/>
    <mergeCell ref="A84:B84"/>
    <mergeCell ref="C84:D84"/>
    <mergeCell ref="A85:B85"/>
    <mergeCell ref="C85:D85"/>
    <mergeCell ref="A86:B86"/>
    <mergeCell ref="C86:D86"/>
    <mergeCell ref="A81:B81"/>
    <mergeCell ref="C81:D81"/>
    <mergeCell ref="A82:B82"/>
    <mergeCell ref="C82:D82"/>
    <mergeCell ref="A83:B83"/>
    <mergeCell ref="C83:D83"/>
    <mergeCell ref="A78:B78"/>
    <mergeCell ref="C78:D78"/>
    <mergeCell ref="A79:B79"/>
    <mergeCell ref="C79:D79"/>
    <mergeCell ref="A80:B80"/>
    <mergeCell ref="C80:D80"/>
    <mergeCell ref="A76:B76"/>
    <mergeCell ref="C76:D76"/>
    <mergeCell ref="A77:B77"/>
    <mergeCell ref="C77:D77"/>
    <mergeCell ref="A72:B72"/>
    <mergeCell ref="C72:D72"/>
    <mergeCell ref="A73:B73"/>
    <mergeCell ref="C73:D73"/>
    <mergeCell ref="A74:B74"/>
    <mergeCell ref="C74:D74"/>
    <mergeCell ref="A71:B71"/>
    <mergeCell ref="C71:D71"/>
    <mergeCell ref="A64:D64"/>
    <mergeCell ref="A65:D65"/>
    <mergeCell ref="A66:D66"/>
    <mergeCell ref="A67:D67"/>
    <mergeCell ref="A68:B68"/>
    <mergeCell ref="C68:D68"/>
    <mergeCell ref="A75:B75"/>
    <mergeCell ref="C75:D75"/>
    <mergeCell ref="A56:D56"/>
    <mergeCell ref="A57:D57"/>
    <mergeCell ref="A58:D58"/>
    <mergeCell ref="A59:D59"/>
    <mergeCell ref="A54:D54"/>
    <mergeCell ref="A69:B69"/>
    <mergeCell ref="C69:D69"/>
    <mergeCell ref="A70:B70"/>
    <mergeCell ref="C70:D70"/>
    <mergeCell ref="M35:R35"/>
    <mergeCell ref="B36:D36"/>
    <mergeCell ref="B33:D33"/>
    <mergeCell ref="A46:D46"/>
    <mergeCell ref="A47:D47"/>
    <mergeCell ref="A48:D48"/>
    <mergeCell ref="A49:D49"/>
    <mergeCell ref="A50:D50"/>
    <mergeCell ref="A51:D51"/>
    <mergeCell ref="A41:D41"/>
    <mergeCell ref="A42:D42"/>
    <mergeCell ref="A43:D43"/>
    <mergeCell ref="A44:D44"/>
    <mergeCell ref="M44:R44"/>
    <mergeCell ref="A45:D45"/>
    <mergeCell ref="B37:D37"/>
    <mergeCell ref="B38:D38"/>
    <mergeCell ref="B39:D39"/>
    <mergeCell ref="A40:D40"/>
    <mergeCell ref="B34:D34"/>
    <mergeCell ref="N1:N3"/>
    <mergeCell ref="A2:D2"/>
    <mergeCell ref="A3:D3"/>
    <mergeCell ref="B4:D4"/>
    <mergeCell ref="G4:G6"/>
    <mergeCell ref="B5:D5"/>
    <mergeCell ref="F9:J9"/>
    <mergeCell ref="B24:D24"/>
    <mergeCell ref="B26:D26"/>
    <mergeCell ref="B20:D20"/>
    <mergeCell ref="B21:D21"/>
    <mergeCell ref="B22:D22"/>
    <mergeCell ref="B23:D23"/>
    <mergeCell ref="B7:D7"/>
    <mergeCell ref="B25:D25"/>
    <mergeCell ref="F67:J67"/>
    <mergeCell ref="F52:F54"/>
    <mergeCell ref="B6:C6"/>
    <mergeCell ref="H52:H54"/>
    <mergeCell ref="I52:I54"/>
    <mergeCell ref="B19:D19"/>
    <mergeCell ref="A8:D8"/>
    <mergeCell ref="A9:D9"/>
    <mergeCell ref="B10:D10"/>
    <mergeCell ref="B11:D11"/>
    <mergeCell ref="B15:D15"/>
    <mergeCell ref="B27:D27"/>
    <mergeCell ref="B28:D28"/>
    <mergeCell ref="B29:D29"/>
    <mergeCell ref="B30:D30"/>
    <mergeCell ref="B35:D35"/>
    <mergeCell ref="B31:D31"/>
    <mergeCell ref="B32:D32"/>
    <mergeCell ref="A60:D60"/>
    <mergeCell ref="A61:D61"/>
    <mergeCell ref="A62:D62"/>
    <mergeCell ref="A63:D63"/>
    <mergeCell ref="A52:D52"/>
    <mergeCell ref="A53:D53"/>
  </mergeCells>
  <conditionalFormatting sqref="A144:B151">
    <cfRule type="expression" dxfId="86" priority="17">
      <formula>IF($H$138&gt;=3,FALSE,TRUE)</formula>
    </cfRule>
  </conditionalFormatting>
  <conditionalFormatting sqref="A1:D1">
    <cfRule type="expression" dxfId="85" priority="14">
      <formula>$A$1="PLEASE SELECT A PRODUCT IN THE BTL CALCULATOR TAB CELL AI 77"</formula>
    </cfRule>
  </conditionalFormatting>
  <conditionalFormatting sqref="A24:D24 A25:B25">
    <cfRule type="expression" dxfId="84" priority="16">
      <formula>IF($F$24="",FALSE,TRUE)</formula>
    </cfRule>
  </conditionalFormatting>
  <conditionalFormatting sqref="C133:D140">
    <cfRule type="expression" dxfId="83" priority="18">
      <formula>IF($H$138&gt;1,FALSE,TRUE)</formula>
    </cfRule>
  </conditionalFormatting>
  <conditionalFormatting sqref="C144:D151">
    <cfRule type="expression" dxfId="82" priority="19">
      <formula>IF($H$138=4,FALSE,TRUE)</formula>
    </cfRule>
  </conditionalFormatting>
  <conditionalFormatting sqref="G28">
    <cfRule type="expression" dxfId="81" priority="13">
      <formula>$A$28=""</formula>
    </cfRule>
  </conditionalFormatting>
  <conditionalFormatting sqref="H38">
    <cfRule type="expression" dxfId="80" priority="12">
      <formula>$G$38=""</formula>
    </cfRule>
  </conditionalFormatting>
  <conditionalFormatting sqref="F31:G31">
    <cfRule type="expression" dxfId="79" priority="7">
      <formula>$H$2="Corporate"</formula>
    </cfRule>
  </conditionalFormatting>
  <conditionalFormatting sqref="A31:D31">
    <cfRule type="expression" dxfId="78" priority="6">
      <formula>$H$2="Personal"</formula>
    </cfRule>
  </conditionalFormatting>
  <conditionalFormatting sqref="A52:D54">
    <cfRule type="expression" dxfId="77" priority="5">
      <formula>$H$52="Yes"</formula>
    </cfRule>
  </conditionalFormatting>
  <conditionalFormatting sqref="F52:F54">
    <cfRule type="expression" dxfId="76" priority="3">
      <formula>$H$52="No"</formula>
    </cfRule>
  </conditionalFormatting>
  <dataValidations disablePrompts="1" count="6">
    <dataValidation type="list" allowBlank="1" showInputMessage="1" showErrorMessage="1" sqref="H138:H139" xr:uid="{1D666796-3852-4123-9CD6-3B74CF4AA8A6}">
      <formula1>$P$136:$P$139</formula1>
    </dataValidation>
    <dataValidation type="list" allowBlank="1" showInputMessage="1" showErrorMessage="1" sqref="J11:K14 I12:I14 H11" xr:uid="{FDB60251-1BA2-47FC-9D20-636145CE2D43}">
      <formula1>"Commercial,Semi-Commercial"</formula1>
    </dataValidation>
    <dataValidation type="list" allowBlank="1" showInputMessage="1" showErrorMessage="1" sqref="I128:K128" xr:uid="{93FB1B9B-C156-4107-AFD7-510AC1E7E990}">
      <formula1>"Individual,Company"</formula1>
    </dataValidation>
    <dataValidation type="list" allowBlank="1" showInputMessage="1" showErrorMessage="1" sqref="J30" xr:uid="{EC1EC6F7-98DE-40F4-B85C-F0139CCB737D}">
      <formula1>"First,Second"</formula1>
    </dataValidation>
    <dataValidation type="list" allowBlank="1" showInputMessage="1" showErrorMessage="1" sqref="M31" xr:uid="{80EB60B6-BCBC-40A1-8B1B-915DE8B469F7}">
      <formula1>"Personal.Corporate"</formula1>
    </dataValidation>
    <dataValidation type="list" allowBlank="1" showInputMessage="1" showErrorMessage="1" sqref="H52:H54" xr:uid="{48D8703A-6D80-422B-A0EE-F2763A3B5429}">
      <formula1>"Yes,No"</formula1>
    </dataValidation>
  </dataValidations>
  <pageMargins left="0.5" right="0.5" top="0.8858267716535434" bottom="0.5" header="0.31496062992125984" footer="0.31496062992125984"/>
  <pageSetup paperSize="9" scale="82" orientation="portrait" r:id="rId1"/>
  <headerFooter scaleWithDoc="0">
    <oddHeader>&amp;R&amp;G</oddHeader>
    <oddFooter>&amp;CPage &amp;P of &amp;N</oddFooter>
  </headerFooter>
  <rowBreaks count="4" manualBreakCount="4">
    <brk id="39" max="16383" man="1"/>
    <brk id="49" max="16383" man="1"/>
    <brk id="65" max="16383" man="1"/>
    <brk id="115" max="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4341" r:id="rId5" name="Button 5">
              <controlPr defaultSize="0" print="0" autoFill="0" autoPict="0" macro="[0]!Button5_Click">
                <anchor moveWithCells="1" sizeWithCells="1">
                  <from>
                    <xdr:col>5</xdr:col>
                    <xdr:colOff>266700</xdr:colOff>
                    <xdr:row>7</xdr:row>
                    <xdr:rowOff>333375</xdr:rowOff>
                  </from>
                  <to>
                    <xdr:col>6</xdr:col>
                    <xdr:colOff>819150</xdr:colOff>
                    <xdr:row>7</xdr:row>
                    <xdr:rowOff>838200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1" id="{03E4BC99-CC09-4651-9073-124B98AFF837}">
            <xm:f>'Input Sheet'!$Q$12=""</xm:f>
            <x14:dxf>
              <font>
                <color theme="0"/>
              </font>
            </x14:dxf>
          </x14:cfRule>
          <xm:sqref>A29</xm:sqref>
        </x14:conditionalFormatting>
        <x14:conditionalFormatting xmlns:xm="http://schemas.microsoft.com/office/excel/2006/main">
          <x14:cfRule type="expression" priority="9" id="{54F90D85-A08B-45F9-9310-986CE1B28A90}">
            <xm:f>'Input Sheet'!$F$9&lt;0.00001</xm:f>
            <x14:dxf>
              <font>
                <color theme="0"/>
              </font>
            </x14:dxf>
          </x14:cfRule>
          <xm:sqref>A18:D18</xm:sqref>
        </x14:conditionalFormatting>
        <x14:conditionalFormatting xmlns:xm="http://schemas.microsoft.com/office/excel/2006/main">
          <x14:cfRule type="expression" priority="8" id="{122E1BF3-AEEA-4959-83FB-1EDC7D198DFB}">
            <xm:f>'Input Sheet'!$Q$13&lt;1</xm:f>
            <x14:dxf>
              <font>
                <b/>
                <i val="0"/>
                <color theme="0"/>
              </font>
              <fill>
                <patternFill>
                  <bgColor rgb="FFFF0000"/>
                </patternFill>
              </fill>
            </x14:dxf>
          </x14:cfRule>
          <xm:sqref>F31:G31</xm:sqref>
        </x14:conditionalFormatting>
        <x14:conditionalFormatting xmlns:xm="http://schemas.microsoft.com/office/excel/2006/main">
          <x14:cfRule type="expression" priority="4" id="{096981DA-21E5-490D-866F-CA01340CCF86}">
            <xm:f>'Input Sheet'!$C$13="Residential"</xm:f>
            <x14:dxf>
              <font>
                <color theme="0"/>
              </font>
              <fill>
                <patternFill>
                  <bgColor theme="0"/>
                </patternFill>
              </fill>
              <border>
                <left/>
                <right/>
                <top/>
                <bottom/>
              </border>
            </x14:dxf>
          </x14:cfRule>
          <xm:sqref>H11:I11</xm:sqref>
        </x14:conditionalFormatting>
        <x14:conditionalFormatting xmlns:xm="http://schemas.microsoft.com/office/excel/2006/main">
          <x14:cfRule type="expression" priority="2" id="{4BB24B97-6078-4F92-973E-F89B0E7CDE9E}">
            <xm:f>'Input Sheet'!$Q$12=""</xm:f>
            <x14:dxf>
              <font>
                <color theme="0"/>
              </font>
            </x14:dxf>
          </x14:cfRule>
          <xm:sqref>B29:D29</xm:sqref>
        </x14:conditionalFormatting>
        <x14:conditionalFormatting xmlns:xm="http://schemas.microsoft.com/office/excel/2006/main">
          <x14:cfRule type="expression" priority="1" id="{87E99C45-3E4C-40F7-A916-AEED164666A1}">
            <xm:f>AND('Input Sheet'!$C$36&lt;0.001,'Input Sheet'!$C$37&lt;0.001)</xm:f>
            <x14:dxf>
              <font>
                <color theme="0"/>
              </font>
            </x14:dxf>
          </x14:cfRule>
          <xm:sqref>A23:D23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A8EA-EE53-464C-BD3F-108706271134}">
  <sheetPr codeName="Sheet11">
    <pageSetUpPr fitToPage="1"/>
  </sheetPr>
  <dimension ref="A1:XEK67"/>
  <sheetViews>
    <sheetView showGridLines="0" zoomScale="85" zoomScaleNormal="85" workbookViewId="0">
      <selection activeCell="XFD18" sqref="XFD18"/>
    </sheetView>
  </sheetViews>
  <sheetFormatPr defaultColWidth="4" defaultRowHeight="15.75" x14ac:dyDescent="0.25"/>
  <cols>
    <col min="1" max="1" width="3.7109375" style="10" customWidth="1"/>
    <col min="2" max="2" width="14.5703125" style="21" bestFit="1" customWidth="1"/>
    <col min="3" max="3" width="1.5703125" style="21" customWidth="1"/>
    <col min="4" max="4" width="27.28515625" style="21" customWidth="1"/>
    <col min="5" max="5" width="12.42578125" style="21" bestFit="1" customWidth="1"/>
    <col min="6" max="6" width="12.42578125" style="21" customWidth="1"/>
    <col min="7" max="7" width="27.28515625" style="21" customWidth="1"/>
    <col min="8" max="8" width="4.85546875" style="21" bestFit="1" customWidth="1"/>
    <col min="9" max="9" width="12.140625" style="21" bestFit="1" customWidth="1"/>
    <col min="10" max="10" width="17.42578125" style="29" bestFit="1" customWidth="1"/>
    <col min="11" max="11" width="16.85546875" style="10" bestFit="1" customWidth="1"/>
    <col min="12" max="12" width="14.85546875" style="10" customWidth="1"/>
    <col min="13" max="15" width="16.85546875" style="23" bestFit="1" customWidth="1"/>
    <col min="16" max="16" width="9.42578125" style="23" customWidth="1"/>
    <col min="17" max="17" width="9.85546875" style="22" bestFit="1" customWidth="1"/>
    <col min="18" max="18" width="16.42578125" style="8" customWidth="1"/>
    <col min="19" max="19" width="14.5703125" style="8" bestFit="1" customWidth="1"/>
    <col min="20" max="20" width="28.140625" style="8" customWidth="1"/>
    <col min="21" max="21" width="7.140625" style="22" hidden="1" customWidth="1"/>
    <col min="22" max="22" width="14.28515625" style="10" hidden="1" customWidth="1"/>
    <col min="23" max="23" width="9.140625" style="10" hidden="1" customWidth="1"/>
    <col min="24" max="24" width="12" style="10" customWidth="1"/>
    <col min="25" max="25" width="3" style="10" customWidth="1"/>
    <col min="26" max="26" width="31" style="10" bestFit="1" customWidth="1"/>
    <col min="27" max="27" width="2.140625" style="10" hidden="1" customWidth="1"/>
    <col min="28" max="28" width="7.7109375" style="10" hidden="1" customWidth="1"/>
    <col min="29" max="29" width="8.140625" style="10" hidden="1" customWidth="1"/>
    <col min="30" max="30" width="7.7109375" style="10" hidden="1" customWidth="1"/>
    <col min="31" max="35" width="9.140625" style="10" hidden="1" customWidth="1"/>
    <col min="36" max="54" width="0" style="10" hidden="1" customWidth="1"/>
    <col min="55" max="16384" width="4" style="10"/>
  </cols>
  <sheetData>
    <row r="1" spans="2:30 16363:16365" s="48" customFormat="1" ht="21.75" thickBot="1" x14ac:dyDescent="0.4">
      <c r="B1" s="45"/>
      <c r="C1" s="46"/>
      <c r="D1" s="62"/>
      <c r="E1" s="63"/>
      <c r="F1" s="63"/>
      <c r="G1" s="46"/>
      <c r="H1" s="46"/>
      <c r="I1" s="46"/>
      <c r="J1" s="47"/>
      <c r="M1" s="49"/>
      <c r="N1" s="49"/>
      <c r="O1" s="49"/>
      <c r="P1" s="49"/>
      <c r="Q1" s="50"/>
      <c r="R1" s="51"/>
      <c r="S1" s="51"/>
      <c r="T1" s="51"/>
      <c r="U1" s="50"/>
      <c r="XEI1" s="72" t="s">
        <v>40</v>
      </c>
      <c r="XEJ1" s="72" t="s">
        <v>41</v>
      </c>
      <c r="XEK1" s="72" t="s">
        <v>42</v>
      </c>
    </row>
    <row r="2" spans="2:30 16363:16365" s="6" customFormat="1" ht="19.5" thickBot="1" x14ac:dyDescent="0.3">
      <c r="B2" s="2"/>
      <c r="C2" s="2"/>
      <c r="D2" s="2"/>
      <c r="E2" s="2"/>
      <c r="F2" s="2"/>
      <c r="G2" s="2"/>
      <c r="H2" s="2"/>
      <c r="I2" s="2"/>
      <c r="J2" s="3"/>
      <c r="K2" s="3"/>
      <c r="L2" s="1165" t="s">
        <v>1</v>
      </c>
      <c r="M2" s="1166"/>
      <c r="N2" s="1167"/>
      <c r="O2" s="3"/>
      <c r="P2" s="3"/>
      <c r="Q2" s="3"/>
      <c r="R2" s="4"/>
      <c r="S2" s="4"/>
      <c r="T2" s="4"/>
      <c r="U2" s="4"/>
      <c r="V2" s="5"/>
    </row>
    <row r="3" spans="2:30 16363:16365" s="7" customFormat="1" ht="31.5" x14ac:dyDescent="0.25">
      <c r="B3" s="1124" t="s">
        <v>121</v>
      </c>
      <c r="C3" s="1125"/>
      <c r="D3" s="1125"/>
      <c r="E3" s="404" t="s">
        <v>34</v>
      </c>
      <c r="F3" s="660" t="s">
        <v>426</v>
      </c>
      <c r="G3" s="402" t="s">
        <v>28</v>
      </c>
      <c r="H3" s="403" t="s">
        <v>36</v>
      </c>
      <c r="I3" s="404" t="s">
        <v>37</v>
      </c>
      <c r="J3" s="402" t="s">
        <v>2</v>
      </c>
      <c r="K3" s="405" t="s">
        <v>16</v>
      </c>
      <c r="L3" s="456" t="s">
        <v>15</v>
      </c>
      <c r="M3" s="457" t="s">
        <v>250</v>
      </c>
      <c r="N3" s="458" t="s">
        <v>9</v>
      </c>
      <c r="O3" s="449" t="s">
        <v>5</v>
      </c>
      <c r="P3" s="450" t="s">
        <v>14</v>
      </c>
      <c r="Q3" s="407" t="s">
        <v>23</v>
      </c>
      <c r="R3" s="406" t="s">
        <v>13</v>
      </c>
      <c r="S3" s="408" t="s">
        <v>24</v>
      </c>
      <c r="T3" s="409" t="s">
        <v>22</v>
      </c>
      <c r="U3" s="410"/>
      <c r="V3" s="411"/>
      <c r="W3" s="412" t="s">
        <v>24</v>
      </c>
      <c r="X3" s="409" t="s">
        <v>19</v>
      </c>
      <c r="AD3" s="7">
        <f>SUM(AB4:AB61)</f>
        <v>0</v>
      </c>
    </row>
    <row r="4" spans="2:30 16363:16365" x14ac:dyDescent="0.25">
      <c r="B4" s="1126"/>
      <c r="C4" s="1127"/>
      <c r="D4" s="1127"/>
      <c r="E4" s="1130"/>
      <c r="F4" s="1121"/>
      <c r="G4" s="64"/>
      <c r="H4" s="65"/>
      <c r="I4" s="61"/>
      <c r="J4" s="1133"/>
      <c r="K4" s="1136"/>
      <c r="L4" s="1139"/>
      <c r="M4" s="1141"/>
      <c r="N4" s="1142"/>
      <c r="O4" s="1143">
        <f>M4-N4</f>
        <v>0</v>
      </c>
      <c r="P4" s="433"/>
      <c r="Q4" s="30"/>
      <c r="R4" s="215"/>
      <c r="S4" s="1146">
        <f>IFERROR((R4+R6+R5)/N4,0)</f>
        <v>0</v>
      </c>
      <c r="T4" s="31"/>
      <c r="U4" s="4">
        <v>0.7</v>
      </c>
      <c r="V4" s="8" t="e">
        <f>U4/$O$64*O4</f>
        <v>#DIV/0!</v>
      </c>
      <c r="W4" s="40">
        <f>IFERROR((R4+R6+R5)/O4,0)</f>
        <v>0</v>
      </c>
      <c r="X4" s="459" t="str">
        <f t="shared" ref="X4:X35" si="0">IF(P4="1st","Yes",IF(R4&gt;0,"No",""))</f>
        <v/>
      </c>
      <c r="Y4" s="9"/>
      <c r="AB4" s="10">
        <f>IFERROR(AC4*AD4,0)</f>
        <v>0</v>
      </c>
      <c r="AC4" s="10" t="e">
        <f>O4/$O$64</f>
        <v>#DIV/0!</v>
      </c>
      <c r="AD4" s="10" t="str">
        <f>IF(O4&gt;0,IF(P4="1st",1,IF(P4="2nd",2,IF(P4="AN1",2,""))),"")</f>
        <v/>
      </c>
    </row>
    <row r="5" spans="2:30 16363:16365" x14ac:dyDescent="0.25">
      <c r="B5" s="1128"/>
      <c r="C5" s="1129"/>
      <c r="D5" s="1129"/>
      <c r="E5" s="1131"/>
      <c r="F5" s="1122"/>
      <c r="G5" s="66"/>
      <c r="H5" s="67"/>
      <c r="I5" s="59"/>
      <c r="J5" s="1134"/>
      <c r="K5" s="1137"/>
      <c r="L5" s="1140"/>
      <c r="M5" s="1141"/>
      <c r="N5" s="1142"/>
      <c r="O5" s="1144"/>
      <c r="P5" s="434"/>
      <c r="Q5" s="39"/>
      <c r="R5" s="213"/>
      <c r="S5" s="1147"/>
      <c r="T5" s="35"/>
      <c r="U5" s="4"/>
      <c r="V5" s="8"/>
      <c r="W5" s="41"/>
      <c r="X5" s="460" t="str">
        <f t="shared" si="0"/>
        <v/>
      </c>
      <c r="Y5" s="9"/>
    </row>
    <row r="6" spans="2:30 16363:16365" x14ac:dyDescent="0.25">
      <c r="B6" s="1128"/>
      <c r="C6" s="1129"/>
      <c r="D6" s="1129"/>
      <c r="E6" s="1132"/>
      <c r="F6" s="1123"/>
      <c r="G6" s="68"/>
      <c r="H6" s="69"/>
      <c r="I6" s="60"/>
      <c r="J6" s="1135"/>
      <c r="K6" s="1138"/>
      <c r="L6" s="1140"/>
      <c r="M6" s="1141"/>
      <c r="N6" s="1142"/>
      <c r="O6" s="1145"/>
      <c r="P6" s="39"/>
      <c r="Q6" s="39"/>
      <c r="R6" s="213"/>
      <c r="S6" s="1148"/>
      <c r="T6" s="35"/>
      <c r="U6" s="4"/>
      <c r="V6" s="8"/>
      <c r="W6" s="41"/>
      <c r="X6" s="461" t="str">
        <f t="shared" si="0"/>
        <v/>
      </c>
      <c r="Y6" s="9"/>
    </row>
    <row r="7" spans="2:30 16363:16365" ht="15.75" customHeight="1" x14ac:dyDescent="0.25">
      <c r="B7" s="1126"/>
      <c r="C7" s="1127"/>
      <c r="D7" s="1127"/>
      <c r="E7" s="1149"/>
      <c r="F7" s="1121"/>
      <c r="G7" s="70"/>
      <c r="H7" s="71"/>
      <c r="I7" s="58"/>
      <c r="J7" s="1150"/>
      <c r="K7" s="1153"/>
      <c r="L7" s="1140"/>
      <c r="M7" s="1141"/>
      <c r="N7" s="1154"/>
      <c r="O7" s="1143">
        <f t="shared" ref="O7" si="1">M7-N7</f>
        <v>0</v>
      </c>
      <c r="P7" s="433"/>
      <c r="Q7" s="32"/>
      <c r="R7" s="216"/>
      <c r="S7" s="1146">
        <f t="shared" ref="S7" si="2">IFERROR((R7+R9+R8)/N7,0)</f>
        <v>0</v>
      </c>
      <c r="T7" s="33"/>
      <c r="U7" s="4">
        <v>0.7</v>
      </c>
      <c r="V7" s="8" t="e">
        <f>U7/$O$64*O7</f>
        <v>#DIV/0!</v>
      </c>
      <c r="W7" s="40">
        <f>IFERROR((R7+R9+R8)/O7,0)</f>
        <v>0</v>
      </c>
      <c r="X7" s="459" t="str">
        <f t="shared" si="0"/>
        <v/>
      </c>
      <c r="Y7" s="11"/>
      <c r="AB7" s="10">
        <f>IFERROR(AC7*AD7,0)</f>
        <v>0</v>
      </c>
      <c r="AC7" s="10" t="e">
        <f>O7/$O$64</f>
        <v>#DIV/0!</v>
      </c>
      <c r="AD7" s="10" t="str">
        <f>IF(O7&gt;0,IF(P7="1st",1,IF(P7="2nd",2,IF(P7="AN1",2,""))),"")</f>
        <v/>
      </c>
    </row>
    <row r="8" spans="2:30 16363:16365" x14ac:dyDescent="0.25">
      <c r="B8" s="1128"/>
      <c r="C8" s="1129"/>
      <c r="D8" s="1129"/>
      <c r="E8" s="1131"/>
      <c r="F8" s="1122"/>
      <c r="G8" s="66"/>
      <c r="H8" s="67"/>
      <c r="I8" s="59"/>
      <c r="J8" s="1151"/>
      <c r="K8" s="1137"/>
      <c r="L8" s="1140"/>
      <c r="M8" s="1141"/>
      <c r="N8" s="1142"/>
      <c r="O8" s="1144"/>
      <c r="P8" s="434"/>
      <c r="Q8" s="32"/>
      <c r="R8" s="216"/>
      <c r="S8" s="1147"/>
      <c r="T8" s="33"/>
      <c r="U8" s="4"/>
      <c r="V8" s="8"/>
      <c r="W8" s="42"/>
      <c r="X8" s="460" t="str">
        <f t="shared" si="0"/>
        <v/>
      </c>
      <c r="Y8" s="11"/>
    </row>
    <row r="9" spans="2:30 16363:16365" x14ac:dyDescent="0.25">
      <c r="B9" s="1128"/>
      <c r="C9" s="1129"/>
      <c r="D9" s="1129"/>
      <c r="E9" s="1132"/>
      <c r="F9" s="1123"/>
      <c r="G9" s="68"/>
      <c r="H9" s="69"/>
      <c r="I9" s="60"/>
      <c r="J9" s="1152"/>
      <c r="K9" s="1138"/>
      <c r="L9" s="1140"/>
      <c r="M9" s="1141"/>
      <c r="N9" s="1142"/>
      <c r="O9" s="1145"/>
      <c r="P9" s="39"/>
      <c r="Q9" s="32"/>
      <c r="R9" s="216"/>
      <c r="S9" s="1148"/>
      <c r="T9" s="33"/>
      <c r="U9" s="4"/>
      <c r="V9" s="8"/>
      <c r="W9" s="42"/>
      <c r="X9" s="461" t="str">
        <f t="shared" si="0"/>
        <v/>
      </c>
      <c r="Y9" s="11"/>
    </row>
    <row r="10" spans="2:30 16363:16365" ht="15.75" customHeight="1" x14ac:dyDescent="0.25">
      <c r="B10" s="1126"/>
      <c r="C10" s="1127"/>
      <c r="D10" s="1127"/>
      <c r="E10" s="1149"/>
      <c r="F10" s="1121"/>
      <c r="G10" s="70"/>
      <c r="H10" s="71"/>
      <c r="I10" s="58"/>
      <c r="J10" s="1150"/>
      <c r="K10" s="1153"/>
      <c r="L10" s="1140"/>
      <c r="M10" s="1141"/>
      <c r="N10" s="1154"/>
      <c r="O10" s="1143">
        <f t="shared" ref="O10" si="3">M10-N10</f>
        <v>0</v>
      </c>
      <c r="P10" s="433"/>
      <c r="Q10" s="32"/>
      <c r="R10" s="216"/>
      <c r="S10" s="1146">
        <f t="shared" ref="S10" si="4">IFERROR((R10+R12+R11)/N10,0)</f>
        <v>0</v>
      </c>
      <c r="T10" s="33"/>
      <c r="U10" s="4">
        <v>0.7</v>
      </c>
      <c r="V10" s="8" t="e">
        <f>U10/$O$64*O10</f>
        <v>#DIV/0!</v>
      </c>
      <c r="W10" s="40">
        <f>IFERROR((R10+R12+R11)/O10,0)</f>
        <v>0</v>
      </c>
      <c r="X10" s="459" t="str">
        <f t="shared" si="0"/>
        <v/>
      </c>
      <c r="AB10" s="10">
        <f>IFERROR(AC10*AD10,0)</f>
        <v>0</v>
      </c>
      <c r="AC10" s="10" t="e">
        <f>O10/$O$64</f>
        <v>#DIV/0!</v>
      </c>
      <c r="AD10" s="10" t="str">
        <f>IF(O10&gt;0,IF(P10="1st",1,IF(P10="2nd",2,IF(P10="AN1",2,""))),"")</f>
        <v/>
      </c>
    </row>
    <row r="11" spans="2:30 16363:16365" x14ac:dyDescent="0.25">
      <c r="B11" s="1128"/>
      <c r="C11" s="1129"/>
      <c r="D11" s="1129"/>
      <c r="E11" s="1131"/>
      <c r="F11" s="1122"/>
      <c r="G11" s="66"/>
      <c r="H11" s="67"/>
      <c r="I11" s="59"/>
      <c r="J11" s="1151"/>
      <c r="K11" s="1137"/>
      <c r="L11" s="1140"/>
      <c r="M11" s="1141"/>
      <c r="N11" s="1142"/>
      <c r="O11" s="1144"/>
      <c r="P11" s="434"/>
      <c r="Q11" s="32"/>
      <c r="R11" s="216"/>
      <c r="S11" s="1147"/>
      <c r="T11" s="33"/>
      <c r="U11" s="4"/>
      <c r="V11" s="8"/>
      <c r="W11" s="42"/>
      <c r="X11" s="460" t="str">
        <f t="shared" si="0"/>
        <v/>
      </c>
    </row>
    <row r="12" spans="2:30 16363:16365" x14ac:dyDescent="0.25">
      <c r="B12" s="1128"/>
      <c r="C12" s="1129"/>
      <c r="D12" s="1129"/>
      <c r="E12" s="1132"/>
      <c r="F12" s="1123"/>
      <c r="G12" s="68"/>
      <c r="H12" s="69"/>
      <c r="I12" s="60"/>
      <c r="J12" s="1152"/>
      <c r="K12" s="1138"/>
      <c r="L12" s="1140"/>
      <c r="M12" s="1141"/>
      <c r="N12" s="1142"/>
      <c r="O12" s="1145"/>
      <c r="P12" s="39"/>
      <c r="Q12" s="32"/>
      <c r="R12" s="216"/>
      <c r="S12" s="1148"/>
      <c r="T12" s="33"/>
      <c r="U12" s="4"/>
      <c r="V12" s="8"/>
      <c r="W12" s="42"/>
      <c r="X12" s="461" t="str">
        <f t="shared" si="0"/>
        <v/>
      </c>
    </row>
    <row r="13" spans="2:30 16363:16365" ht="15.75" customHeight="1" x14ac:dyDescent="0.25">
      <c r="B13" s="1126"/>
      <c r="C13" s="1127"/>
      <c r="D13" s="1127"/>
      <c r="E13" s="1149"/>
      <c r="F13" s="1121"/>
      <c r="G13" s="70"/>
      <c r="H13" s="71"/>
      <c r="I13" s="58"/>
      <c r="J13" s="1150"/>
      <c r="K13" s="1153"/>
      <c r="L13" s="1140"/>
      <c r="M13" s="1141"/>
      <c r="N13" s="1154"/>
      <c r="O13" s="1143">
        <f t="shared" ref="O13" si="5">M13-N13</f>
        <v>0</v>
      </c>
      <c r="P13" s="433"/>
      <c r="Q13" s="32"/>
      <c r="R13" s="216"/>
      <c r="S13" s="1146">
        <f t="shared" ref="S13" si="6">IFERROR((R13+R15+R14)/N13,0)</f>
        <v>0</v>
      </c>
      <c r="T13" s="33"/>
      <c r="U13" s="4">
        <v>0.7</v>
      </c>
      <c r="V13" s="8" t="e">
        <f>U13/$O$64*O13</f>
        <v>#DIV/0!</v>
      </c>
      <c r="W13" s="40">
        <f>IFERROR((R13+R15+R14)/O13,0)</f>
        <v>0</v>
      </c>
      <c r="X13" s="459" t="str">
        <f t="shared" si="0"/>
        <v/>
      </c>
      <c r="AB13" s="10">
        <f t="shared" ref="AB13" si="7">IFERROR(AC13*AD13,0)</f>
        <v>0</v>
      </c>
      <c r="AC13" s="10" t="e">
        <f>O13/$O$64</f>
        <v>#DIV/0!</v>
      </c>
      <c r="AD13" s="10" t="str">
        <f>IF(O13&gt;0,IF(P13="1st",1,IF(P13="2nd",2,IF(P13="AN1",2,""))),"")</f>
        <v/>
      </c>
    </row>
    <row r="14" spans="2:30 16363:16365" x14ac:dyDescent="0.25">
      <c r="B14" s="1128"/>
      <c r="C14" s="1129"/>
      <c r="D14" s="1129"/>
      <c r="E14" s="1131"/>
      <c r="F14" s="1122"/>
      <c r="G14" s="66"/>
      <c r="H14" s="67"/>
      <c r="I14" s="59"/>
      <c r="J14" s="1151"/>
      <c r="K14" s="1137"/>
      <c r="L14" s="1140"/>
      <c r="M14" s="1141"/>
      <c r="N14" s="1142"/>
      <c r="O14" s="1144"/>
      <c r="P14" s="434"/>
      <c r="Q14" s="38"/>
      <c r="R14" s="214"/>
      <c r="S14" s="1147"/>
      <c r="T14" s="34"/>
      <c r="U14" s="4"/>
      <c r="V14" s="8"/>
      <c r="W14" s="43"/>
      <c r="X14" s="460" t="str">
        <f t="shared" si="0"/>
        <v/>
      </c>
    </row>
    <row r="15" spans="2:30 16363:16365" x14ac:dyDescent="0.25">
      <c r="B15" s="1128"/>
      <c r="C15" s="1129"/>
      <c r="D15" s="1129"/>
      <c r="E15" s="1132"/>
      <c r="F15" s="1123"/>
      <c r="G15" s="68"/>
      <c r="H15" s="69"/>
      <c r="I15" s="60"/>
      <c r="J15" s="1152"/>
      <c r="K15" s="1138"/>
      <c r="L15" s="1140"/>
      <c r="M15" s="1141"/>
      <c r="N15" s="1142"/>
      <c r="O15" s="1145"/>
      <c r="P15" s="39"/>
      <c r="Q15" s="38"/>
      <c r="R15" s="214"/>
      <c r="S15" s="1148"/>
      <c r="T15" s="34"/>
      <c r="U15" s="4"/>
      <c r="V15" s="8"/>
      <c r="W15" s="43"/>
      <c r="X15" s="461" t="str">
        <f t="shared" si="0"/>
        <v/>
      </c>
    </row>
    <row r="16" spans="2:30 16363:16365" ht="15.75" customHeight="1" x14ac:dyDescent="0.25">
      <c r="B16" s="1126"/>
      <c r="C16" s="1127"/>
      <c r="D16" s="1127"/>
      <c r="E16" s="1149"/>
      <c r="F16" s="1121"/>
      <c r="G16" s="70"/>
      <c r="H16" s="71"/>
      <c r="I16" s="58"/>
      <c r="J16" s="1150"/>
      <c r="K16" s="1153"/>
      <c r="L16" s="1140"/>
      <c r="M16" s="1141"/>
      <c r="N16" s="1154"/>
      <c r="O16" s="1143">
        <f t="shared" ref="O16" si="8">M16-N16</f>
        <v>0</v>
      </c>
      <c r="P16" s="433"/>
      <c r="Q16" s="32"/>
      <c r="R16" s="216"/>
      <c r="S16" s="1146">
        <f t="shared" ref="S16" si="9">IFERROR((R16+R18+R17)/N16,0)</f>
        <v>0</v>
      </c>
      <c r="T16" s="33"/>
      <c r="U16" s="4">
        <v>0.7</v>
      </c>
      <c r="V16" s="8" t="e">
        <f>U16/$O$64*O16</f>
        <v>#DIV/0!</v>
      </c>
      <c r="W16" s="40">
        <f>IFERROR((R16+R18+R17)/O16,0)</f>
        <v>0</v>
      </c>
      <c r="X16" s="459" t="str">
        <f t="shared" si="0"/>
        <v/>
      </c>
      <c r="AB16" s="10">
        <f>IFERROR(AC16*AD16,0)</f>
        <v>0</v>
      </c>
      <c r="AC16" s="10" t="e">
        <f>O16/$O$64</f>
        <v>#DIV/0!</v>
      </c>
      <c r="AD16" s="10" t="str">
        <f>IF(O16&gt;0,IF(P16="1st",1,IF(P16="2nd",2,IF(P16="AN1",2,""))),"")</f>
        <v/>
      </c>
    </row>
    <row r="17" spans="2:30" x14ac:dyDescent="0.25">
      <c r="B17" s="1128"/>
      <c r="C17" s="1129"/>
      <c r="D17" s="1129"/>
      <c r="E17" s="1131"/>
      <c r="F17" s="1122"/>
      <c r="G17" s="66"/>
      <c r="H17" s="67"/>
      <c r="I17" s="59"/>
      <c r="J17" s="1151"/>
      <c r="K17" s="1137"/>
      <c r="L17" s="1140"/>
      <c r="M17" s="1141"/>
      <c r="N17" s="1142"/>
      <c r="O17" s="1144"/>
      <c r="P17" s="434"/>
      <c r="Q17" s="32"/>
      <c r="R17" s="216"/>
      <c r="S17" s="1147"/>
      <c r="T17" s="33"/>
      <c r="U17" s="4"/>
      <c r="V17" s="8"/>
      <c r="W17" s="42"/>
      <c r="X17" s="460" t="str">
        <f t="shared" si="0"/>
        <v/>
      </c>
    </row>
    <row r="18" spans="2:30" x14ac:dyDescent="0.25">
      <c r="B18" s="1128"/>
      <c r="C18" s="1129"/>
      <c r="D18" s="1129"/>
      <c r="E18" s="1132"/>
      <c r="F18" s="1123"/>
      <c r="G18" s="68"/>
      <c r="H18" s="69"/>
      <c r="I18" s="60"/>
      <c r="J18" s="1152"/>
      <c r="K18" s="1138"/>
      <c r="L18" s="1140"/>
      <c r="M18" s="1141"/>
      <c r="N18" s="1142"/>
      <c r="O18" s="1145"/>
      <c r="P18" s="39"/>
      <c r="Q18" s="32"/>
      <c r="R18" s="216"/>
      <c r="S18" s="1148"/>
      <c r="T18" s="33"/>
      <c r="U18" s="4"/>
      <c r="V18" s="8"/>
      <c r="W18" s="42"/>
      <c r="X18" s="461" t="str">
        <f t="shared" si="0"/>
        <v/>
      </c>
    </row>
    <row r="19" spans="2:30" ht="15.75" customHeight="1" x14ac:dyDescent="0.25">
      <c r="B19" s="1126"/>
      <c r="C19" s="1127"/>
      <c r="D19" s="1127"/>
      <c r="E19" s="1149"/>
      <c r="F19" s="1121"/>
      <c r="G19" s="70"/>
      <c r="H19" s="71"/>
      <c r="I19" s="58"/>
      <c r="J19" s="1150"/>
      <c r="K19" s="1153"/>
      <c r="L19" s="1140"/>
      <c r="M19" s="1141"/>
      <c r="N19" s="1154"/>
      <c r="O19" s="1143">
        <f t="shared" ref="O19" si="10">M19-N19</f>
        <v>0</v>
      </c>
      <c r="P19" s="433"/>
      <c r="Q19" s="32"/>
      <c r="R19" s="216"/>
      <c r="S19" s="1146">
        <f t="shared" ref="S19:S61" si="11">IFERROR((R19+R21+R20)/N19,0)</f>
        <v>0</v>
      </c>
      <c r="T19" s="33"/>
      <c r="U19" s="4">
        <v>0.7</v>
      </c>
      <c r="V19" s="8" t="e">
        <f>U19/$O$64*O19</f>
        <v>#DIV/0!</v>
      </c>
      <c r="W19" s="40">
        <f>IFERROR((R19+R21+R20)/O19,0)</f>
        <v>0</v>
      </c>
      <c r="X19" s="459" t="str">
        <f t="shared" si="0"/>
        <v/>
      </c>
      <c r="AB19" s="10">
        <f t="shared" ref="AB19" si="12">IFERROR(AC19*AD19,0)</f>
        <v>0</v>
      </c>
      <c r="AC19" s="10" t="e">
        <f>O19/$O$64</f>
        <v>#DIV/0!</v>
      </c>
      <c r="AD19" s="10" t="str">
        <f>IF(O19&gt;0,IF(P19="1st",1,IF(P19="2nd",2,IF(P19="AN1",2,""))),"")</f>
        <v/>
      </c>
    </row>
    <row r="20" spans="2:30" x14ac:dyDescent="0.25">
      <c r="B20" s="1128"/>
      <c r="C20" s="1129"/>
      <c r="D20" s="1129"/>
      <c r="E20" s="1131"/>
      <c r="F20" s="1122"/>
      <c r="G20" s="66"/>
      <c r="H20" s="67"/>
      <c r="I20" s="59"/>
      <c r="J20" s="1151"/>
      <c r="K20" s="1137"/>
      <c r="L20" s="1140"/>
      <c r="M20" s="1141"/>
      <c r="N20" s="1142"/>
      <c r="O20" s="1144"/>
      <c r="P20" s="434"/>
      <c r="Q20" s="38"/>
      <c r="R20" s="214"/>
      <c r="S20" s="1147"/>
      <c r="T20" s="34"/>
      <c r="U20" s="4"/>
      <c r="V20" s="8"/>
      <c r="W20" s="43"/>
      <c r="X20" s="460" t="str">
        <f t="shared" si="0"/>
        <v/>
      </c>
    </row>
    <row r="21" spans="2:30" x14ac:dyDescent="0.25">
      <c r="B21" s="1128"/>
      <c r="C21" s="1129"/>
      <c r="D21" s="1129"/>
      <c r="E21" s="1132"/>
      <c r="F21" s="1123"/>
      <c r="G21" s="68"/>
      <c r="H21" s="69"/>
      <c r="I21" s="60"/>
      <c r="J21" s="1152"/>
      <c r="K21" s="1138"/>
      <c r="L21" s="1140"/>
      <c r="M21" s="1141"/>
      <c r="N21" s="1142"/>
      <c r="O21" s="1145"/>
      <c r="P21" s="39"/>
      <c r="Q21" s="38"/>
      <c r="R21" s="214"/>
      <c r="S21" s="1148"/>
      <c r="T21" s="34"/>
      <c r="U21" s="4"/>
      <c r="V21" s="8"/>
      <c r="W21" s="43"/>
      <c r="X21" s="461" t="str">
        <f t="shared" si="0"/>
        <v/>
      </c>
    </row>
    <row r="22" spans="2:30" ht="15.75" customHeight="1" x14ac:dyDescent="0.25">
      <c r="B22" s="1126"/>
      <c r="C22" s="1127"/>
      <c r="D22" s="1127"/>
      <c r="E22" s="1149"/>
      <c r="F22" s="1121"/>
      <c r="G22" s="70"/>
      <c r="H22" s="71"/>
      <c r="I22" s="58"/>
      <c r="J22" s="1150"/>
      <c r="K22" s="1153"/>
      <c r="L22" s="1140"/>
      <c r="M22" s="1141"/>
      <c r="N22" s="1154"/>
      <c r="O22" s="1143">
        <f t="shared" ref="O22" si="13">M22-N22</f>
        <v>0</v>
      </c>
      <c r="P22" s="433"/>
      <c r="Q22" s="32"/>
      <c r="R22" s="216"/>
      <c r="S22" s="1146">
        <f t="shared" si="11"/>
        <v>0</v>
      </c>
      <c r="T22" s="33"/>
      <c r="U22" s="4">
        <v>0.7</v>
      </c>
      <c r="V22" s="8" t="e">
        <f>U22/$O$64*O22</f>
        <v>#DIV/0!</v>
      </c>
      <c r="W22" s="40">
        <f>IFERROR((R22+R24+R23)/O22,0)</f>
        <v>0</v>
      </c>
      <c r="X22" s="459" t="str">
        <f t="shared" si="0"/>
        <v/>
      </c>
      <c r="AB22" s="10">
        <f>IFERROR(AC22*AD22,0)</f>
        <v>0</v>
      </c>
      <c r="AC22" s="10" t="e">
        <f>O22/$O$64</f>
        <v>#DIV/0!</v>
      </c>
      <c r="AD22" s="10" t="str">
        <f>IF(O22&gt;0,IF(P22="1st",1,IF(P22="2nd",2,IF(P22="AN1",2,""))),"")</f>
        <v/>
      </c>
    </row>
    <row r="23" spans="2:30" x14ac:dyDescent="0.25">
      <c r="B23" s="1128"/>
      <c r="C23" s="1129"/>
      <c r="D23" s="1129"/>
      <c r="E23" s="1131"/>
      <c r="F23" s="1122"/>
      <c r="G23" s="66"/>
      <c r="H23" s="67"/>
      <c r="I23" s="59"/>
      <c r="J23" s="1151"/>
      <c r="K23" s="1137"/>
      <c r="L23" s="1140"/>
      <c r="M23" s="1141"/>
      <c r="N23" s="1142"/>
      <c r="O23" s="1144"/>
      <c r="P23" s="434"/>
      <c r="Q23" s="32"/>
      <c r="R23" s="216"/>
      <c r="S23" s="1147"/>
      <c r="T23" s="33"/>
      <c r="U23" s="4"/>
      <c r="V23" s="8"/>
      <c r="W23" s="42"/>
      <c r="X23" s="460" t="str">
        <f t="shared" si="0"/>
        <v/>
      </c>
    </row>
    <row r="24" spans="2:30" x14ac:dyDescent="0.25">
      <c r="B24" s="1128"/>
      <c r="C24" s="1129"/>
      <c r="D24" s="1129"/>
      <c r="E24" s="1132"/>
      <c r="F24" s="1123"/>
      <c r="G24" s="68"/>
      <c r="H24" s="69"/>
      <c r="I24" s="60"/>
      <c r="J24" s="1152"/>
      <c r="K24" s="1138"/>
      <c r="L24" s="1140"/>
      <c r="M24" s="1141"/>
      <c r="N24" s="1142"/>
      <c r="O24" s="1145"/>
      <c r="P24" s="39"/>
      <c r="Q24" s="32"/>
      <c r="R24" s="216"/>
      <c r="S24" s="1148"/>
      <c r="T24" s="33"/>
      <c r="U24" s="4"/>
      <c r="V24" s="8"/>
      <c r="W24" s="42"/>
      <c r="X24" s="461" t="str">
        <f t="shared" si="0"/>
        <v/>
      </c>
    </row>
    <row r="25" spans="2:30" ht="15.75" customHeight="1" x14ac:dyDescent="0.25">
      <c r="B25" s="1126"/>
      <c r="C25" s="1127"/>
      <c r="D25" s="1127"/>
      <c r="E25" s="1160"/>
      <c r="F25" s="1121"/>
      <c r="G25" s="70"/>
      <c r="H25" s="71"/>
      <c r="I25" s="58"/>
      <c r="J25" s="1161"/>
      <c r="K25" s="1162"/>
      <c r="L25" s="1140"/>
      <c r="M25" s="1141"/>
      <c r="N25" s="1154"/>
      <c r="O25" s="1143">
        <f t="shared" ref="O25" si="14">M25-N25</f>
        <v>0</v>
      </c>
      <c r="P25" s="433"/>
      <c r="Q25" s="32"/>
      <c r="R25" s="216"/>
      <c r="S25" s="1146">
        <f t="shared" si="11"/>
        <v>0</v>
      </c>
      <c r="T25" s="33"/>
      <c r="U25" s="396">
        <v>0.7</v>
      </c>
      <c r="V25" s="397" t="e">
        <f>U25/$O$64*O25</f>
        <v>#DIV/0!</v>
      </c>
      <c r="W25" s="40">
        <f>IFERROR((R25+R27+R26)/O25,0)</f>
        <v>0</v>
      </c>
      <c r="X25" s="459" t="str">
        <f t="shared" si="0"/>
        <v/>
      </c>
      <c r="AB25" s="10">
        <f t="shared" ref="AB25" si="15">IFERROR(AC25*AD25,0)</f>
        <v>0</v>
      </c>
      <c r="AC25" s="10" t="e">
        <f>O25/$O$64</f>
        <v>#DIV/0!</v>
      </c>
      <c r="AD25" s="10" t="str">
        <f>IF(O25&gt;0,IF(P25="1st",1,IF(P25="2nd",2,IF(P25="AN1",2,""))),"")</f>
        <v/>
      </c>
    </row>
    <row r="26" spans="2:30" x14ac:dyDescent="0.25">
      <c r="B26" s="1128"/>
      <c r="C26" s="1129"/>
      <c r="D26" s="1129"/>
      <c r="E26" s="1160"/>
      <c r="F26" s="1122"/>
      <c r="G26" s="66"/>
      <c r="H26" s="67"/>
      <c r="I26" s="59"/>
      <c r="J26" s="1161"/>
      <c r="K26" s="1162"/>
      <c r="L26" s="1140"/>
      <c r="M26" s="1141"/>
      <c r="N26" s="1142"/>
      <c r="O26" s="1144"/>
      <c r="P26" s="434"/>
      <c r="Q26" s="32"/>
      <c r="R26" s="216"/>
      <c r="S26" s="1147"/>
      <c r="T26" s="33"/>
      <c r="U26" s="398"/>
      <c r="V26" s="399"/>
      <c r="W26" s="42"/>
      <c r="X26" s="460" t="str">
        <f t="shared" si="0"/>
        <v/>
      </c>
    </row>
    <row r="27" spans="2:30" x14ac:dyDescent="0.25">
      <c r="B27" s="1128"/>
      <c r="C27" s="1129"/>
      <c r="D27" s="1129"/>
      <c r="E27" s="1160"/>
      <c r="F27" s="1123"/>
      <c r="G27" s="68"/>
      <c r="H27" s="69"/>
      <c r="I27" s="60"/>
      <c r="J27" s="1161"/>
      <c r="K27" s="1162"/>
      <c r="L27" s="1140"/>
      <c r="M27" s="1141"/>
      <c r="N27" s="1142"/>
      <c r="O27" s="1145"/>
      <c r="P27" s="39"/>
      <c r="Q27" s="32"/>
      <c r="R27" s="216"/>
      <c r="S27" s="1148"/>
      <c r="T27" s="33"/>
      <c r="U27" s="398"/>
      <c r="V27" s="399"/>
      <c r="W27" s="42"/>
      <c r="X27" s="461" t="str">
        <f t="shared" si="0"/>
        <v/>
      </c>
    </row>
    <row r="28" spans="2:30" ht="15.75" customHeight="1" x14ac:dyDescent="0.25">
      <c r="B28" s="1126"/>
      <c r="C28" s="1127"/>
      <c r="D28" s="1127"/>
      <c r="E28" s="1168"/>
      <c r="F28" s="1121"/>
      <c r="G28" s="70"/>
      <c r="H28" s="71"/>
      <c r="I28" s="58"/>
      <c r="J28" s="1169"/>
      <c r="K28" s="1162"/>
      <c r="L28" s="1140"/>
      <c r="M28" s="1141"/>
      <c r="N28" s="1154"/>
      <c r="O28" s="1143">
        <f t="shared" ref="O28" si="16">M28-N28</f>
        <v>0</v>
      </c>
      <c r="P28" s="433"/>
      <c r="Q28" s="32"/>
      <c r="R28" s="216"/>
      <c r="S28" s="1146">
        <f t="shared" si="11"/>
        <v>0</v>
      </c>
      <c r="T28" s="33"/>
      <c r="U28" s="398">
        <v>0.7</v>
      </c>
      <c r="V28" s="399" t="e">
        <f>U28/$O$64*O28</f>
        <v>#DIV/0!</v>
      </c>
      <c r="W28" s="42">
        <f>IFERROR((R28+R30+R29)/O28,0)</f>
        <v>0</v>
      </c>
      <c r="X28" s="459" t="str">
        <f t="shared" si="0"/>
        <v/>
      </c>
      <c r="AB28" s="10">
        <f>IFERROR(AC28*AD28,0)</f>
        <v>0</v>
      </c>
      <c r="AC28" s="10" t="e">
        <f>O28/$O$64</f>
        <v>#DIV/0!</v>
      </c>
      <c r="AD28" s="10" t="str">
        <f>IF(O28&gt;0,IF(P28="1st",1,IF(P28="2nd",2,IF(P28="AN1",2,""))),"")</f>
        <v/>
      </c>
    </row>
    <row r="29" spans="2:30" x14ac:dyDescent="0.25">
      <c r="B29" s="1128"/>
      <c r="C29" s="1129"/>
      <c r="D29" s="1129"/>
      <c r="E29" s="1168"/>
      <c r="F29" s="1122"/>
      <c r="G29" s="66"/>
      <c r="H29" s="67"/>
      <c r="I29" s="59"/>
      <c r="J29" s="1169"/>
      <c r="K29" s="1162"/>
      <c r="L29" s="1140"/>
      <c r="M29" s="1141"/>
      <c r="N29" s="1142"/>
      <c r="O29" s="1144"/>
      <c r="P29" s="434"/>
      <c r="Q29" s="32"/>
      <c r="R29" s="216"/>
      <c r="S29" s="1147"/>
      <c r="T29" s="33"/>
      <c r="U29" s="398"/>
      <c r="V29" s="399"/>
      <c r="W29" s="42"/>
      <c r="X29" s="460" t="str">
        <f t="shared" si="0"/>
        <v/>
      </c>
    </row>
    <row r="30" spans="2:30" x14ac:dyDescent="0.25">
      <c r="B30" s="1128"/>
      <c r="C30" s="1129"/>
      <c r="D30" s="1129"/>
      <c r="E30" s="1168"/>
      <c r="F30" s="1123"/>
      <c r="G30" s="68"/>
      <c r="H30" s="69"/>
      <c r="I30" s="60"/>
      <c r="J30" s="1169"/>
      <c r="K30" s="1162"/>
      <c r="L30" s="1140"/>
      <c r="M30" s="1141"/>
      <c r="N30" s="1142"/>
      <c r="O30" s="1145"/>
      <c r="P30" s="39"/>
      <c r="Q30" s="32"/>
      <c r="R30" s="216"/>
      <c r="S30" s="1148"/>
      <c r="T30" s="33"/>
      <c r="U30" s="400"/>
      <c r="V30" s="401"/>
      <c r="W30" s="42"/>
      <c r="X30" s="461" t="str">
        <f t="shared" si="0"/>
        <v/>
      </c>
    </row>
    <row r="31" spans="2:30" ht="15.75" customHeight="1" x14ac:dyDescent="0.25">
      <c r="B31" s="1126"/>
      <c r="C31" s="1127"/>
      <c r="D31" s="1127"/>
      <c r="E31" s="1149"/>
      <c r="F31" s="1121"/>
      <c r="G31" s="70"/>
      <c r="H31" s="71"/>
      <c r="I31" s="58"/>
      <c r="J31" s="1150"/>
      <c r="K31" s="1153"/>
      <c r="L31" s="1140"/>
      <c r="M31" s="1141"/>
      <c r="N31" s="1154"/>
      <c r="O31" s="1143">
        <f t="shared" ref="O31:O34" si="17">M31-N31</f>
        <v>0</v>
      </c>
      <c r="P31" s="433"/>
      <c r="Q31" s="32"/>
      <c r="R31" s="216"/>
      <c r="S31" s="1146">
        <f t="shared" si="11"/>
        <v>0</v>
      </c>
      <c r="T31" s="33"/>
      <c r="U31" s="4">
        <v>0.7</v>
      </c>
      <c r="V31" s="8" t="e">
        <f>U31/$O$64*O31</f>
        <v>#DIV/0!</v>
      </c>
      <c r="W31" s="40">
        <f>IFERROR((R31+R33+R32)/O31,0)</f>
        <v>0</v>
      </c>
      <c r="X31" s="459" t="str">
        <f t="shared" si="0"/>
        <v/>
      </c>
      <c r="AB31" s="10">
        <f t="shared" ref="AB31" si="18">IFERROR(AC31*AD31,0)</f>
        <v>0</v>
      </c>
      <c r="AC31" s="10" t="e">
        <f>O31/$O$64</f>
        <v>#DIV/0!</v>
      </c>
      <c r="AD31" s="10" t="str">
        <f>IF(O31&gt;0,IF(P31="1st",1,IF(P31="2nd",2,IF(P31="AN1",2,""))),"")</f>
        <v/>
      </c>
    </row>
    <row r="32" spans="2:30" x14ac:dyDescent="0.25">
      <c r="B32" s="1128"/>
      <c r="C32" s="1129"/>
      <c r="D32" s="1129"/>
      <c r="E32" s="1131"/>
      <c r="F32" s="1122"/>
      <c r="G32" s="66"/>
      <c r="H32" s="67"/>
      <c r="I32" s="59"/>
      <c r="J32" s="1151"/>
      <c r="K32" s="1137"/>
      <c r="L32" s="1140"/>
      <c r="M32" s="1141"/>
      <c r="N32" s="1142"/>
      <c r="O32" s="1144"/>
      <c r="P32" s="434"/>
      <c r="Q32" s="32"/>
      <c r="R32" s="216"/>
      <c r="S32" s="1147"/>
      <c r="T32" s="34"/>
      <c r="U32" s="4"/>
      <c r="V32" s="8"/>
      <c r="W32" s="43"/>
      <c r="X32" s="460" t="str">
        <f t="shared" si="0"/>
        <v/>
      </c>
    </row>
    <row r="33" spans="2:30" x14ac:dyDescent="0.25">
      <c r="B33" s="1128"/>
      <c r="C33" s="1129"/>
      <c r="D33" s="1129"/>
      <c r="E33" s="1132"/>
      <c r="F33" s="1123"/>
      <c r="G33" s="68"/>
      <c r="H33" s="69"/>
      <c r="I33" s="60"/>
      <c r="J33" s="1152"/>
      <c r="K33" s="1138"/>
      <c r="L33" s="1140"/>
      <c r="M33" s="1141"/>
      <c r="N33" s="1142"/>
      <c r="O33" s="1145"/>
      <c r="P33" s="39"/>
      <c r="Q33" s="32"/>
      <c r="R33" s="216"/>
      <c r="S33" s="1148"/>
      <c r="T33" s="34"/>
      <c r="U33" s="4"/>
      <c r="V33" s="8"/>
      <c r="W33" s="43"/>
      <c r="X33" s="461" t="str">
        <f t="shared" si="0"/>
        <v/>
      </c>
    </row>
    <row r="34" spans="2:30" ht="15.75" customHeight="1" x14ac:dyDescent="0.25">
      <c r="B34" s="1126"/>
      <c r="C34" s="1127"/>
      <c r="D34" s="1127"/>
      <c r="E34" s="1149"/>
      <c r="F34" s="1121"/>
      <c r="G34" s="70"/>
      <c r="H34" s="71"/>
      <c r="I34" s="58"/>
      <c r="J34" s="1150"/>
      <c r="K34" s="1153"/>
      <c r="L34" s="1140"/>
      <c r="M34" s="1141"/>
      <c r="N34" s="1154"/>
      <c r="O34" s="1143">
        <f t="shared" si="17"/>
        <v>0</v>
      </c>
      <c r="P34" s="433"/>
      <c r="Q34" s="32"/>
      <c r="R34" s="216"/>
      <c r="S34" s="1146">
        <f t="shared" si="11"/>
        <v>0</v>
      </c>
      <c r="T34" s="33"/>
      <c r="U34" s="4">
        <v>0.7</v>
      </c>
      <c r="V34" s="8" t="e">
        <f>U34/$O$64*O34</f>
        <v>#DIV/0!</v>
      </c>
      <c r="W34" s="40">
        <f>IFERROR((R34+R36+R35)/O34,0)</f>
        <v>0</v>
      </c>
      <c r="X34" s="459" t="str">
        <f t="shared" si="0"/>
        <v/>
      </c>
      <c r="AB34" s="10">
        <f>IFERROR(AC34*AD34,0)</f>
        <v>0</v>
      </c>
      <c r="AC34" s="10" t="e">
        <f>O34/$O$64</f>
        <v>#DIV/0!</v>
      </c>
      <c r="AD34" s="10" t="str">
        <f>IF(O34&gt;0,IF(P34="1st",1,IF(P34="2nd",2,IF(P34="AN1",2,""))),"")</f>
        <v/>
      </c>
    </row>
    <row r="35" spans="2:30" x14ac:dyDescent="0.25">
      <c r="B35" s="1128"/>
      <c r="C35" s="1129"/>
      <c r="D35" s="1129"/>
      <c r="E35" s="1131"/>
      <c r="F35" s="1122"/>
      <c r="G35" s="66"/>
      <c r="H35" s="67"/>
      <c r="I35" s="59"/>
      <c r="J35" s="1151"/>
      <c r="K35" s="1137"/>
      <c r="L35" s="1140"/>
      <c r="M35" s="1141"/>
      <c r="N35" s="1142"/>
      <c r="O35" s="1144"/>
      <c r="P35" s="434"/>
      <c r="Q35" s="32"/>
      <c r="R35" s="216"/>
      <c r="S35" s="1147"/>
      <c r="T35" s="33"/>
      <c r="U35" s="4"/>
      <c r="V35" s="8"/>
      <c r="W35" s="42"/>
      <c r="X35" s="460" t="str">
        <f t="shared" si="0"/>
        <v/>
      </c>
    </row>
    <row r="36" spans="2:30" x14ac:dyDescent="0.25">
      <c r="B36" s="1128"/>
      <c r="C36" s="1129"/>
      <c r="D36" s="1129"/>
      <c r="E36" s="1132"/>
      <c r="F36" s="1123"/>
      <c r="G36" s="68"/>
      <c r="H36" s="69"/>
      <c r="I36" s="60"/>
      <c r="J36" s="1152"/>
      <c r="K36" s="1138"/>
      <c r="L36" s="1140"/>
      <c r="M36" s="1141"/>
      <c r="N36" s="1142"/>
      <c r="O36" s="1145"/>
      <c r="P36" s="39"/>
      <c r="Q36" s="32"/>
      <c r="R36" s="216"/>
      <c r="S36" s="1148"/>
      <c r="T36" s="33"/>
      <c r="U36" s="4"/>
      <c r="V36" s="8"/>
      <c r="W36" s="42"/>
      <c r="X36" s="461" t="str">
        <f t="shared" ref="X36:X63" si="19">IF(P36="1st","Yes",IF(R36&gt;0,"No",""))</f>
        <v/>
      </c>
    </row>
    <row r="37" spans="2:30" ht="15.75" customHeight="1" x14ac:dyDescent="0.25">
      <c r="B37" s="1126"/>
      <c r="C37" s="1127"/>
      <c r="D37" s="1127"/>
      <c r="E37" s="1149"/>
      <c r="F37" s="1121"/>
      <c r="G37" s="70"/>
      <c r="H37" s="71"/>
      <c r="I37" s="58"/>
      <c r="J37" s="1150"/>
      <c r="K37" s="1153"/>
      <c r="L37" s="1140"/>
      <c r="M37" s="1141"/>
      <c r="N37" s="1154"/>
      <c r="O37" s="1143">
        <f t="shared" ref="O37" si="20">M37-N37</f>
        <v>0</v>
      </c>
      <c r="P37" s="433"/>
      <c r="Q37" s="32"/>
      <c r="R37" s="216"/>
      <c r="S37" s="1146">
        <f t="shared" si="11"/>
        <v>0</v>
      </c>
      <c r="T37" s="33"/>
      <c r="U37" s="4">
        <v>0.7</v>
      </c>
      <c r="V37" s="8" t="e">
        <f>U37/$O$64*O37</f>
        <v>#DIV/0!</v>
      </c>
      <c r="W37" s="40">
        <f>IFERROR((R37+R39+R38)/O37,0)</f>
        <v>0</v>
      </c>
      <c r="X37" s="459" t="str">
        <f t="shared" si="19"/>
        <v/>
      </c>
      <c r="AB37" s="10">
        <f t="shared" ref="AB37" si="21">IFERROR(AC37*AD37,0)</f>
        <v>0</v>
      </c>
      <c r="AC37" s="10" t="e">
        <f>O37/$O$64</f>
        <v>#DIV/0!</v>
      </c>
      <c r="AD37" s="10" t="str">
        <f>IF(O37&gt;0,IF(P37="1st",1,IF(P37="2nd",2,IF(P37="AN1",2,""))),"")</f>
        <v/>
      </c>
    </row>
    <row r="38" spans="2:30" x14ac:dyDescent="0.25">
      <c r="B38" s="1128"/>
      <c r="C38" s="1129"/>
      <c r="D38" s="1129"/>
      <c r="E38" s="1131"/>
      <c r="F38" s="1122"/>
      <c r="G38" s="66"/>
      <c r="H38" s="67"/>
      <c r="I38" s="59"/>
      <c r="J38" s="1151"/>
      <c r="K38" s="1137"/>
      <c r="L38" s="1140"/>
      <c r="M38" s="1141"/>
      <c r="N38" s="1142"/>
      <c r="O38" s="1144"/>
      <c r="P38" s="434"/>
      <c r="Q38" s="38"/>
      <c r="R38" s="214"/>
      <c r="S38" s="1147"/>
      <c r="T38" s="34"/>
      <c r="U38" s="4"/>
      <c r="V38" s="8"/>
      <c r="W38" s="43"/>
      <c r="X38" s="460" t="str">
        <f t="shared" si="19"/>
        <v/>
      </c>
    </row>
    <row r="39" spans="2:30" x14ac:dyDescent="0.25">
      <c r="B39" s="1128"/>
      <c r="C39" s="1129"/>
      <c r="D39" s="1129"/>
      <c r="E39" s="1132"/>
      <c r="F39" s="1123"/>
      <c r="G39" s="68"/>
      <c r="H39" s="69"/>
      <c r="I39" s="60"/>
      <c r="J39" s="1152"/>
      <c r="K39" s="1138"/>
      <c r="L39" s="1140"/>
      <c r="M39" s="1141"/>
      <c r="N39" s="1142"/>
      <c r="O39" s="1145"/>
      <c r="P39" s="39"/>
      <c r="Q39" s="38"/>
      <c r="R39" s="214"/>
      <c r="S39" s="1148"/>
      <c r="T39" s="34"/>
      <c r="U39" s="4"/>
      <c r="V39" s="8"/>
      <c r="W39" s="43"/>
      <c r="X39" s="461" t="str">
        <f t="shared" si="19"/>
        <v/>
      </c>
    </row>
    <row r="40" spans="2:30" ht="15.75" customHeight="1" x14ac:dyDescent="0.25">
      <c r="B40" s="1126"/>
      <c r="C40" s="1127"/>
      <c r="D40" s="1127"/>
      <c r="E40" s="1149"/>
      <c r="F40" s="1121"/>
      <c r="G40" s="70"/>
      <c r="H40" s="71"/>
      <c r="I40" s="58"/>
      <c r="J40" s="1150"/>
      <c r="K40" s="1153"/>
      <c r="L40" s="1140"/>
      <c r="M40" s="1141"/>
      <c r="N40" s="1154"/>
      <c r="O40" s="1143">
        <f t="shared" ref="O40" si="22">M40-N40</f>
        <v>0</v>
      </c>
      <c r="P40" s="433"/>
      <c r="Q40" s="32"/>
      <c r="R40" s="216"/>
      <c r="S40" s="1146">
        <f t="shared" si="11"/>
        <v>0</v>
      </c>
      <c r="T40" s="33"/>
      <c r="U40" s="4">
        <v>0.7</v>
      </c>
      <c r="V40" s="8" t="e">
        <f>U40/$O$64*O40</f>
        <v>#DIV/0!</v>
      </c>
      <c r="W40" s="40">
        <f>IFERROR((R40+R42+R41)/O40,0)</f>
        <v>0</v>
      </c>
      <c r="X40" s="459" t="str">
        <f t="shared" si="19"/>
        <v/>
      </c>
      <c r="AB40" s="10">
        <f t="shared" ref="AB40" si="23">IFERROR(AC40*AD40,0)</f>
        <v>0</v>
      </c>
      <c r="AC40" s="10" t="e">
        <f>O40/$O$64</f>
        <v>#DIV/0!</v>
      </c>
      <c r="AD40" s="10" t="str">
        <f>IF(O40&gt;0,IF(P40="1st",1,IF(P40="2nd",2,IF(P40="AN1",2,""))),"")</f>
        <v/>
      </c>
    </row>
    <row r="41" spans="2:30" x14ac:dyDescent="0.25">
      <c r="B41" s="1128"/>
      <c r="C41" s="1129"/>
      <c r="D41" s="1129"/>
      <c r="E41" s="1131"/>
      <c r="F41" s="1122"/>
      <c r="G41" s="66"/>
      <c r="H41" s="67"/>
      <c r="I41" s="59"/>
      <c r="J41" s="1151"/>
      <c r="K41" s="1137"/>
      <c r="L41" s="1140"/>
      <c r="M41" s="1141"/>
      <c r="N41" s="1142"/>
      <c r="O41" s="1144"/>
      <c r="P41" s="434"/>
      <c r="Q41" s="32"/>
      <c r="R41" s="216"/>
      <c r="S41" s="1147"/>
      <c r="T41" s="34"/>
      <c r="U41" s="4"/>
      <c r="V41" s="8"/>
      <c r="W41" s="43"/>
      <c r="X41" s="460" t="str">
        <f t="shared" si="19"/>
        <v/>
      </c>
    </row>
    <row r="42" spans="2:30" x14ac:dyDescent="0.25">
      <c r="B42" s="1128"/>
      <c r="C42" s="1129"/>
      <c r="D42" s="1129"/>
      <c r="E42" s="1132"/>
      <c r="F42" s="1123"/>
      <c r="G42" s="68"/>
      <c r="H42" s="69"/>
      <c r="I42" s="60"/>
      <c r="J42" s="1152"/>
      <c r="K42" s="1138"/>
      <c r="L42" s="1140"/>
      <c r="M42" s="1141"/>
      <c r="N42" s="1142"/>
      <c r="O42" s="1145"/>
      <c r="P42" s="39"/>
      <c r="Q42" s="32"/>
      <c r="R42" s="216"/>
      <c r="S42" s="1148"/>
      <c r="T42" s="34"/>
      <c r="U42" s="4"/>
      <c r="V42" s="8"/>
      <c r="W42" s="43"/>
      <c r="X42" s="461" t="str">
        <f t="shared" si="19"/>
        <v/>
      </c>
    </row>
    <row r="43" spans="2:30" ht="15.75" customHeight="1" x14ac:dyDescent="0.25">
      <c r="B43" s="1126"/>
      <c r="C43" s="1127"/>
      <c r="D43" s="1127"/>
      <c r="E43" s="1149"/>
      <c r="F43" s="1121"/>
      <c r="G43" s="70"/>
      <c r="H43" s="71"/>
      <c r="I43" s="58"/>
      <c r="J43" s="1150"/>
      <c r="K43" s="1153"/>
      <c r="L43" s="1140"/>
      <c r="M43" s="1141"/>
      <c r="N43" s="1154"/>
      <c r="O43" s="1143">
        <f t="shared" ref="O43" si="24">M43-N43</f>
        <v>0</v>
      </c>
      <c r="P43" s="433"/>
      <c r="Q43" s="32"/>
      <c r="R43" s="216"/>
      <c r="S43" s="1146">
        <f t="shared" si="11"/>
        <v>0</v>
      </c>
      <c r="T43" s="33"/>
      <c r="U43" s="4">
        <v>0.7</v>
      </c>
      <c r="V43" s="8" t="e">
        <f>U43/$O$64*O43</f>
        <v>#DIV/0!</v>
      </c>
      <c r="W43" s="40">
        <f>IFERROR((R43+R45+R44)/O43,0)</f>
        <v>0</v>
      </c>
      <c r="X43" s="459" t="str">
        <f t="shared" si="19"/>
        <v/>
      </c>
      <c r="AB43" s="10">
        <f>IFERROR(AC43*AD43,0)</f>
        <v>0</v>
      </c>
      <c r="AC43" s="10" t="e">
        <f>O43/$O$64</f>
        <v>#DIV/0!</v>
      </c>
      <c r="AD43" s="10" t="str">
        <f>IF(O43&gt;0,IF(P43="1st",1,IF(P43="2nd",2,IF(P43="AN1",2,""))),"")</f>
        <v/>
      </c>
    </row>
    <row r="44" spans="2:30" x14ac:dyDescent="0.25">
      <c r="B44" s="1128"/>
      <c r="C44" s="1129"/>
      <c r="D44" s="1129"/>
      <c r="E44" s="1131"/>
      <c r="F44" s="1122"/>
      <c r="G44" s="66"/>
      <c r="H44" s="67"/>
      <c r="I44" s="59"/>
      <c r="J44" s="1151"/>
      <c r="K44" s="1137"/>
      <c r="L44" s="1140"/>
      <c r="M44" s="1141"/>
      <c r="N44" s="1142"/>
      <c r="O44" s="1144"/>
      <c r="P44" s="434"/>
      <c r="Q44" s="38"/>
      <c r="R44" s="214"/>
      <c r="S44" s="1147"/>
      <c r="T44" s="33"/>
      <c r="U44" s="4"/>
      <c r="V44" s="8"/>
      <c r="W44" s="42"/>
      <c r="X44" s="460" t="str">
        <f t="shared" si="19"/>
        <v/>
      </c>
    </row>
    <row r="45" spans="2:30" x14ac:dyDescent="0.25">
      <c r="B45" s="1128"/>
      <c r="C45" s="1129"/>
      <c r="D45" s="1129"/>
      <c r="E45" s="1132"/>
      <c r="F45" s="1123"/>
      <c r="G45" s="68"/>
      <c r="H45" s="69"/>
      <c r="I45" s="60"/>
      <c r="J45" s="1152"/>
      <c r="K45" s="1138"/>
      <c r="L45" s="1140"/>
      <c r="M45" s="1141"/>
      <c r="N45" s="1142"/>
      <c r="O45" s="1145"/>
      <c r="P45" s="39"/>
      <c r="Q45" s="38"/>
      <c r="R45" s="214"/>
      <c r="S45" s="1148"/>
      <c r="T45" s="33"/>
      <c r="U45" s="4"/>
      <c r="V45" s="8"/>
      <c r="W45" s="42"/>
      <c r="X45" s="461" t="str">
        <f t="shared" si="19"/>
        <v/>
      </c>
    </row>
    <row r="46" spans="2:30" ht="15.75" customHeight="1" x14ac:dyDescent="0.25">
      <c r="B46" s="1126"/>
      <c r="C46" s="1127"/>
      <c r="D46" s="1127"/>
      <c r="E46" s="1149"/>
      <c r="F46" s="1121"/>
      <c r="G46" s="70"/>
      <c r="H46" s="71"/>
      <c r="I46" s="58"/>
      <c r="J46" s="1150"/>
      <c r="K46" s="1153"/>
      <c r="L46" s="1140"/>
      <c r="M46" s="1141"/>
      <c r="N46" s="1154"/>
      <c r="O46" s="1143">
        <f t="shared" ref="O46" si="25">M46-N46</f>
        <v>0</v>
      </c>
      <c r="P46" s="433"/>
      <c r="Q46" s="32"/>
      <c r="R46" s="216"/>
      <c r="S46" s="1146">
        <f t="shared" si="11"/>
        <v>0</v>
      </c>
      <c r="T46" s="33"/>
      <c r="U46" s="4">
        <v>0.7</v>
      </c>
      <c r="V46" s="8" t="e">
        <f>U46/$O$64*O46</f>
        <v>#DIV/0!</v>
      </c>
      <c r="W46" s="40">
        <f>IFERROR((R46+R48+R47)/O46,0)</f>
        <v>0</v>
      </c>
      <c r="X46" s="459" t="str">
        <f t="shared" si="19"/>
        <v/>
      </c>
      <c r="AB46" s="10">
        <f t="shared" ref="AB46" si="26">IFERROR(AC46*AD46,0)</f>
        <v>0</v>
      </c>
      <c r="AC46" s="10" t="e">
        <f>O46/$O$64</f>
        <v>#DIV/0!</v>
      </c>
      <c r="AD46" s="10" t="str">
        <f>IF(O46&gt;0,IF(P46="1st",1,IF(P46="2nd",2,IF(P46="AN1",2,""))),"")</f>
        <v/>
      </c>
    </row>
    <row r="47" spans="2:30" x14ac:dyDescent="0.25">
      <c r="B47" s="1128"/>
      <c r="C47" s="1129"/>
      <c r="D47" s="1129"/>
      <c r="E47" s="1131"/>
      <c r="F47" s="1122"/>
      <c r="G47" s="66"/>
      <c r="H47" s="67"/>
      <c r="I47" s="59"/>
      <c r="J47" s="1151"/>
      <c r="K47" s="1137"/>
      <c r="L47" s="1140"/>
      <c r="M47" s="1141"/>
      <c r="N47" s="1142"/>
      <c r="O47" s="1144"/>
      <c r="P47" s="434"/>
      <c r="Q47" s="32"/>
      <c r="R47" s="216"/>
      <c r="S47" s="1147"/>
      <c r="T47" s="34"/>
      <c r="U47" s="4"/>
      <c r="V47" s="8"/>
      <c r="W47" s="43"/>
      <c r="X47" s="460" t="str">
        <f t="shared" si="19"/>
        <v/>
      </c>
    </row>
    <row r="48" spans="2:30" x14ac:dyDescent="0.25">
      <c r="B48" s="1128"/>
      <c r="C48" s="1129"/>
      <c r="D48" s="1129"/>
      <c r="E48" s="1132"/>
      <c r="F48" s="1123"/>
      <c r="G48" s="68"/>
      <c r="H48" s="69"/>
      <c r="I48" s="60"/>
      <c r="J48" s="1152"/>
      <c r="K48" s="1138"/>
      <c r="L48" s="1140"/>
      <c r="M48" s="1141"/>
      <c r="N48" s="1142"/>
      <c r="O48" s="1145"/>
      <c r="P48" s="39"/>
      <c r="Q48" s="32"/>
      <c r="R48" s="216"/>
      <c r="S48" s="1148"/>
      <c r="T48" s="34"/>
      <c r="U48" s="4"/>
      <c r="V48" s="8"/>
      <c r="W48" s="43"/>
      <c r="X48" s="461" t="str">
        <f t="shared" si="19"/>
        <v/>
      </c>
    </row>
    <row r="49" spans="2:30" ht="15.75" customHeight="1" x14ac:dyDescent="0.25">
      <c r="B49" s="1126"/>
      <c r="C49" s="1127"/>
      <c r="D49" s="1127"/>
      <c r="E49" s="1149"/>
      <c r="F49" s="1121"/>
      <c r="G49" s="70"/>
      <c r="H49" s="71"/>
      <c r="I49" s="58"/>
      <c r="J49" s="1150"/>
      <c r="K49" s="1153"/>
      <c r="L49" s="1140"/>
      <c r="M49" s="1141"/>
      <c r="N49" s="1154"/>
      <c r="O49" s="1143">
        <f t="shared" ref="O49" si="27">M49-N49</f>
        <v>0</v>
      </c>
      <c r="P49" s="433"/>
      <c r="Q49" s="32"/>
      <c r="R49" s="216"/>
      <c r="S49" s="1146">
        <f t="shared" si="11"/>
        <v>0</v>
      </c>
      <c r="T49" s="33"/>
      <c r="U49" s="4">
        <v>0.7</v>
      </c>
      <c r="V49" s="8" t="e">
        <f>U49/$O$64*O49</f>
        <v>#DIV/0!</v>
      </c>
      <c r="W49" s="40">
        <f>IFERROR((R49+R51+R50)/O49,0)</f>
        <v>0</v>
      </c>
      <c r="X49" s="459" t="str">
        <f t="shared" si="19"/>
        <v/>
      </c>
      <c r="AB49" s="10">
        <f>IFERROR(AC49*AD49,0)</f>
        <v>0</v>
      </c>
      <c r="AC49" s="10" t="e">
        <f>O49/$O$64</f>
        <v>#DIV/0!</v>
      </c>
      <c r="AD49" s="10" t="str">
        <f>IF(O49&gt;0,IF(P49="1st",1,IF(P49="2nd",2,IF(P49="AN1",2,""))),"")</f>
        <v/>
      </c>
    </row>
    <row r="50" spans="2:30" x14ac:dyDescent="0.25">
      <c r="B50" s="1128"/>
      <c r="C50" s="1129"/>
      <c r="D50" s="1129"/>
      <c r="E50" s="1131"/>
      <c r="F50" s="1122"/>
      <c r="G50" s="66"/>
      <c r="H50" s="67"/>
      <c r="I50" s="59"/>
      <c r="J50" s="1151"/>
      <c r="K50" s="1137"/>
      <c r="L50" s="1140"/>
      <c r="M50" s="1141"/>
      <c r="N50" s="1142"/>
      <c r="O50" s="1144"/>
      <c r="P50" s="434"/>
      <c r="Q50" s="38"/>
      <c r="R50" s="214"/>
      <c r="S50" s="1147"/>
      <c r="T50" s="33"/>
      <c r="U50" s="4"/>
      <c r="V50" s="8"/>
      <c r="W50" s="42"/>
      <c r="X50" s="460" t="str">
        <f t="shared" si="19"/>
        <v/>
      </c>
    </row>
    <row r="51" spans="2:30" x14ac:dyDescent="0.25">
      <c r="B51" s="1128"/>
      <c r="C51" s="1129"/>
      <c r="D51" s="1129"/>
      <c r="E51" s="1132"/>
      <c r="F51" s="1123"/>
      <c r="G51" s="68"/>
      <c r="H51" s="69"/>
      <c r="I51" s="60"/>
      <c r="J51" s="1152"/>
      <c r="K51" s="1138"/>
      <c r="L51" s="1140"/>
      <c r="M51" s="1141"/>
      <c r="N51" s="1142"/>
      <c r="O51" s="1145"/>
      <c r="P51" s="39"/>
      <c r="Q51" s="38"/>
      <c r="R51" s="214"/>
      <c r="S51" s="1148"/>
      <c r="T51" s="33"/>
      <c r="U51" s="4"/>
      <c r="V51" s="8"/>
      <c r="W51" s="42"/>
      <c r="X51" s="461" t="str">
        <f t="shared" si="19"/>
        <v/>
      </c>
    </row>
    <row r="52" spans="2:30" ht="15.75" customHeight="1" x14ac:dyDescent="0.25">
      <c r="B52" s="1126"/>
      <c r="C52" s="1127"/>
      <c r="D52" s="1127"/>
      <c r="E52" s="1149"/>
      <c r="F52" s="1121"/>
      <c r="G52" s="70"/>
      <c r="H52" s="71"/>
      <c r="I52" s="58"/>
      <c r="J52" s="1150"/>
      <c r="K52" s="1153"/>
      <c r="L52" s="1140"/>
      <c r="M52" s="1141"/>
      <c r="N52" s="1154"/>
      <c r="O52" s="1143">
        <f t="shared" ref="O52" si="28">M52-N52</f>
        <v>0</v>
      </c>
      <c r="P52" s="433"/>
      <c r="Q52" s="32"/>
      <c r="R52" s="216"/>
      <c r="S52" s="1146">
        <f t="shared" si="11"/>
        <v>0</v>
      </c>
      <c r="T52" s="33"/>
      <c r="U52" s="4">
        <v>0.7</v>
      </c>
      <c r="V52" s="8" t="e">
        <f>U52/$O$64*O52</f>
        <v>#DIV/0!</v>
      </c>
      <c r="W52" s="40">
        <f>IFERROR((R52+R54+R53)/O52,0)</f>
        <v>0</v>
      </c>
      <c r="X52" s="459" t="str">
        <f t="shared" si="19"/>
        <v/>
      </c>
      <c r="AB52" s="10">
        <f t="shared" ref="AB52" si="29">IFERROR(AC52*AD52,0)</f>
        <v>0</v>
      </c>
      <c r="AC52" s="10" t="e">
        <f>O52/$O$64</f>
        <v>#DIV/0!</v>
      </c>
      <c r="AD52" s="10" t="str">
        <f>IF(O52&gt;0,IF(P52="1st",1,IF(P52="2nd",2,IF(P52="AN1",2,""))),"")</f>
        <v/>
      </c>
    </row>
    <row r="53" spans="2:30" x14ac:dyDescent="0.25">
      <c r="B53" s="1128"/>
      <c r="C53" s="1129"/>
      <c r="D53" s="1129"/>
      <c r="E53" s="1131"/>
      <c r="F53" s="1122"/>
      <c r="G53" s="66"/>
      <c r="H53" s="67"/>
      <c r="I53" s="59"/>
      <c r="J53" s="1151"/>
      <c r="K53" s="1137"/>
      <c r="L53" s="1140"/>
      <c r="M53" s="1141"/>
      <c r="N53" s="1142"/>
      <c r="O53" s="1144"/>
      <c r="P53" s="434"/>
      <c r="Q53" s="38"/>
      <c r="R53" s="214"/>
      <c r="S53" s="1147"/>
      <c r="T53" s="34"/>
      <c r="U53" s="4"/>
      <c r="V53" s="8"/>
      <c r="W53" s="43"/>
      <c r="X53" s="460" t="str">
        <f t="shared" si="19"/>
        <v/>
      </c>
    </row>
    <row r="54" spans="2:30" x14ac:dyDescent="0.25">
      <c r="B54" s="1128"/>
      <c r="C54" s="1129"/>
      <c r="D54" s="1129"/>
      <c r="E54" s="1132"/>
      <c r="F54" s="1123"/>
      <c r="G54" s="68"/>
      <c r="H54" s="69"/>
      <c r="I54" s="60"/>
      <c r="J54" s="1152"/>
      <c r="K54" s="1138"/>
      <c r="L54" s="1140"/>
      <c r="M54" s="1141"/>
      <c r="N54" s="1142"/>
      <c r="O54" s="1145"/>
      <c r="P54" s="39"/>
      <c r="Q54" s="38"/>
      <c r="R54" s="214"/>
      <c r="S54" s="1148"/>
      <c r="T54" s="34"/>
      <c r="U54" s="4"/>
      <c r="V54" s="8"/>
      <c r="W54" s="43"/>
      <c r="X54" s="461" t="str">
        <f t="shared" si="19"/>
        <v/>
      </c>
    </row>
    <row r="55" spans="2:30" ht="15.75" customHeight="1" x14ac:dyDescent="0.25">
      <c r="B55" s="1126"/>
      <c r="C55" s="1127"/>
      <c r="D55" s="1127"/>
      <c r="E55" s="1149"/>
      <c r="F55" s="1121"/>
      <c r="G55" s="70"/>
      <c r="H55" s="71"/>
      <c r="I55" s="58"/>
      <c r="J55" s="1150"/>
      <c r="K55" s="1153"/>
      <c r="L55" s="1140"/>
      <c r="M55" s="1141"/>
      <c r="N55" s="1154"/>
      <c r="O55" s="1143">
        <f t="shared" ref="O55" si="30">M55-N55</f>
        <v>0</v>
      </c>
      <c r="P55" s="433"/>
      <c r="Q55" s="32"/>
      <c r="R55" s="216"/>
      <c r="S55" s="1146">
        <f t="shared" si="11"/>
        <v>0</v>
      </c>
      <c r="T55" s="33"/>
      <c r="U55" s="4">
        <v>0.7</v>
      </c>
      <c r="V55" s="8" t="e">
        <f>U55/$O$64*O55</f>
        <v>#DIV/0!</v>
      </c>
      <c r="W55" s="40">
        <f>IFERROR((R55+R57+R56)/O55,0)</f>
        <v>0</v>
      </c>
      <c r="X55" s="459" t="str">
        <f t="shared" si="19"/>
        <v/>
      </c>
      <c r="AB55" s="10">
        <f>IFERROR(AC55*AD55,0)</f>
        <v>0</v>
      </c>
      <c r="AC55" s="10" t="e">
        <f>O55/$O$64</f>
        <v>#DIV/0!</v>
      </c>
      <c r="AD55" s="10" t="str">
        <f>IF(O55&gt;0,IF(P55="1st",1,IF(P55="2nd",2,IF(P55="AN1",2,""))),"")</f>
        <v/>
      </c>
    </row>
    <row r="56" spans="2:30" x14ac:dyDescent="0.25">
      <c r="B56" s="1128"/>
      <c r="C56" s="1129"/>
      <c r="D56" s="1129"/>
      <c r="E56" s="1131"/>
      <c r="F56" s="1122"/>
      <c r="G56" s="66"/>
      <c r="H56" s="67"/>
      <c r="I56" s="59"/>
      <c r="J56" s="1151"/>
      <c r="K56" s="1137"/>
      <c r="L56" s="1140"/>
      <c r="M56" s="1141"/>
      <c r="N56" s="1142"/>
      <c r="O56" s="1144"/>
      <c r="P56" s="434"/>
      <c r="Q56" s="32"/>
      <c r="R56" s="216"/>
      <c r="S56" s="1147"/>
      <c r="T56" s="33"/>
      <c r="U56" s="4"/>
      <c r="V56" s="8"/>
      <c r="W56" s="42"/>
      <c r="X56" s="460" t="str">
        <f t="shared" si="19"/>
        <v/>
      </c>
    </row>
    <row r="57" spans="2:30" x14ac:dyDescent="0.25">
      <c r="B57" s="1128"/>
      <c r="C57" s="1129"/>
      <c r="D57" s="1129"/>
      <c r="E57" s="1132"/>
      <c r="F57" s="1123"/>
      <c r="G57" s="68"/>
      <c r="H57" s="69"/>
      <c r="I57" s="60"/>
      <c r="J57" s="1152"/>
      <c r="K57" s="1138"/>
      <c r="L57" s="1140"/>
      <c r="M57" s="1141"/>
      <c r="N57" s="1142"/>
      <c r="O57" s="1145"/>
      <c r="P57" s="39"/>
      <c r="Q57" s="32"/>
      <c r="R57" s="216"/>
      <c r="S57" s="1148"/>
      <c r="T57" s="33"/>
      <c r="U57" s="4"/>
      <c r="V57" s="8"/>
      <c r="W57" s="42"/>
      <c r="X57" s="461" t="str">
        <f t="shared" si="19"/>
        <v/>
      </c>
    </row>
    <row r="58" spans="2:30" ht="15.75" customHeight="1" x14ac:dyDescent="0.25">
      <c r="B58" s="1126"/>
      <c r="C58" s="1127"/>
      <c r="D58" s="1127"/>
      <c r="E58" s="1149"/>
      <c r="F58" s="1121"/>
      <c r="G58" s="70"/>
      <c r="H58" s="71"/>
      <c r="I58" s="58"/>
      <c r="J58" s="1150"/>
      <c r="K58" s="1153"/>
      <c r="L58" s="1140"/>
      <c r="M58" s="1141"/>
      <c r="N58" s="1154"/>
      <c r="O58" s="1143">
        <f t="shared" ref="O58" si="31">M58-N58</f>
        <v>0</v>
      </c>
      <c r="P58" s="433"/>
      <c r="Q58" s="32"/>
      <c r="R58" s="216"/>
      <c r="S58" s="1146">
        <f t="shared" si="11"/>
        <v>0</v>
      </c>
      <c r="T58" s="33"/>
      <c r="U58" s="4">
        <v>0.7</v>
      </c>
      <c r="V58" s="8" t="e">
        <f>U58/$O$64*O58</f>
        <v>#DIV/0!</v>
      </c>
      <c r="W58" s="40">
        <f>IFERROR((R58+R60+R59)/O58,0)</f>
        <v>0</v>
      </c>
      <c r="X58" s="459" t="str">
        <f t="shared" si="19"/>
        <v/>
      </c>
      <c r="AB58" s="10">
        <f t="shared" ref="AB58:AB61" si="32">IFERROR(AC58*AD58,0)</f>
        <v>0</v>
      </c>
      <c r="AC58" s="10" t="e">
        <f>O58/$O$64</f>
        <v>#DIV/0!</v>
      </c>
      <c r="AD58" s="10" t="str">
        <f>IF(O58&gt;0,IF(P58="1st",1,IF(P58="2nd",2,IF(P58="AN1",2,""))),"")</f>
        <v/>
      </c>
    </row>
    <row r="59" spans="2:30" x14ac:dyDescent="0.25">
      <c r="B59" s="1128"/>
      <c r="C59" s="1129"/>
      <c r="D59" s="1129"/>
      <c r="E59" s="1131"/>
      <c r="F59" s="1122"/>
      <c r="G59" s="66"/>
      <c r="H59" s="67"/>
      <c r="I59" s="59"/>
      <c r="J59" s="1151"/>
      <c r="K59" s="1137"/>
      <c r="L59" s="1140"/>
      <c r="M59" s="1141"/>
      <c r="N59" s="1142"/>
      <c r="O59" s="1144"/>
      <c r="P59" s="434"/>
      <c r="Q59" s="38"/>
      <c r="R59" s="214"/>
      <c r="S59" s="1147"/>
      <c r="T59" s="34"/>
      <c r="U59" s="4"/>
      <c r="V59" s="8"/>
      <c r="W59" s="43"/>
      <c r="X59" s="460" t="str">
        <f t="shared" si="19"/>
        <v/>
      </c>
    </row>
    <row r="60" spans="2:30" x14ac:dyDescent="0.25">
      <c r="B60" s="1128"/>
      <c r="C60" s="1129"/>
      <c r="D60" s="1129"/>
      <c r="E60" s="1132"/>
      <c r="F60" s="1123"/>
      <c r="G60" s="68"/>
      <c r="H60" s="69"/>
      <c r="I60" s="60"/>
      <c r="J60" s="1152"/>
      <c r="K60" s="1138"/>
      <c r="L60" s="1140"/>
      <c r="M60" s="1141"/>
      <c r="N60" s="1155"/>
      <c r="O60" s="1145"/>
      <c r="P60" s="39"/>
      <c r="Q60" s="38"/>
      <c r="R60" s="214"/>
      <c r="S60" s="1148"/>
      <c r="T60" s="34"/>
      <c r="U60" s="4"/>
      <c r="V60" s="8"/>
      <c r="W60" s="43"/>
      <c r="X60" s="461" t="str">
        <f t="shared" si="19"/>
        <v/>
      </c>
    </row>
    <row r="61" spans="2:30" ht="15.75" customHeight="1" x14ac:dyDescent="0.25">
      <c r="B61" s="1126"/>
      <c r="C61" s="1127"/>
      <c r="D61" s="1127"/>
      <c r="E61" s="1149"/>
      <c r="F61" s="1121"/>
      <c r="G61" s="70"/>
      <c r="H61" s="71"/>
      <c r="I61" s="58"/>
      <c r="J61" s="1150"/>
      <c r="K61" s="1153"/>
      <c r="L61" s="1140"/>
      <c r="M61" s="1141"/>
      <c r="N61" s="1142"/>
      <c r="O61" s="1143">
        <f t="shared" ref="O61" si="33">M61-N61</f>
        <v>0</v>
      </c>
      <c r="P61" s="433"/>
      <c r="Q61" s="32"/>
      <c r="R61" s="216"/>
      <c r="S61" s="1146">
        <f t="shared" si="11"/>
        <v>0</v>
      </c>
      <c r="T61" s="33"/>
      <c r="U61" s="4">
        <v>0.7</v>
      </c>
      <c r="V61" s="8" t="e">
        <f>U61/$O$64*O61</f>
        <v>#DIV/0!</v>
      </c>
      <c r="W61" s="40">
        <f>IFERROR((R61+R63+R62)/O61,0)</f>
        <v>0</v>
      </c>
      <c r="X61" s="459" t="str">
        <f t="shared" si="19"/>
        <v/>
      </c>
      <c r="AB61" s="10">
        <f t="shared" si="32"/>
        <v>0</v>
      </c>
      <c r="AC61" s="10" t="e">
        <f>O61/$O$64</f>
        <v>#DIV/0!</v>
      </c>
      <c r="AD61" s="10" t="str">
        <f>IF(O61&gt;0,IF(P61="1st",1,IF(P61="2nd",2,IF(P61="AN1",2,""))),"")</f>
        <v/>
      </c>
    </row>
    <row r="62" spans="2:30" x14ac:dyDescent="0.25">
      <c r="B62" s="1128"/>
      <c r="C62" s="1129"/>
      <c r="D62" s="1129"/>
      <c r="E62" s="1131"/>
      <c r="F62" s="1122"/>
      <c r="G62" s="66"/>
      <c r="H62" s="67"/>
      <c r="I62" s="59"/>
      <c r="J62" s="1151"/>
      <c r="K62" s="1137"/>
      <c r="L62" s="1140"/>
      <c r="M62" s="1141"/>
      <c r="N62" s="1142"/>
      <c r="O62" s="1144"/>
      <c r="P62" s="434"/>
      <c r="Q62" s="38"/>
      <c r="R62" s="214"/>
      <c r="S62" s="1147"/>
      <c r="T62" s="34"/>
      <c r="U62" s="4"/>
      <c r="V62" s="8"/>
      <c r="W62" s="43"/>
      <c r="X62" s="460" t="str">
        <f t="shared" si="19"/>
        <v/>
      </c>
    </row>
    <row r="63" spans="2:30" ht="16.5" thickBot="1" x14ac:dyDescent="0.3">
      <c r="B63" s="1128"/>
      <c r="C63" s="1129"/>
      <c r="D63" s="1129"/>
      <c r="E63" s="1132"/>
      <c r="F63" s="1123"/>
      <c r="G63" s="68"/>
      <c r="H63" s="69"/>
      <c r="I63" s="60"/>
      <c r="J63" s="1152"/>
      <c r="K63" s="1138"/>
      <c r="L63" s="1157"/>
      <c r="M63" s="1158"/>
      <c r="N63" s="1159"/>
      <c r="O63" s="1156"/>
      <c r="P63" s="39"/>
      <c r="Q63" s="38"/>
      <c r="R63" s="214"/>
      <c r="S63" s="1148"/>
      <c r="T63" s="34"/>
      <c r="U63" s="4"/>
      <c r="V63" s="8"/>
      <c r="W63" s="43"/>
      <c r="X63" s="461" t="str">
        <f t="shared" si="19"/>
        <v/>
      </c>
    </row>
    <row r="64" spans="2:30" ht="16.5" customHeight="1" thickBot="1" x14ac:dyDescent="0.3">
      <c r="B64" s="1163" t="s">
        <v>17</v>
      </c>
      <c r="C64" s="1164"/>
      <c r="D64" s="1164"/>
      <c r="E64" s="1164"/>
      <c r="F64" s="1164"/>
      <c r="G64" s="1164"/>
      <c r="H64" s="1164"/>
      <c r="I64" s="1164"/>
      <c r="J64" s="1164"/>
      <c r="K64" s="1164"/>
      <c r="L64" s="454">
        <f>SUM(L4:L63)</f>
        <v>0</v>
      </c>
      <c r="M64" s="455">
        <f>SUM(M4:M63)</f>
        <v>0</v>
      </c>
      <c r="N64" s="451">
        <f>SUM(N4:N63)</f>
        <v>0</v>
      </c>
      <c r="O64" s="452">
        <f>SUM(O4:O63)</f>
        <v>0</v>
      </c>
      <c r="P64" s="453"/>
      <c r="Q64" s="390"/>
      <c r="R64" s="391">
        <f>SUMIF(
  $P$4:$P$63,
  "2nd",
  $R$4:$R$63
)</f>
        <v>0</v>
      </c>
      <c r="S64" s="392" t="e">
        <f>AVERAGEIF(S4:S63,"&gt;0",S4:S63)</f>
        <v>#DIV/0!</v>
      </c>
      <c r="T64" s="393"/>
      <c r="U64" s="394" t="e">
        <f ca="1">AVERAGEIF(M4:M63,"&gt;0",U4:U61)</f>
        <v>#DIV/0!</v>
      </c>
      <c r="V64" s="395"/>
      <c r="W64" s="73">
        <f>IFERROR(#REF!/O64,0)</f>
        <v>0</v>
      </c>
      <c r="X64" s="393"/>
    </row>
    <row r="65" spans="1:32" s="14" customFormat="1" ht="7.5" customHeight="1" x14ac:dyDescent="0.25">
      <c r="B65" s="12"/>
      <c r="C65" s="12"/>
      <c r="D65" s="12"/>
      <c r="E65" s="12"/>
      <c r="F65" s="12"/>
      <c r="G65" s="12"/>
      <c r="H65" s="12"/>
      <c r="I65" s="12"/>
      <c r="J65" s="13"/>
      <c r="K65" s="13"/>
      <c r="L65" s="13"/>
      <c r="O65" s="15"/>
      <c r="P65" s="15"/>
      <c r="Q65" s="15"/>
      <c r="R65" s="16">
        <f>SUMIF(Q4:Q61,"1st",R4:R61)</f>
        <v>0</v>
      </c>
      <c r="S65" s="16"/>
      <c r="T65" s="15"/>
      <c r="U65" s="17" t="e">
        <f>SUM(V4:V61)</f>
        <v>#DIV/0!</v>
      </c>
      <c r="V65" s="18"/>
      <c r="W65" s="19"/>
      <c r="AB65" s="20" t="s">
        <v>4</v>
      </c>
      <c r="AC65" s="20">
        <v>1</v>
      </c>
      <c r="AD65" s="20">
        <v>2</v>
      </c>
    </row>
    <row r="66" spans="1:32" s="24" customFormat="1" x14ac:dyDescent="0.25">
      <c r="A66" s="10"/>
      <c r="B66" s="37"/>
      <c r="C66" s="21"/>
      <c r="D66" s="25"/>
      <c r="E66" s="25"/>
      <c r="F66" s="25"/>
      <c r="G66" s="25"/>
      <c r="H66" s="25"/>
      <c r="I66" s="25"/>
      <c r="J66" s="26"/>
      <c r="K66" s="28"/>
      <c r="M66" s="27"/>
      <c r="N66" s="23"/>
      <c r="O66" s="23"/>
      <c r="P66" s="23"/>
      <c r="Q66" s="22"/>
      <c r="R66" s="8"/>
      <c r="S66" s="8"/>
      <c r="T66" s="8"/>
      <c r="U66" s="22"/>
      <c r="V66" s="10"/>
      <c r="W66" s="10"/>
      <c r="X66" s="10"/>
      <c r="Y66" s="10"/>
      <c r="Z66" s="10"/>
      <c r="AA66" s="10"/>
      <c r="AB66" s="10"/>
      <c r="AC66" s="10"/>
      <c r="AD66" s="10"/>
      <c r="AE66" s="10"/>
      <c r="AF66" s="10"/>
    </row>
    <row r="67" spans="1:32" x14ac:dyDescent="0.25">
      <c r="B67" s="37"/>
    </row>
  </sheetData>
  <sheetProtection formatColumns="0" formatRows="0"/>
  <mergeCells count="203">
    <mergeCell ref="B64:K64"/>
    <mergeCell ref="L2:N2"/>
    <mergeCell ref="S37:S39"/>
    <mergeCell ref="B28:D30"/>
    <mergeCell ref="E28:E30"/>
    <mergeCell ref="J28:J30"/>
    <mergeCell ref="K28:K30"/>
    <mergeCell ref="L28:L30"/>
    <mergeCell ref="M28:M30"/>
    <mergeCell ref="N28:N30"/>
    <mergeCell ref="O28:O30"/>
    <mergeCell ref="S28:S30"/>
    <mergeCell ref="B31:D33"/>
    <mergeCell ref="E31:E33"/>
    <mergeCell ref="J31:J33"/>
    <mergeCell ref="K31:K33"/>
    <mergeCell ref="L31:L33"/>
    <mergeCell ref="M31:M33"/>
    <mergeCell ref="N31:N33"/>
    <mergeCell ref="O31:O33"/>
    <mergeCell ref="S31:S33"/>
    <mergeCell ref="B37:D39"/>
    <mergeCell ref="E37:E39"/>
    <mergeCell ref="J37:J39"/>
    <mergeCell ref="S25:S27"/>
    <mergeCell ref="B34:D36"/>
    <mergeCell ref="E34:E36"/>
    <mergeCell ref="J34:J36"/>
    <mergeCell ref="K34:K36"/>
    <mergeCell ref="L34:L36"/>
    <mergeCell ref="M34:M36"/>
    <mergeCell ref="N34:N36"/>
    <mergeCell ref="O34:O36"/>
    <mergeCell ref="S34:S36"/>
    <mergeCell ref="B25:D27"/>
    <mergeCell ref="E25:E27"/>
    <mergeCell ref="J25:J27"/>
    <mergeCell ref="K25:K27"/>
    <mergeCell ref="L25:L27"/>
    <mergeCell ref="M25:M27"/>
    <mergeCell ref="N25:N27"/>
    <mergeCell ref="F34:F36"/>
    <mergeCell ref="B22:D24"/>
    <mergeCell ref="E22:E24"/>
    <mergeCell ref="J22:J24"/>
    <mergeCell ref="K22:K24"/>
    <mergeCell ref="L22:L24"/>
    <mergeCell ref="M22:M24"/>
    <mergeCell ref="N22:N24"/>
    <mergeCell ref="O22:O24"/>
    <mergeCell ref="S22:S24"/>
    <mergeCell ref="E19:E21"/>
    <mergeCell ref="J19:J21"/>
    <mergeCell ref="K19:K21"/>
    <mergeCell ref="L19:L21"/>
    <mergeCell ref="M19:M21"/>
    <mergeCell ref="N19:N21"/>
    <mergeCell ref="O19:O21"/>
    <mergeCell ref="B16:D18"/>
    <mergeCell ref="E16:E18"/>
    <mergeCell ref="J16:J18"/>
    <mergeCell ref="K16:K18"/>
    <mergeCell ref="L16:L18"/>
    <mergeCell ref="M16:M18"/>
    <mergeCell ref="N16:N18"/>
    <mergeCell ref="O16:O18"/>
    <mergeCell ref="S16:S18"/>
    <mergeCell ref="S10:S12"/>
    <mergeCell ref="B40:D42"/>
    <mergeCell ref="E40:E42"/>
    <mergeCell ref="J40:J42"/>
    <mergeCell ref="K40:K42"/>
    <mergeCell ref="L40:L42"/>
    <mergeCell ref="M40:M42"/>
    <mergeCell ref="N40:N42"/>
    <mergeCell ref="K37:K39"/>
    <mergeCell ref="L37:L39"/>
    <mergeCell ref="M37:M39"/>
    <mergeCell ref="N37:N39"/>
    <mergeCell ref="O37:O39"/>
    <mergeCell ref="B13:D15"/>
    <mergeCell ref="E13:E15"/>
    <mergeCell ref="J13:J15"/>
    <mergeCell ref="K13:K15"/>
    <mergeCell ref="L13:L15"/>
    <mergeCell ref="M13:M15"/>
    <mergeCell ref="N13:N15"/>
    <mergeCell ref="O13:O15"/>
    <mergeCell ref="S19:S21"/>
    <mergeCell ref="B19:D21"/>
    <mergeCell ref="E46:E48"/>
    <mergeCell ref="J46:J48"/>
    <mergeCell ref="K46:K48"/>
    <mergeCell ref="L46:L48"/>
    <mergeCell ref="M46:M48"/>
    <mergeCell ref="N46:N48"/>
    <mergeCell ref="O40:O42"/>
    <mergeCell ref="S40:S42"/>
    <mergeCell ref="B10:D12"/>
    <mergeCell ref="E10:E12"/>
    <mergeCell ref="J10:J12"/>
    <mergeCell ref="K10:K12"/>
    <mergeCell ref="L10:L12"/>
    <mergeCell ref="M10:M12"/>
    <mergeCell ref="N10:N12"/>
    <mergeCell ref="S13:S15"/>
    <mergeCell ref="O43:O45"/>
    <mergeCell ref="O10:O12"/>
    <mergeCell ref="J43:J45"/>
    <mergeCell ref="K43:K45"/>
    <mergeCell ref="L43:L45"/>
    <mergeCell ref="M43:M45"/>
    <mergeCell ref="N43:N45"/>
    <mergeCell ref="O25:O27"/>
    <mergeCell ref="S49:S51"/>
    <mergeCell ref="B52:D54"/>
    <mergeCell ref="E52:E54"/>
    <mergeCell ref="J52:J54"/>
    <mergeCell ref="K52:K54"/>
    <mergeCell ref="L52:L54"/>
    <mergeCell ref="M52:M54"/>
    <mergeCell ref="N52:N54"/>
    <mergeCell ref="B49:D51"/>
    <mergeCell ref="E49:E51"/>
    <mergeCell ref="J49:J51"/>
    <mergeCell ref="K49:K51"/>
    <mergeCell ref="S52:S54"/>
    <mergeCell ref="B43:D45"/>
    <mergeCell ref="E43:E45"/>
    <mergeCell ref="O46:O48"/>
    <mergeCell ref="S46:S48"/>
    <mergeCell ref="S43:S45"/>
    <mergeCell ref="B46:D48"/>
    <mergeCell ref="O61:O63"/>
    <mergeCell ref="S61:S63"/>
    <mergeCell ref="O58:O60"/>
    <mergeCell ref="S58:S60"/>
    <mergeCell ref="B61:D63"/>
    <mergeCell ref="E61:E63"/>
    <mergeCell ref="J61:J63"/>
    <mergeCell ref="K61:K63"/>
    <mergeCell ref="L61:L63"/>
    <mergeCell ref="M61:M63"/>
    <mergeCell ref="N61:N63"/>
    <mergeCell ref="B58:D60"/>
    <mergeCell ref="E58:E60"/>
    <mergeCell ref="J58:J60"/>
    <mergeCell ref="K58:K60"/>
    <mergeCell ref="L58:L60"/>
    <mergeCell ref="O49:O51"/>
    <mergeCell ref="M58:M60"/>
    <mergeCell ref="S4:S6"/>
    <mergeCell ref="B7:D9"/>
    <mergeCell ref="E7:E9"/>
    <mergeCell ref="J7:J9"/>
    <mergeCell ref="K7:K9"/>
    <mergeCell ref="L7:L9"/>
    <mergeCell ref="M7:M9"/>
    <mergeCell ref="N7:N9"/>
    <mergeCell ref="N58:N60"/>
    <mergeCell ref="O7:O9"/>
    <mergeCell ref="S7:S9"/>
    <mergeCell ref="B55:D57"/>
    <mergeCell ref="E55:E57"/>
    <mergeCell ref="J55:J57"/>
    <mergeCell ref="K55:K57"/>
    <mergeCell ref="L55:L57"/>
    <mergeCell ref="M55:M57"/>
    <mergeCell ref="N55:N57"/>
    <mergeCell ref="L49:L51"/>
    <mergeCell ref="M49:M51"/>
    <mergeCell ref="N49:N51"/>
    <mergeCell ref="O55:O57"/>
    <mergeCell ref="S55:S57"/>
    <mergeCell ref="O52:O54"/>
    <mergeCell ref="B3:D3"/>
    <mergeCell ref="B4:D6"/>
    <mergeCell ref="E4:E6"/>
    <mergeCell ref="J4:J6"/>
    <mergeCell ref="K4:K6"/>
    <mergeCell ref="L4:L6"/>
    <mergeCell ref="M4:M6"/>
    <mergeCell ref="N4:N6"/>
    <mergeCell ref="O4:O6"/>
    <mergeCell ref="F4:F6"/>
    <mergeCell ref="F7:F9"/>
    <mergeCell ref="F10:F12"/>
    <mergeCell ref="F13:F15"/>
    <mergeCell ref="F16:F18"/>
    <mergeCell ref="F19:F21"/>
    <mergeCell ref="F22:F24"/>
    <mergeCell ref="F25:F27"/>
    <mergeCell ref="F28:F30"/>
    <mergeCell ref="F31:F33"/>
    <mergeCell ref="F37:F39"/>
    <mergeCell ref="F40:F42"/>
    <mergeCell ref="F43:F45"/>
    <mergeCell ref="F46:F48"/>
    <mergeCell ref="F49:F51"/>
    <mergeCell ref="F52:F54"/>
    <mergeCell ref="F55:F57"/>
    <mergeCell ref="F58:F60"/>
    <mergeCell ref="F61:F63"/>
  </mergeCells>
  <phoneticPr fontId="7" type="noConversion"/>
  <conditionalFormatting sqref="S4:S63">
    <cfRule type="cellIs" dxfId="69" priority="2" operator="notBetween">
      <formula>-1</formula>
      <formula>0.75</formula>
    </cfRule>
  </conditionalFormatting>
  <conditionalFormatting sqref="W4:W64">
    <cfRule type="expression" dxfId="68" priority="15">
      <formula>W4&gt;=U4</formula>
    </cfRule>
  </conditionalFormatting>
  <conditionalFormatting sqref="O4:O63">
    <cfRule type="cellIs" dxfId="67" priority="1" operator="equal">
      <formula>0</formula>
    </cfRule>
  </conditionalFormatting>
  <dataValidations disablePrompts="1" count="1">
    <dataValidation type="list" allowBlank="1" showInputMessage="1" showErrorMessage="1" sqref="P4:P63" xr:uid="{C5115A27-FE48-4E9C-8713-A6249C3801AA}">
      <formula1>"1st,2nd"</formula1>
    </dataValidation>
  </dataValidations>
  <pageMargins left="0.23622047244094491" right="0.23622047244094491" top="0.35433070866141736" bottom="0.35433070866141736" header="0.31496062992125984" footer="0.31496062992125984"/>
  <pageSetup paperSize="9" scale="4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8E3-724C-483A-AF8B-66944B89489F}">
  <sheetPr codeName="Sheet4"/>
  <dimension ref="B1:K25"/>
  <sheetViews>
    <sheetView topLeftCell="A4" zoomScale="130" zoomScaleNormal="130" workbookViewId="0">
      <selection activeCell="E6" sqref="E6:G6"/>
    </sheetView>
  </sheetViews>
  <sheetFormatPr defaultRowHeight="15" x14ac:dyDescent="0.25"/>
  <cols>
    <col min="1" max="3" width="9.140625" style="91"/>
    <col min="4" max="4" width="35.28515625" style="91" customWidth="1"/>
    <col min="5" max="6" width="9.140625" style="91"/>
    <col min="7" max="7" width="0" style="91" hidden="1" customWidth="1"/>
    <col min="8" max="8" width="9.140625" style="91"/>
    <col min="9" max="10" width="0" style="91" hidden="1" customWidth="1"/>
    <col min="11" max="11" width="16" style="91" customWidth="1"/>
    <col min="12" max="16384" width="9.140625" style="91"/>
  </cols>
  <sheetData>
    <row r="1" spans="2:11" x14ac:dyDescent="0.25">
      <c r="B1" s="1170" t="s">
        <v>232</v>
      </c>
      <c r="C1" s="1170"/>
      <c r="D1" s="1170"/>
      <c r="E1" s="1170"/>
      <c r="F1" s="1170"/>
      <c r="G1" s="1170"/>
      <c r="H1" s="1170"/>
      <c r="I1" s="1170"/>
      <c r="J1" s="1170"/>
      <c r="K1" s="1170"/>
    </row>
    <row r="2" spans="2:11" ht="31.5" customHeight="1" x14ac:dyDescent="0.25">
      <c r="B2" s="1170"/>
      <c r="C2" s="1170"/>
      <c r="D2" s="1170"/>
      <c r="E2" s="1170"/>
      <c r="F2" s="1170"/>
      <c r="G2" s="1170"/>
      <c r="H2" s="1170"/>
      <c r="I2" s="1170"/>
      <c r="J2" s="1170"/>
      <c r="K2" s="1170"/>
    </row>
    <row r="3" spans="2:11" ht="23.25" x14ac:dyDescent="0.35">
      <c r="B3" s="326"/>
      <c r="C3" s="326"/>
      <c r="D3" s="326"/>
      <c r="E3" s="326"/>
      <c r="F3" s="326"/>
      <c r="G3" s="326"/>
      <c r="H3" s="326"/>
      <c r="I3" s="326"/>
      <c r="J3" s="326"/>
      <c r="K3" s="326"/>
    </row>
    <row r="5" spans="2:11" x14ac:dyDescent="0.25">
      <c r="B5" s="1171" t="s">
        <v>121</v>
      </c>
      <c r="C5" s="1171"/>
      <c r="D5" s="1171"/>
      <c r="E5" s="1171" t="s">
        <v>1</v>
      </c>
      <c r="F5" s="1171"/>
      <c r="G5" s="413"/>
      <c r="H5" s="413" t="s">
        <v>14</v>
      </c>
      <c r="I5" s="413"/>
      <c r="J5" s="413"/>
      <c r="K5" s="413" t="s">
        <v>204</v>
      </c>
    </row>
    <row r="6" spans="2:11" x14ac:dyDescent="0.25">
      <c r="B6" s="1172" t="str">
        <f>IF('Multi Property Deal'!$B$4="","",'Multi Property Deal'!$B$4)</f>
        <v/>
      </c>
      <c r="C6" s="1172"/>
      <c r="D6" s="1172"/>
      <c r="E6" s="1173" t="str">
        <f>IF('Multi Property Deal'!$M$4="","",'Multi Property Deal'!$M$4)</f>
        <v/>
      </c>
      <c r="F6" s="1173"/>
      <c r="G6" s="1173"/>
      <c r="H6" s="1172" t="str">
        <f>IF('Multi Property Deal'!$P$4="","",'Multi Property Deal'!$P$4)</f>
        <v/>
      </c>
      <c r="I6" s="1172"/>
      <c r="J6" s="1172"/>
      <c r="K6" s="332" t="str">
        <f>IF(B6="","",IF(SUM('Multi Property Deal'!$R$4:$R$6)=0,0,SUM('Multi Property Deal'!$R$4:$R$6)))</f>
        <v/>
      </c>
    </row>
    <row r="7" spans="2:11" ht="15" customHeight="1" x14ac:dyDescent="0.25">
      <c r="B7" s="1172" t="str">
        <f>IF('Multi Property Deal'!$B$7="","",'Multi Property Deal'!$B$7)</f>
        <v/>
      </c>
      <c r="C7" s="1172"/>
      <c r="D7" s="1172"/>
      <c r="E7" s="1173" t="str">
        <f>IF('Multi Property Deal'!$M$7="","",'Multi Property Deal'!$M$7)</f>
        <v/>
      </c>
      <c r="F7" s="1173"/>
      <c r="G7" s="1173"/>
      <c r="H7" s="1172" t="str">
        <f>IF('Multi Property Deal'!$P$7="","",'Multi Property Deal'!$P$7)</f>
        <v/>
      </c>
      <c r="I7" s="1172"/>
      <c r="J7" s="1172"/>
      <c r="K7" s="332" t="str">
        <f>IF(B7="","",IF(SUM('Multi Property Deal'!$R$7:$R$9)=0,0,SUM('Multi Property Deal'!$R$7:$R$9)))</f>
        <v/>
      </c>
    </row>
    <row r="8" spans="2:11" ht="15" customHeight="1" x14ac:dyDescent="0.25">
      <c r="B8" s="1172" t="str">
        <f>IF('Multi Property Deal'!$B$10="","",'Multi Property Deal'!$B$10)</f>
        <v/>
      </c>
      <c r="C8" s="1172"/>
      <c r="D8" s="1172"/>
      <c r="E8" s="1173" t="str">
        <f>IF('Multi Property Deal'!$M$10="","",'Multi Property Deal'!$M$10)</f>
        <v/>
      </c>
      <c r="F8" s="1173"/>
      <c r="G8" s="1173"/>
      <c r="H8" s="1172" t="str">
        <f>IF('Multi Property Deal'!$P$10="","",'Multi Property Deal'!$P$10)</f>
        <v/>
      </c>
      <c r="I8" s="1172"/>
      <c r="J8" s="1172"/>
      <c r="K8" s="332" t="str">
        <f>IF(B8="","",IF(SUM('Multi Property Deal'!$R$10:$R$12)=0,0,SUM('Multi Property Deal'!$R$10:$R$12)))</f>
        <v/>
      </c>
    </row>
    <row r="9" spans="2:11" ht="15" customHeight="1" x14ac:dyDescent="0.25">
      <c r="B9" s="1172" t="str">
        <f>IF('Multi Property Deal'!$B$13="","",'Multi Property Deal'!$B$13)</f>
        <v/>
      </c>
      <c r="C9" s="1172"/>
      <c r="D9" s="1172"/>
      <c r="E9" s="1173" t="str">
        <f>IF('Multi Property Deal'!$M$13="","",'Multi Property Deal'!$M$13)</f>
        <v/>
      </c>
      <c r="F9" s="1173"/>
      <c r="G9" s="1173"/>
      <c r="H9" s="1172" t="str">
        <f>IF('Multi Property Deal'!$P$13="","",'Multi Property Deal'!$P$13)</f>
        <v/>
      </c>
      <c r="I9" s="1172"/>
      <c r="J9" s="1172"/>
      <c r="K9" s="332" t="str">
        <f>IF(B9="","",IF(SUM('Multi Property Deal'!$R$13:$R$15)=0,0,SUM('Multi Property Deal'!$R$13:$R$15)))</f>
        <v/>
      </c>
    </row>
    <row r="10" spans="2:11" x14ac:dyDescent="0.25">
      <c r="B10" s="1172" t="str">
        <f>IF('Multi Property Deal'!$B$16="","",'Multi Property Deal'!$B$16)</f>
        <v/>
      </c>
      <c r="C10" s="1172"/>
      <c r="D10" s="1172"/>
      <c r="E10" s="1173" t="str">
        <f>IF('Multi Property Deal'!$M$16="","",'Multi Property Deal'!$M$16)</f>
        <v/>
      </c>
      <c r="F10" s="1173"/>
      <c r="G10" s="1173"/>
      <c r="H10" s="1172" t="str">
        <f>IF('Multi Property Deal'!$P$16="","",'Multi Property Deal'!$P$16)</f>
        <v/>
      </c>
      <c r="I10" s="1172"/>
      <c r="J10" s="1172"/>
      <c r="K10" s="332" t="str">
        <f>IF(B10="","",IF(SUM('Multi Property Deal'!$R$16:$R$18)=0,0,SUM('Multi Property Deal'!$R$16:$R$18)))</f>
        <v/>
      </c>
    </row>
    <row r="11" spans="2:11" x14ac:dyDescent="0.25">
      <c r="B11" s="1172" t="str">
        <f>IF('Multi Property Deal'!$B$19="","",'Multi Property Deal'!$B$19)</f>
        <v/>
      </c>
      <c r="C11" s="1172"/>
      <c r="D11" s="1172"/>
      <c r="E11" s="1173" t="str">
        <f>IF('Multi Property Deal'!$M$19="","",'Multi Property Deal'!$M$19)</f>
        <v/>
      </c>
      <c r="F11" s="1173"/>
      <c r="G11" s="1173"/>
      <c r="H11" s="1172" t="str">
        <f>IF('Multi Property Deal'!$P$19="","",'Multi Property Deal'!$P$19)</f>
        <v/>
      </c>
      <c r="I11" s="1172"/>
      <c r="J11" s="1172"/>
      <c r="K11" s="332" t="str">
        <f>IF(B11="","",IF(SUM('Multi Property Deal'!$R$19:$R$21)=0,0,SUM('Multi Property Deal'!$R$19:$R$21)))</f>
        <v/>
      </c>
    </row>
    <row r="12" spans="2:11" x14ac:dyDescent="0.25">
      <c r="B12" s="1172" t="str">
        <f>IF('Multi Property Deal'!$B$22="","",'Multi Property Deal'!$B$22)</f>
        <v/>
      </c>
      <c r="C12" s="1172"/>
      <c r="D12" s="1172"/>
      <c r="E12" s="1173" t="str">
        <f>IF('Multi Property Deal'!$M$22="","",'Multi Property Deal'!$M$22)</f>
        <v/>
      </c>
      <c r="F12" s="1173"/>
      <c r="G12" s="1173"/>
      <c r="H12" s="1172" t="str">
        <f>IF('Multi Property Deal'!$P$22="","",'Multi Property Deal'!$P$22)</f>
        <v/>
      </c>
      <c r="I12" s="1172"/>
      <c r="J12" s="1172"/>
      <c r="K12" s="332" t="str">
        <f>IF(B12="","",IF(SUM('Multi Property Deal'!$R$22:$R$24)=0,0,SUM('Multi Property Deal'!$R$22:$R$24)))</f>
        <v/>
      </c>
    </row>
    <row r="13" spans="2:11" x14ac:dyDescent="0.25">
      <c r="B13" s="1172" t="str">
        <f>IF('Multi Property Deal'!$B$25="","",'Multi Property Deal'!$B$25)</f>
        <v/>
      </c>
      <c r="C13" s="1172"/>
      <c r="D13" s="1172"/>
      <c r="E13" s="1173" t="str">
        <f>IF('Multi Property Deal'!$M$25="","",'Multi Property Deal'!$M$25)</f>
        <v/>
      </c>
      <c r="F13" s="1173"/>
      <c r="G13" s="1173"/>
      <c r="H13" s="1172" t="str">
        <f>IF('Multi Property Deal'!$P$25="","",'Multi Property Deal'!$P$25)</f>
        <v/>
      </c>
      <c r="I13" s="1172"/>
      <c r="J13" s="1172"/>
      <c r="K13" s="332" t="str">
        <f>IF(B13="","",IF(SUM('Multi Property Deal'!$R$25:$R$27)=0,0,SUM('Multi Property Deal'!$R$25:$R$27)))</f>
        <v/>
      </c>
    </row>
    <row r="14" spans="2:11" x14ac:dyDescent="0.25">
      <c r="B14" s="1172" t="str">
        <f>IF('Multi Property Deal'!$B$28="","",'Multi Property Deal'!$B$28)</f>
        <v/>
      </c>
      <c r="C14" s="1172"/>
      <c r="D14" s="1172"/>
      <c r="E14" s="1173" t="str">
        <f>IF('Multi Property Deal'!$M$28="","",'Multi Property Deal'!$M$28)</f>
        <v/>
      </c>
      <c r="F14" s="1173"/>
      <c r="G14" s="1173"/>
      <c r="H14" s="1172" t="str">
        <f>IF('Multi Property Deal'!$P$28="","",'Multi Property Deal'!$P$28)</f>
        <v/>
      </c>
      <c r="I14" s="1172"/>
      <c r="J14" s="1172"/>
      <c r="K14" s="332" t="str">
        <f>IF(B14="","",IF(SUM('Multi Property Deal'!$R$28:$R$30)=0,0,SUM('Multi Property Deal'!$R$28:$R$30)))</f>
        <v/>
      </c>
    </row>
    <row r="15" spans="2:11" x14ac:dyDescent="0.25">
      <c r="B15" s="1172" t="str">
        <f>IF('Multi Property Deal'!$B$31="","",'Multi Property Deal'!$B$31)</f>
        <v/>
      </c>
      <c r="C15" s="1172"/>
      <c r="D15" s="1172"/>
      <c r="E15" s="1173" t="str">
        <f>IF('Multi Property Deal'!$M$31="","",'Multi Property Deal'!$M$31)</f>
        <v/>
      </c>
      <c r="F15" s="1173"/>
      <c r="G15" s="1173"/>
      <c r="H15" s="1172" t="str">
        <f>IF('Multi Property Deal'!$P$31="","",'Multi Property Deal'!$P$31)</f>
        <v/>
      </c>
      <c r="I15" s="1172"/>
      <c r="J15" s="1172"/>
      <c r="K15" s="332" t="str">
        <f>IF(B15="","",IF(SUM('Multi Property Deal'!$R$31:$R$33)=0,0,SUM('Multi Property Deal'!$R$31:$R$33)))</f>
        <v/>
      </c>
    </row>
    <row r="16" spans="2:11" x14ac:dyDescent="0.25">
      <c r="B16" s="1172" t="str">
        <f>IF('Multi Property Deal'!$B$34="","",'Multi Property Deal'!$B$34)</f>
        <v/>
      </c>
      <c r="C16" s="1172"/>
      <c r="D16" s="1172"/>
      <c r="E16" s="1173" t="str">
        <f>IF('Multi Property Deal'!$M$34="","",'Multi Property Deal'!$M$34)</f>
        <v/>
      </c>
      <c r="F16" s="1173"/>
      <c r="G16" s="1173"/>
      <c r="H16" s="1172" t="str">
        <f>IF('Multi Property Deal'!$P$34="","",'Multi Property Deal'!$P$34)</f>
        <v/>
      </c>
      <c r="I16" s="1172"/>
      <c r="J16" s="1172"/>
      <c r="K16" s="332" t="str">
        <f>IF(B16="","",IF(SUM('Multi Property Deal'!$R$34:$R$36)=0,0,SUM('Multi Property Deal'!$R$34:$R$36)))</f>
        <v/>
      </c>
    </row>
    <row r="17" spans="2:11" x14ac:dyDescent="0.25">
      <c r="B17" s="1172" t="str">
        <f>IF('Multi Property Deal'!$B$37="","",'Multi Property Deal'!$B$37)</f>
        <v/>
      </c>
      <c r="C17" s="1172"/>
      <c r="D17" s="1172"/>
      <c r="E17" s="1173" t="str">
        <f>IF('Multi Property Deal'!$M$37="","",'Multi Property Deal'!$M$37)</f>
        <v/>
      </c>
      <c r="F17" s="1173"/>
      <c r="G17" s="1173"/>
      <c r="H17" s="1172" t="str">
        <f>IF('Multi Property Deal'!$P$37="","",'Multi Property Deal'!$P$37)</f>
        <v/>
      </c>
      <c r="I17" s="1172"/>
      <c r="J17" s="1172"/>
      <c r="K17" s="332" t="str">
        <f>IF(B17="","",IF(SUM('Multi Property Deal'!$R$37:$R$39)=0,0,SUM('Multi Property Deal'!$R$37:$R$39)))</f>
        <v/>
      </c>
    </row>
    <row r="18" spans="2:11" x14ac:dyDescent="0.25">
      <c r="B18" s="1172" t="str">
        <f>IF('Multi Property Deal'!$B$40="","",'Multi Property Deal'!$B$40)</f>
        <v/>
      </c>
      <c r="C18" s="1172"/>
      <c r="D18" s="1172"/>
      <c r="E18" s="1173" t="str">
        <f>IF('Multi Property Deal'!$M$40="","",'Multi Property Deal'!$M$40)</f>
        <v/>
      </c>
      <c r="F18" s="1173"/>
      <c r="G18" s="1173"/>
      <c r="H18" s="1172" t="str">
        <f>IF('Multi Property Deal'!$P$40="","",'Multi Property Deal'!$P$40)</f>
        <v/>
      </c>
      <c r="I18" s="1172"/>
      <c r="J18" s="1172"/>
      <c r="K18" s="332" t="str">
        <f>IF(B18="","",IF(SUM('Multi Property Deal'!$R$40:$R$42)=0,0,SUM('Multi Property Deal'!$R$40:$R$42)))</f>
        <v/>
      </c>
    </row>
    <row r="19" spans="2:11" x14ac:dyDescent="0.25">
      <c r="B19" s="1172" t="str">
        <f>IF('Multi Property Deal'!$B$43="","",'Multi Property Deal'!$B$43)</f>
        <v/>
      </c>
      <c r="C19" s="1172"/>
      <c r="D19" s="1172"/>
      <c r="E19" s="1173" t="str">
        <f>IF('Multi Property Deal'!$M$43="","",'Multi Property Deal'!$M$43)</f>
        <v/>
      </c>
      <c r="F19" s="1173"/>
      <c r="G19" s="1173"/>
      <c r="H19" s="1172" t="str">
        <f>IF('Multi Property Deal'!$P$43="","",'Multi Property Deal'!$P$43)</f>
        <v/>
      </c>
      <c r="I19" s="1172"/>
      <c r="J19" s="1172"/>
      <c r="K19" s="332" t="str">
        <f>IF(B19="","",IF(SUM('Multi Property Deal'!$R$43:$R$45)=0,0,SUM('Multi Property Deal'!$R$43:$R$45)))</f>
        <v/>
      </c>
    </row>
    <row r="20" spans="2:11" x14ac:dyDescent="0.25">
      <c r="B20" s="1172" t="str">
        <f>IF('Multi Property Deal'!$B$46="","",'Multi Property Deal'!$B$46)</f>
        <v/>
      </c>
      <c r="C20" s="1172"/>
      <c r="D20" s="1172"/>
      <c r="E20" s="1173" t="str">
        <f>IF('Multi Property Deal'!$M$46="","",'Multi Property Deal'!$M$46)</f>
        <v/>
      </c>
      <c r="F20" s="1173"/>
      <c r="G20" s="1173"/>
      <c r="H20" s="1172" t="str">
        <f>IF('Multi Property Deal'!$P$46="","",'Multi Property Deal'!$P$46)</f>
        <v/>
      </c>
      <c r="I20" s="1172"/>
      <c r="J20" s="1172"/>
      <c r="K20" s="332" t="str">
        <f>IF(B20="","",IF(SUM('Multi Property Deal'!$R$46:$R$48)=0,0,SUM('Multi Property Deal'!$R$46:$R$48)))</f>
        <v/>
      </c>
    </row>
    <row r="21" spans="2:11" x14ac:dyDescent="0.25">
      <c r="B21" s="1172" t="str">
        <f>IF('Multi Property Deal'!$B$49="","",'Multi Property Deal'!$B$49)</f>
        <v/>
      </c>
      <c r="C21" s="1172"/>
      <c r="D21" s="1172"/>
      <c r="E21" s="1173" t="str">
        <f>IF('Multi Property Deal'!$M$49="","",'Multi Property Deal'!$M$49)</f>
        <v/>
      </c>
      <c r="F21" s="1173"/>
      <c r="G21" s="1173"/>
      <c r="H21" s="1172" t="str">
        <f>IF('Multi Property Deal'!$P$49="","",'Multi Property Deal'!$P$49)</f>
        <v/>
      </c>
      <c r="I21" s="1172"/>
      <c r="J21" s="1172"/>
      <c r="K21" s="332" t="str">
        <f>IF(B21="","",IF(SUM('Multi Property Deal'!$R$49:$R$51)=0,0,SUM('Multi Property Deal'!$R$49:$R$51)))</f>
        <v/>
      </c>
    </row>
    <row r="22" spans="2:11" x14ac:dyDescent="0.25">
      <c r="B22" s="1172" t="str">
        <f>IF('Multi Property Deal'!$B$52="","",'Multi Property Deal'!$B$52)</f>
        <v/>
      </c>
      <c r="C22" s="1172"/>
      <c r="D22" s="1172"/>
      <c r="E22" s="1173" t="str">
        <f>IF('Multi Property Deal'!$M$52="","",'Multi Property Deal'!$M$52)</f>
        <v/>
      </c>
      <c r="F22" s="1173"/>
      <c r="G22" s="1173"/>
      <c r="H22" s="1172" t="str">
        <f>IF('Multi Property Deal'!$P$52="","",'Multi Property Deal'!$P$52)</f>
        <v/>
      </c>
      <c r="I22" s="1172"/>
      <c r="J22" s="1172"/>
      <c r="K22" s="332" t="str">
        <f>IF(B22="","",IF(SUM('Multi Property Deal'!$R$52:$R$54)=0,0,SUM('Multi Property Deal'!$R$52:$R$54)))</f>
        <v/>
      </c>
    </row>
    <row r="23" spans="2:11" x14ac:dyDescent="0.25">
      <c r="B23" s="1172" t="str">
        <f>IF('Multi Property Deal'!$B$55="","",'Multi Property Deal'!$B$55)</f>
        <v/>
      </c>
      <c r="C23" s="1172"/>
      <c r="D23" s="1172"/>
      <c r="E23" s="1173" t="str">
        <f>IF('Multi Property Deal'!$M$55="","",'Multi Property Deal'!$M$55)</f>
        <v/>
      </c>
      <c r="F23" s="1173"/>
      <c r="G23" s="1173"/>
      <c r="H23" s="1172" t="str">
        <f>IF('Multi Property Deal'!$P$55="","",'Multi Property Deal'!$P$55)</f>
        <v/>
      </c>
      <c r="I23" s="1172"/>
      <c r="J23" s="1172"/>
      <c r="K23" s="332" t="str">
        <f>IF(B23="","",IF(SUM('Multi Property Deal'!$R$55:$R$57)=0,0,SUM('Multi Property Deal'!$R$55:$R$57)))</f>
        <v/>
      </c>
    </row>
    <row r="24" spans="2:11" x14ac:dyDescent="0.25">
      <c r="B24" s="1172" t="str">
        <f>IF('Multi Property Deal'!$B$58="","",'Multi Property Deal'!$B$58)</f>
        <v/>
      </c>
      <c r="C24" s="1172"/>
      <c r="D24" s="1172"/>
      <c r="E24" s="1173" t="str">
        <f>IF('Multi Property Deal'!$M$58="","",'Multi Property Deal'!$M$58)</f>
        <v/>
      </c>
      <c r="F24" s="1173"/>
      <c r="G24" s="1173"/>
      <c r="H24" s="1172" t="str">
        <f>IF('Multi Property Deal'!$P$58="","",'Multi Property Deal'!$P$58)</f>
        <v/>
      </c>
      <c r="I24" s="1172"/>
      <c r="J24" s="1172"/>
      <c r="K24" s="332" t="str">
        <f>IF(B24="","",IF(SUM('Multi Property Deal'!$R$58:$R$60)=0,0,SUM('Multi Property Deal'!$R$58:$R$60)))</f>
        <v/>
      </c>
    </row>
    <row r="25" spans="2:11" x14ac:dyDescent="0.25">
      <c r="B25" s="1172" t="str">
        <f>IF('Multi Property Deal'!$B$61="","",'Multi Property Deal'!$B$61)</f>
        <v/>
      </c>
      <c r="C25" s="1172"/>
      <c r="D25" s="1172"/>
      <c r="E25" s="1173" t="str">
        <f>IF('Multi Property Deal'!$M$61="","",'Multi Property Deal'!$M$61)</f>
        <v/>
      </c>
      <c r="F25" s="1173"/>
      <c r="G25" s="1173"/>
      <c r="H25" s="1172" t="str">
        <f>IF('Multi Property Deal'!$P$61="","",'Multi Property Deal'!$P$61)</f>
        <v/>
      </c>
      <c r="I25" s="1172"/>
      <c r="J25" s="1172"/>
      <c r="K25" s="332" t="str">
        <f>IF(B25="","",IF(SUM('Multi Property Deal'!$R$61:$R$63)=0,0,SUM('Multi Property Deal'!$R$61:$R$63)))</f>
        <v/>
      </c>
    </row>
  </sheetData>
  <mergeCells count="63">
    <mergeCell ref="B25:D25"/>
    <mergeCell ref="E25:G25"/>
    <mergeCell ref="H25:J25"/>
    <mergeCell ref="B23:D23"/>
    <mergeCell ref="E23:G23"/>
    <mergeCell ref="H23:J23"/>
    <mergeCell ref="B24:D24"/>
    <mergeCell ref="E24:G24"/>
    <mergeCell ref="H24:J24"/>
    <mergeCell ref="B21:D21"/>
    <mergeCell ref="E21:G21"/>
    <mergeCell ref="H21:J21"/>
    <mergeCell ref="B22:D22"/>
    <mergeCell ref="E22:G22"/>
    <mergeCell ref="H22:J22"/>
    <mergeCell ref="B19:D19"/>
    <mergeCell ref="E19:G19"/>
    <mergeCell ref="H19:J19"/>
    <mergeCell ref="B20:D20"/>
    <mergeCell ref="E20:G20"/>
    <mergeCell ref="H20:J20"/>
    <mergeCell ref="B17:D17"/>
    <mergeCell ref="E17:G17"/>
    <mergeCell ref="H17:J17"/>
    <mergeCell ref="B18:D18"/>
    <mergeCell ref="E18:G18"/>
    <mergeCell ref="H18:J18"/>
    <mergeCell ref="B15:D15"/>
    <mergeCell ref="E15:G15"/>
    <mergeCell ref="H15:J15"/>
    <mergeCell ref="B16:D16"/>
    <mergeCell ref="E16:G16"/>
    <mergeCell ref="H16:J16"/>
    <mergeCell ref="B13:D13"/>
    <mergeCell ref="E13:G13"/>
    <mergeCell ref="H13:J13"/>
    <mergeCell ref="B14:D14"/>
    <mergeCell ref="E14:G14"/>
    <mergeCell ref="H14:J14"/>
    <mergeCell ref="B11:D11"/>
    <mergeCell ref="E11:G11"/>
    <mergeCell ref="H11:J11"/>
    <mergeCell ref="B12:D12"/>
    <mergeCell ref="E12:G12"/>
    <mergeCell ref="H12:J12"/>
    <mergeCell ref="B9:D9"/>
    <mergeCell ref="E9:G9"/>
    <mergeCell ref="H9:J9"/>
    <mergeCell ref="B10:D10"/>
    <mergeCell ref="E10:G10"/>
    <mergeCell ref="H10:J10"/>
    <mergeCell ref="B7:D7"/>
    <mergeCell ref="E7:G7"/>
    <mergeCell ref="H7:J7"/>
    <mergeCell ref="B8:D8"/>
    <mergeCell ref="E8:G8"/>
    <mergeCell ref="H8:J8"/>
    <mergeCell ref="B1:K2"/>
    <mergeCell ref="B5:D5"/>
    <mergeCell ref="E5:F5"/>
    <mergeCell ref="B6:D6"/>
    <mergeCell ref="E6:G6"/>
    <mergeCell ref="H6:J6"/>
  </mergeCells>
  <conditionalFormatting sqref="B6:K25">
    <cfRule type="notContainsBlanks" dxfId="66" priority="2">
      <formula>LEN(TRIM(B6))&gt;0</formula>
    </cfRule>
  </conditionalFormatting>
  <conditionalFormatting sqref="B5:K25">
    <cfRule type="expression" dxfId="65" priority="1">
      <formula>#REF!&lt;&gt;"Multi-Property"</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7391-27A4-4A2D-A6EC-E69D154B29BD}">
  <sheetPr codeName="Sheet5">
    <pageSetUpPr fitToPage="1"/>
  </sheetPr>
  <dimension ref="B1:AR668"/>
  <sheetViews>
    <sheetView showGridLines="0" zoomScaleNormal="100" workbookViewId="0">
      <pane ySplit="8" topLeftCell="A9" activePane="bottomLeft" state="frozen"/>
      <selection activeCell="XFD18" sqref="XFD18"/>
      <selection pane="bottomLeft" activeCell="AO9" sqref="AO9:AR668"/>
    </sheetView>
  </sheetViews>
  <sheetFormatPr defaultRowHeight="15" x14ac:dyDescent="0.25"/>
  <cols>
    <col min="1" max="1" width="2.85546875" style="527" customWidth="1"/>
    <col min="2" max="2" width="9.28515625" style="527" bestFit="1" customWidth="1"/>
    <col min="3" max="3" width="18.7109375" style="790" customWidth="1"/>
    <col min="4" max="4" width="12.85546875" style="790" bestFit="1" customWidth="1"/>
    <col min="5" max="5" width="18" style="791" bestFit="1" customWidth="1"/>
    <col min="6" max="6" width="11.5703125" style="791" bestFit="1" customWidth="1"/>
    <col min="7" max="7" width="13.140625" style="792" bestFit="1" customWidth="1"/>
    <col min="8" max="8" width="17.85546875" style="792" bestFit="1" customWidth="1"/>
    <col min="9" max="9" width="17.85546875" style="792" customWidth="1"/>
    <col min="10" max="10" width="18.85546875" style="793" customWidth="1"/>
    <col min="11" max="11" width="17.42578125" style="793" customWidth="1"/>
    <col min="12" max="12" width="14.140625" style="791" customWidth="1"/>
    <col min="13" max="13" width="19.85546875" style="794" bestFit="1" customWidth="1"/>
    <col min="14" max="16" width="19.85546875" style="794" customWidth="1"/>
    <col min="17" max="17" width="18.85546875" style="793" bestFit="1" customWidth="1"/>
    <col min="18" max="19" width="18.85546875" style="793" customWidth="1"/>
    <col min="20" max="20" width="18.85546875" style="794" customWidth="1"/>
    <col min="21" max="22" width="18.85546875" style="793" customWidth="1"/>
    <col min="23" max="25" width="20.42578125" style="793" bestFit="1" customWidth="1"/>
    <col min="26" max="26" width="18.85546875" style="793" customWidth="1"/>
    <col min="27" max="27" width="19.7109375" style="793" bestFit="1" customWidth="1"/>
    <col min="28" max="28" width="19.28515625" style="795" customWidth="1"/>
    <col min="29" max="29" width="19.85546875" style="791" customWidth="1"/>
    <col min="30" max="30" width="18.85546875" style="794" customWidth="1"/>
    <col min="31" max="31" width="18.85546875" style="793" customWidth="1"/>
    <col min="32" max="32" width="15.42578125" style="793" bestFit="1" customWidth="1"/>
    <col min="33" max="33" width="17.85546875" style="794" customWidth="1"/>
    <col min="34" max="34" width="20.42578125" style="796" bestFit="1" customWidth="1"/>
    <col min="35" max="35" width="10.85546875" style="796" customWidth="1"/>
    <col min="36" max="36" width="19.85546875" style="796" bestFit="1" customWidth="1"/>
    <col min="37" max="38" width="19.85546875" style="794" bestFit="1" customWidth="1"/>
    <col min="39" max="39" width="19.85546875" style="794" customWidth="1"/>
    <col min="40" max="40" width="15.140625" style="794" bestFit="1" customWidth="1"/>
    <col min="41" max="41" width="13.140625" style="797" bestFit="1" customWidth="1"/>
    <col min="42" max="42" width="12.5703125" style="797" customWidth="1"/>
    <col min="43" max="43" width="12.28515625" style="527" customWidth="1"/>
    <col min="44" max="44" width="9.140625" style="539"/>
    <col min="45" max="16384" width="9.140625" style="527"/>
  </cols>
  <sheetData>
    <row r="1" spans="2:44" x14ac:dyDescent="0.25">
      <c r="T1" s="793"/>
      <c r="AA1" s="795"/>
      <c r="AB1" s="791"/>
      <c r="AC1" s="794"/>
      <c r="AD1" s="793"/>
      <c r="AF1" s="794"/>
      <c r="AG1" s="796"/>
      <c r="AJ1" s="794"/>
      <c r="AN1" s="797"/>
      <c r="AP1" s="527"/>
      <c r="AR1" s="527"/>
    </row>
    <row r="2" spans="2:44" ht="15.75" thickBot="1" x14ac:dyDescent="0.3">
      <c r="T2" s="793"/>
      <c r="AA2" s="795"/>
      <c r="AB2" s="791"/>
      <c r="AC2" s="794"/>
      <c r="AD2" s="793"/>
      <c r="AF2" s="794"/>
      <c r="AG2" s="796"/>
      <c r="AJ2" s="794"/>
      <c r="AN2" s="797"/>
      <c r="AP2" s="527"/>
      <c r="AR2" s="527"/>
    </row>
    <row r="3" spans="2:44" s="528" customFormat="1" ht="60" customHeight="1" thickBot="1" x14ac:dyDescent="0.4">
      <c r="B3" s="798"/>
      <c r="C3" s="799"/>
      <c r="D3" s="799"/>
      <c r="E3" s="796"/>
      <c r="F3" s="796"/>
      <c r="G3" s="800"/>
      <c r="H3" s="800"/>
      <c r="I3" s="800"/>
      <c r="J3" s="801"/>
      <c r="K3" s="801"/>
      <c r="L3" s="796"/>
      <c r="M3" s="802" t="s">
        <v>508</v>
      </c>
      <c r="N3" s="803" t="s">
        <v>509</v>
      </c>
      <c r="O3" s="804" t="s">
        <v>87</v>
      </c>
      <c r="P3" s="804" t="s">
        <v>510</v>
      </c>
      <c r="Q3" s="804" t="s">
        <v>511</v>
      </c>
      <c r="R3" s="805" t="s">
        <v>45</v>
      </c>
      <c r="S3" s="806" t="s">
        <v>512</v>
      </c>
      <c r="T3" s="806" t="s">
        <v>513</v>
      </c>
      <c r="U3" s="806" t="s">
        <v>514</v>
      </c>
      <c r="V3" s="807" t="s">
        <v>515</v>
      </c>
      <c r="W3" s="808" t="s">
        <v>0</v>
      </c>
      <c r="X3" s="809" t="s">
        <v>516</v>
      </c>
      <c r="Y3" s="803" t="s">
        <v>517</v>
      </c>
      <c r="Z3" s="810" t="s">
        <v>518</v>
      </c>
      <c r="AA3" s="811" t="s">
        <v>519</v>
      </c>
      <c r="AC3" s="625"/>
    </row>
    <row r="4" spans="2:44" s="827" customFormat="1" ht="60.75" customHeight="1" thickBot="1" x14ac:dyDescent="0.4">
      <c r="B4" s="812"/>
      <c r="C4" s="813"/>
      <c r="D4" s="813"/>
      <c r="E4" s="814"/>
      <c r="F4" s="814"/>
      <c r="G4" s="801"/>
      <c r="H4" s="801"/>
      <c r="I4" s="801"/>
      <c r="J4" s="801"/>
      <c r="K4" s="801"/>
      <c r="L4" s="814"/>
      <c r="M4" s="815">
        <f>SUM(L9:L174)</f>
        <v>0</v>
      </c>
      <c r="N4" s="816">
        <f>SUM(P9:P174)</f>
        <v>0</v>
      </c>
      <c r="O4" s="817">
        <v>0.75</v>
      </c>
      <c r="P4" s="818">
        <f>AVERAGE(AD9:AD174)</f>
        <v>0</v>
      </c>
      <c r="Q4" s="819">
        <f>AVERAGE(AE9:AE174)</f>
        <v>0</v>
      </c>
      <c r="R4" s="820">
        <v>24</v>
      </c>
      <c r="S4" s="821">
        <v>1.2500000000000001E-2</v>
      </c>
      <c r="T4" s="821">
        <v>8.2400000000000001E-2</v>
      </c>
      <c r="U4" s="821">
        <v>0.02</v>
      </c>
      <c r="V4" s="822">
        <v>9</v>
      </c>
      <c r="W4" s="816">
        <f>SUM(AK9:AK174)</f>
        <v>0</v>
      </c>
      <c r="X4" s="816">
        <f>SUM(AL9:AL174)</f>
        <v>0</v>
      </c>
      <c r="Y4" s="816">
        <f>SUM(AM9:AM174)</f>
        <v>0</v>
      </c>
      <c r="Z4" s="823">
        <f>IFERROR(Y4/M4,0)</f>
        <v>0</v>
      </c>
      <c r="AA4" s="824">
        <f>T4-U4</f>
        <v>6.2399999999999997E-2</v>
      </c>
      <c r="AB4" s="825"/>
      <c r="AC4" s="826"/>
    </row>
    <row r="5" spans="2:44" x14ac:dyDescent="0.25">
      <c r="T5" s="793"/>
      <c r="AA5" s="795"/>
      <c r="AB5" s="791"/>
      <c r="AC5" s="794"/>
      <c r="AD5" s="793"/>
      <c r="AF5" s="794"/>
      <c r="AG5" s="796"/>
      <c r="AJ5" s="794"/>
      <c r="AN5" s="797"/>
      <c r="AP5" s="527"/>
      <c r="AR5" s="527"/>
    </row>
    <row r="6" spans="2:44" ht="21" customHeight="1" x14ac:dyDescent="0.35">
      <c r="B6" s="1175" t="s">
        <v>520</v>
      </c>
      <c r="C6" s="1175"/>
      <c r="D6" s="1175"/>
      <c r="E6" s="1175"/>
      <c r="F6" s="1175"/>
      <c r="G6" s="1175"/>
      <c r="H6" s="1175"/>
      <c r="I6" s="1175"/>
      <c r="J6" s="1175"/>
      <c r="K6" s="1175"/>
      <c r="L6" s="1175"/>
      <c r="M6" s="1175"/>
      <c r="N6" s="1175"/>
      <c r="O6" s="1175"/>
      <c r="P6" s="1175"/>
      <c r="Q6" s="1175"/>
      <c r="R6" s="1175"/>
      <c r="S6" s="1175"/>
      <c r="T6" s="1175"/>
      <c r="U6" s="1175"/>
      <c r="V6" s="1175"/>
      <c r="W6" s="1175"/>
      <c r="X6" s="1175"/>
      <c r="Y6" s="1175"/>
      <c r="Z6" s="1175"/>
      <c r="AA6" s="1175"/>
      <c r="AB6" s="1175"/>
      <c r="AC6" s="1174" t="s">
        <v>521</v>
      </c>
      <c r="AD6" s="1174"/>
      <c r="AE6" s="1174"/>
      <c r="AF6" s="1174"/>
      <c r="AG6" s="1174"/>
      <c r="AH6" s="1174"/>
      <c r="AI6" s="1174"/>
      <c r="AJ6" s="1174"/>
      <c r="AK6" s="1174"/>
      <c r="AL6" s="1174"/>
      <c r="AM6" s="1174"/>
      <c r="AN6" s="1174"/>
      <c r="AO6" s="1174"/>
      <c r="AP6" s="1174"/>
      <c r="AQ6" s="1174"/>
      <c r="AR6" s="1174"/>
    </row>
    <row r="7" spans="2:44" ht="14.25" customHeight="1" thickBot="1" x14ac:dyDescent="0.3">
      <c r="B7" s="897"/>
      <c r="C7" s="898"/>
      <c r="D7" s="898"/>
      <c r="E7" s="899"/>
      <c r="F7" s="899"/>
      <c r="G7" s="900"/>
      <c r="H7" s="900"/>
      <c r="I7" s="900"/>
      <c r="J7" s="901"/>
      <c r="K7" s="901"/>
      <c r="L7" s="899"/>
      <c r="M7" s="902"/>
      <c r="N7" s="902"/>
      <c r="O7" s="902"/>
      <c r="P7" s="902"/>
      <c r="Q7" s="901"/>
      <c r="R7" s="901"/>
      <c r="S7" s="901"/>
      <c r="T7" s="901"/>
      <c r="U7" s="901"/>
      <c r="V7" s="901"/>
      <c r="W7" s="901"/>
      <c r="X7" s="901"/>
      <c r="Y7" s="901"/>
      <c r="Z7" s="901"/>
      <c r="AA7" s="903"/>
      <c r="AB7" s="791"/>
      <c r="AC7" s="794"/>
      <c r="AD7" s="793"/>
      <c r="AF7" s="794"/>
      <c r="AG7" s="796"/>
      <c r="AJ7" s="794"/>
      <c r="AN7" s="797"/>
      <c r="AP7" s="527"/>
      <c r="AR7" s="527"/>
    </row>
    <row r="8" spans="2:44" s="834" customFormat="1" ht="53.25" customHeight="1" thickBot="1" x14ac:dyDescent="0.3">
      <c r="B8" s="908" t="s">
        <v>522</v>
      </c>
      <c r="C8" s="909" t="s">
        <v>523</v>
      </c>
      <c r="D8" s="909" t="s">
        <v>34</v>
      </c>
      <c r="E8" s="909" t="s">
        <v>524</v>
      </c>
      <c r="F8" s="909" t="s">
        <v>525</v>
      </c>
      <c r="G8" s="909" t="s">
        <v>526</v>
      </c>
      <c r="H8" s="909" t="s">
        <v>527</v>
      </c>
      <c r="I8" s="910" t="s">
        <v>529</v>
      </c>
      <c r="J8" s="910" t="s">
        <v>530</v>
      </c>
      <c r="K8" s="910" t="s">
        <v>531</v>
      </c>
      <c r="L8" s="911" t="s">
        <v>532</v>
      </c>
      <c r="M8" s="911" t="s">
        <v>1324</v>
      </c>
      <c r="N8" s="911" t="s">
        <v>533</v>
      </c>
      <c r="O8" s="911" t="s">
        <v>534</v>
      </c>
      <c r="P8" s="910" t="s">
        <v>536</v>
      </c>
      <c r="Q8" s="912" t="s">
        <v>537</v>
      </c>
      <c r="R8" s="912" t="s">
        <v>538</v>
      </c>
      <c r="S8" s="913" t="s">
        <v>1325</v>
      </c>
      <c r="T8" s="909" t="s">
        <v>528</v>
      </c>
      <c r="U8" s="911" t="s">
        <v>535</v>
      </c>
      <c r="V8" s="912" t="s">
        <v>539</v>
      </c>
      <c r="W8" s="912" t="s">
        <v>540</v>
      </c>
      <c r="X8" s="912" t="s">
        <v>541</v>
      </c>
      <c r="Y8" s="912" t="s">
        <v>542</v>
      </c>
      <c r="Z8" s="912" t="s">
        <v>543</v>
      </c>
      <c r="AA8" s="912" t="s">
        <v>544</v>
      </c>
      <c r="AB8" s="912" t="s">
        <v>545</v>
      </c>
      <c r="AC8" s="828" t="s">
        <v>546</v>
      </c>
      <c r="AD8" s="829" t="s">
        <v>510</v>
      </c>
      <c r="AE8" s="829" t="s">
        <v>511</v>
      </c>
      <c r="AF8" s="829" t="s">
        <v>547</v>
      </c>
      <c r="AG8" s="829" t="s">
        <v>548</v>
      </c>
      <c r="AH8" s="830" t="s">
        <v>27</v>
      </c>
      <c r="AI8" s="830" t="s">
        <v>549</v>
      </c>
      <c r="AJ8" s="830" t="s">
        <v>515</v>
      </c>
      <c r="AK8" s="829" t="s">
        <v>0</v>
      </c>
      <c r="AL8" s="829" t="s">
        <v>18</v>
      </c>
      <c r="AM8" s="829" t="s">
        <v>550</v>
      </c>
      <c r="AN8" s="829" t="s">
        <v>551</v>
      </c>
      <c r="AO8" s="831" t="s">
        <v>552</v>
      </c>
      <c r="AP8" s="832" t="s">
        <v>519</v>
      </c>
      <c r="AQ8" s="833" t="s">
        <v>1306</v>
      </c>
      <c r="AR8" s="833" t="s">
        <v>553</v>
      </c>
    </row>
    <row r="9" spans="2:44" s="798" customFormat="1" ht="30" customHeight="1" thickBot="1" x14ac:dyDescent="0.3">
      <c r="B9" s="835"/>
      <c r="C9" s="836"/>
      <c r="D9" s="836"/>
      <c r="E9" s="837"/>
      <c r="F9" s="837"/>
      <c r="G9" s="838"/>
      <c r="H9" s="838"/>
      <c r="I9" s="839"/>
      <c r="J9" s="839"/>
      <c r="K9" s="840"/>
      <c r="L9" s="841"/>
      <c r="M9" s="841"/>
      <c r="N9" s="842"/>
      <c r="O9" s="842"/>
      <c r="P9" s="843"/>
      <c r="Q9" s="843"/>
      <c r="R9" s="843"/>
      <c r="S9" s="844">
        <f>IFERROR(M9/L9,0)</f>
        <v>0</v>
      </c>
      <c r="T9" s="838"/>
      <c r="U9" s="842"/>
      <c r="V9" s="843"/>
      <c r="W9" s="843"/>
      <c r="X9" s="843"/>
      <c r="Y9" s="843"/>
      <c r="Z9" s="843"/>
      <c r="AA9" s="837"/>
      <c r="AB9" s="837"/>
      <c r="AC9" s="845">
        <f>IFERROR(L9/K9,0)</f>
        <v>0</v>
      </c>
      <c r="AD9" s="846">
        <f>IFERROR(P9*12/L9,0)</f>
        <v>0</v>
      </c>
      <c r="AE9" s="847">
        <f>IFERROR(P9*12/K9,0)</f>
        <v>0</v>
      </c>
      <c r="AF9" s="847">
        <f t="shared" ref="AF9:AF72" si="0">SUM($Q9:$W9)</f>
        <v>0</v>
      </c>
      <c r="AG9" s="848">
        <f>IF('Input Sheet'!$C$15="Yes",'Input Sheet'!$F$8,0)</f>
        <v>0</v>
      </c>
      <c r="AH9" s="846">
        <f>IF('Input Sheet'!$C$15="Yes",Rates!$E$45,0)</f>
        <v>0</v>
      </c>
      <c r="AI9" s="849">
        <f>IF('Input Sheet'!$C$15="Yes",'Input Sheet'!$F$11,0)</f>
        <v>0</v>
      </c>
      <c r="AJ9" s="850">
        <f>IF('Input Sheet'!$C$15="Yes",'Input Sheet'!$F$7,0)</f>
        <v>0</v>
      </c>
      <c r="AK9" s="851">
        <f t="shared" ref="AK9:AK72" si="1">L9*S9</f>
        <v>0</v>
      </c>
      <c r="AL9" s="851">
        <f t="shared" ref="AL9:AL72" si="2">(AK9)-(AK9*AH9)-(AK9*AP9*(AJ9/12))</f>
        <v>0</v>
      </c>
      <c r="AM9" s="851">
        <f>(AL9)+(AK9*0.75%)</f>
        <v>0</v>
      </c>
      <c r="AN9" s="851">
        <f>AK9*AP9*AJ9/12</f>
        <v>0</v>
      </c>
      <c r="AO9" s="852">
        <f>IFERROR(AM9/L9,0)</f>
        <v>0</v>
      </c>
      <c r="AP9" s="853">
        <f t="shared" ref="AP9" si="3">AI9</f>
        <v>0</v>
      </c>
      <c r="AQ9" s="854">
        <f>IFERROR(P9*'Input Sheet'!$F$8/(((AI9)*AK9*2)-AN9),0)</f>
        <v>0</v>
      </c>
      <c r="AR9" s="854">
        <f>IFERROR(($P9-$AF9)*'Input Sheet'!$F$8/(((AI9)*AK9*2)-AN9),0)</f>
        <v>0</v>
      </c>
    </row>
    <row r="10" spans="2:44" s="798" customFormat="1" ht="30" customHeight="1" thickBot="1" x14ac:dyDescent="0.3">
      <c r="B10" s="835"/>
      <c r="C10" s="836"/>
      <c r="D10" s="836"/>
      <c r="E10" s="837"/>
      <c r="F10" s="837"/>
      <c r="G10" s="838"/>
      <c r="H10" s="838"/>
      <c r="I10" s="839"/>
      <c r="J10" s="839"/>
      <c r="K10" s="840"/>
      <c r="L10" s="841"/>
      <c r="M10" s="841"/>
      <c r="N10" s="842"/>
      <c r="O10" s="842"/>
      <c r="P10" s="843"/>
      <c r="Q10" s="843"/>
      <c r="R10" s="843"/>
      <c r="S10" s="844">
        <f t="shared" ref="S10:S73" si="4">IFERROR(M10/L10,0)</f>
        <v>0</v>
      </c>
      <c r="T10" s="838"/>
      <c r="U10" s="842"/>
      <c r="V10" s="843"/>
      <c r="W10" s="843"/>
      <c r="X10" s="843"/>
      <c r="Y10" s="843"/>
      <c r="Z10" s="843"/>
      <c r="AA10" s="837"/>
      <c r="AB10" s="837"/>
      <c r="AC10" s="845">
        <f t="shared" ref="AC10:AC73" si="5">IFERROR(L10/K10,0)</f>
        <v>0</v>
      </c>
      <c r="AD10" s="846">
        <f t="shared" ref="AD10:AD73" si="6">IFERROR(P10*12/L10,0)</f>
        <v>0</v>
      </c>
      <c r="AE10" s="847">
        <f t="shared" ref="AE10:AE73" si="7">IFERROR(P10*12/K10,0)</f>
        <v>0</v>
      </c>
      <c r="AF10" s="855">
        <f t="shared" si="0"/>
        <v>0</v>
      </c>
      <c r="AG10" s="848">
        <f>IF('Input Sheet'!$C$15="Yes",'Input Sheet'!$F$8,0)</f>
        <v>0</v>
      </c>
      <c r="AH10" s="846">
        <f>IF('Input Sheet'!$C$15="Yes",Rates!$E$45,0)</f>
        <v>0</v>
      </c>
      <c r="AI10" s="849">
        <f>IF('Input Sheet'!$C$15="Yes",'Input Sheet'!$F$11,0)</f>
        <v>0</v>
      </c>
      <c r="AJ10" s="850">
        <f>IF('Input Sheet'!$C$15="Yes",'Input Sheet'!$F$7,0)</f>
        <v>0</v>
      </c>
      <c r="AK10" s="856">
        <f t="shared" si="1"/>
        <v>0</v>
      </c>
      <c r="AL10" s="856">
        <f t="shared" si="2"/>
        <v>0</v>
      </c>
      <c r="AM10" s="856">
        <f t="shared" ref="AM10:AM73" si="8">(AL10)+(AK10*0.75%)</f>
        <v>0</v>
      </c>
      <c r="AN10" s="856">
        <f t="shared" ref="AN10:AN72" si="9">AK10*AP10*AJ10/12</f>
        <v>0</v>
      </c>
      <c r="AO10" s="852">
        <f t="shared" ref="AO10:AO73" si="10">IFERROR(AM10/L10,0)</f>
        <v>0</v>
      </c>
      <c r="AP10" s="853">
        <f t="shared" ref="AP10:AP73" si="11">AI10</f>
        <v>0</v>
      </c>
      <c r="AQ10" s="854">
        <f>IFERROR(P10*'Input Sheet'!$F$8/(((AI10)*AK10*2)-AN10),0)</f>
        <v>0</v>
      </c>
      <c r="AR10" s="854">
        <f>IFERROR(($P10-$AF10)*'Input Sheet'!$F$8/(((AI10)*AK10*2)-AN10),0)</f>
        <v>0</v>
      </c>
    </row>
    <row r="11" spans="2:44" s="798" customFormat="1" ht="30" customHeight="1" thickBot="1" x14ac:dyDescent="0.3">
      <c r="B11" s="835"/>
      <c r="C11" s="836"/>
      <c r="D11" s="836"/>
      <c r="E11" s="837"/>
      <c r="F11" s="837"/>
      <c r="G11" s="838"/>
      <c r="H11" s="838"/>
      <c r="I11" s="839"/>
      <c r="J11" s="839"/>
      <c r="K11" s="840"/>
      <c r="L11" s="841"/>
      <c r="M11" s="841"/>
      <c r="N11" s="842"/>
      <c r="O11" s="842"/>
      <c r="P11" s="843"/>
      <c r="Q11" s="843"/>
      <c r="R11" s="843"/>
      <c r="S11" s="844">
        <f t="shared" si="4"/>
        <v>0</v>
      </c>
      <c r="T11" s="838"/>
      <c r="U11" s="842"/>
      <c r="V11" s="843"/>
      <c r="W11" s="843"/>
      <c r="X11" s="843"/>
      <c r="Y11" s="843"/>
      <c r="Z11" s="843"/>
      <c r="AA11" s="837"/>
      <c r="AB11" s="837"/>
      <c r="AC11" s="845">
        <f t="shared" si="5"/>
        <v>0</v>
      </c>
      <c r="AD11" s="846">
        <f t="shared" si="6"/>
        <v>0</v>
      </c>
      <c r="AE11" s="847">
        <f t="shared" si="7"/>
        <v>0</v>
      </c>
      <c r="AF11" s="855">
        <f t="shared" si="0"/>
        <v>0</v>
      </c>
      <c r="AG11" s="848">
        <f>IF('Input Sheet'!$C$15="Yes",'Input Sheet'!$F$8,0)</f>
        <v>0</v>
      </c>
      <c r="AH11" s="846">
        <f>IF('Input Sheet'!$C$15="Yes",Rates!$E$45,0)</f>
        <v>0</v>
      </c>
      <c r="AI11" s="849">
        <f>IF('Input Sheet'!$C$15="Yes",'Input Sheet'!$F$11,0)</f>
        <v>0</v>
      </c>
      <c r="AJ11" s="850">
        <f>IF('Input Sheet'!$C$15="Yes",'Input Sheet'!$F$7,0)</f>
        <v>0</v>
      </c>
      <c r="AK11" s="856">
        <f t="shared" si="1"/>
        <v>0</v>
      </c>
      <c r="AL11" s="856">
        <f t="shared" si="2"/>
        <v>0</v>
      </c>
      <c r="AM11" s="856">
        <f t="shared" si="8"/>
        <v>0</v>
      </c>
      <c r="AN11" s="856">
        <f t="shared" si="9"/>
        <v>0</v>
      </c>
      <c r="AO11" s="852">
        <f t="shared" si="10"/>
        <v>0</v>
      </c>
      <c r="AP11" s="853">
        <f t="shared" si="11"/>
        <v>0</v>
      </c>
      <c r="AQ11" s="854">
        <f>IFERROR(P11*'Input Sheet'!$F$8/(((AI11)*AK11*2)-AN11),0)</f>
        <v>0</v>
      </c>
      <c r="AR11" s="854">
        <f>IFERROR(($P11-$AF11)*'Input Sheet'!$F$8/(((AI11)*AK11*2)-AN11),0)</f>
        <v>0</v>
      </c>
    </row>
    <row r="12" spans="2:44" s="798" customFormat="1" ht="30" customHeight="1" thickBot="1" x14ac:dyDescent="0.3">
      <c r="B12" s="835"/>
      <c r="C12" s="836"/>
      <c r="D12" s="836"/>
      <c r="E12" s="837"/>
      <c r="F12" s="837"/>
      <c r="G12" s="838"/>
      <c r="H12" s="838"/>
      <c r="I12" s="839"/>
      <c r="J12" s="839"/>
      <c r="K12" s="840"/>
      <c r="L12" s="841"/>
      <c r="M12" s="841"/>
      <c r="N12" s="842"/>
      <c r="O12" s="842"/>
      <c r="P12" s="843"/>
      <c r="Q12" s="843"/>
      <c r="R12" s="843"/>
      <c r="S12" s="844">
        <f t="shared" si="4"/>
        <v>0</v>
      </c>
      <c r="T12" s="838"/>
      <c r="U12" s="842"/>
      <c r="V12" s="843"/>
      <c r="W12" s="843"/>
      <c r="X12" s="843"/>
      <c r="Y12" s="843"/>
      <c r="Z12" s="843"/>
      <c r="AA12" s="837"/>
      <c r="AB12" s="837"/>
      <c r="AC12" s="845">
        <f t="shared" si="5"/>
        <v>0</v>
      </c>
      <c r="AD12" s="846">
        <f t="shared" si="6"/>
        <v>0</v>
      </c>
      <c r="AE12" s="847">
        <f t="shared" si="7"/>
        <v>0</v>
      </c>
      <c r="AF12" s="855">
        <f t="shared" si="0"/>
        <v>0</v>
      </c>
      <c r="AG12" s="848">
        <f>IF('Input Sheet'!$C$15="Yes",'Input Sheet'!$F$8,0)</f>
        <v>0</v>
      </c>
      <c r="AH12" s="846">
        <f>IF('Input Sheet'!$C$15="Yes",Rates!$E$45,0)</f>
        <v>0</v>
      </c>
      <c r="AI12" s="849">
        <f>IF('Input Sheet'!$C$15="Yes",'Input Sheet'!$F$11,0)</f>
        <v>0</v>
      </c>
      <c r="AJ12" s="850">
        <f>IF('Input Sheet'!$C$15="Yes",'Input Sheet'!$F$7,0)</f>
        <v>0</v>
      </c>
      <c r="AK12" s="856">
        <f t="shared" si="1"/>
        <v>0</v>
      </c>
      <c r="AL12" s="856">
        <f t="shared" si="2"/>
        <v>0</v>
      </c>
      <c r="AM12" s="856">
        <f t="shared" si="8"/>
        <v>0</v>
      </c>
      <c r="AN12" s="856">
        <f t="shared" si="9"/>
        <v>0</v>
      </c>
      <c r="AO12" s="852">
        <f t="shared" si="10"/>
        <v>0</v>
      </c>
      <c r="AP12" s="853">
        <f t="shared" si="11"/>
        <v>0</v>
      </c>
      <c r="AQ12" s="854">
        <f>IFERROR(P12*'Input Sheet'!$F$8/(((AI12)*AK12*2)-AN12),0)</f>
        <v>0</v>
      </c>
      <c r="AR12" s="854">
        <f>IFERROR(($P12-$AF12)*'Input Sheet'!$F$8/(((AI12)*AK12*2)-AN12),0)</f>
        <v>0</v>
      </c>
    </row>
    <row r="13" spans="2:44" s="798" customFormat="1" ht="30" customHeight="1" thickBot="1" x14ac:dyDescent="0.3">
      <c r="B13" s="835"/>
      <c r="C13" s="836"/>
      <c r="D13" s="836"/>
      <c r="E13" s="837"/>
      <c r="F13" s="837"/>
      <c r="G13" s="838"/>
      <c r="H13" s="838"/>
      <c r="I13" s="839"/>
      <c r="J13" s="839"/>
      <c r="K13" s="840"/>
      <c r="L13" s="841"/>
      <c r="M13" s="841"/>
      <c r="N13" s="842"/>
      <c r="O13" s="842"/>
      <c r="P13" s="843"/>
      <c r="Q13" s="843"/>
      <c r="R13" s="843"/>
      <c r="S13" s="844">
        <f t="shared" si="4"/>
        <v>0</v>
      </c>
      <c r="T13" s="838"/>
      <c r="U13" s="842"/>
      <c r="V13" s="843"/>
      <c r="W13" s="843"/>
      <c r="X13" s="843"/>
      <c r="Y13" s="843"/>
      <c r="Z13" s="843"/>
      <c r="AA13" s="837"/>
      <c r="AB13" s="837"/>
      <c r="AC13" s="845">
        <f t="shared" si="5"/>
        <v>0</v>
      </c>
      <c r="AD13" s="846">
        <f t="shared" si="6"/>
        <v>0</v>
      </c>
      <c r="AE13" s="847">
        <f t="shared" si="7"/>
        <v>0</v>
      </c>
      <c r="AF13" s="855">
        <f t="shared" si="0"/>
        <v>0</v>
      </c>
      <c r="AG13" s="848">
        <f>IF('Input Sheet'!$C$15="Yes",'Input Sheet'!$F$8,0)</f>
        <v>0</v>
      </c>
      <c r="AH13" s="846">
        <f>IF('Input Sheet'!$C$15="Yes",Rates!$E$45,0)</f>
        <v>0</v>
      </c>
      <c r="AI13" s="849">
        <f>IF('Input Sheet'!$C$15="Yes",'Input Sheet'!$F$11,0)</f>
        <v>0</v>
      </c>
      <c r="AJ13" s="850">
        <f>IF('Input Sheet'!$C$15="Yes",'Input Sheet'!$F$7,0)</f>
        <v>0</v>
      </c>
      <c r="AK13" s="856">
        <f t="shared" si="1"/>
        <v>0</v>
      </c>
      <c r="AL13" s="856">
        <f t="shared" si="2"/>
        <v>0</v>
      </c>
      <c r="AM13" s="856">
        <f t="shared" si="8"/>
        <v>0</v>
      </c>
      <c r="AN13" s="856">
        <f t="shared" si="9"/>
        <v>0</v>
      </c>
      <c r="AO13" s="852">
        <f t="shared" si="10"/>
        <v>0</v>
      </c>
      <c r="AP13" s="853">
        <f t="shared" si="11"/>
        <v>0</v>
      </c>
      <c r="AQ13" s="854">
        <f>IFERROR(P13*'Input Sheet'!$F$8/(((AI13)*AK13*2)-AN13),0)</f>
        <v>0</v>
      </c>
      <c r="AR13" s="854">
        <f>IFERROR(($P13-$AF13)*'Input Sheet'!$F$8/(((AI13)*AK13*2)-AN13),0)</f>
        <v>0</v>
      </c>
    </row>
    <row r="14" spans="2:44" s="798" customFormat="1" ht="30" customHeight="1" thickBot="1" x14ac:dyDescent="0.3">
      <c r="B14" s="835"/>
      <c r="C14" s="836"/>
      <c r="D14" s="836"/>
      <c r="E14" s="837"/>
      <c r="F14" s="837"/>
      <c r="G14" s="838"/>
      <c r="H14" s="838"/>
      <c r="I14" s="839"/>
      <c r="J14" s="839"/>
      <c r="K14" s="840"/>
      <c r="L14" s="841"/>
      <c r="M14" s="841"/>
      <c r="N14" s="842"/>
      <c r="O14" s="842"/>
      <c r="P14" s="843"/>
      <c r="Q14" s="843"/>
      <c r="R14" s="843"/>
      <c r="S14" s="844">
        <f t="shared" si="4"/>
        <v>0</v>
      </c>
      <c r="T14" s="838"/>
      <c r="U14" s="842"/>
      <c r="V14" s="843"/>
      <c r="W14" s="843"/>
      <c r="X14" s="843"/>
      <c r="Y14" s="843"/>
      <c r="Z14" s="843"/>
      <c r="AA14" s="837"/>
      <c r="AB14" s="837"/>
      <c r="AC14" s="845">
        <f t="shared" si="5"/>
        <v>0</v>
      </c>
      <c r="AD14" s="846">
        <f t="shared" si="6"/>
        <v>0</v>
      </c>
      <c r="AE14" s="847">
        <f t="shared" si="7"/>
        <v>0</v>
      </c>
      <c r="AF14" s="855">
        <f t="shared" si="0"/>
        <v>0</v>
      </c>
      <c r="AG14" s="848">
        <f>IF('Input Sheet'!$C$15="Yes",'Input Sheet'!$F$8,0)</f>
        <v>0</v>
      </c>
      <c r="AH14" s="846">
        <f>IF('Input Sheet'!$C$15="Yes",Rates!$E$45,0)</f>
        <v>0</v>
      </c>
      <c r="AI14" s="849">
        <f>IF('Input Sheet'!$C$15="Yes",'Input Sheet'!$F$11,0)</f>
        <v>0</v>
      </c>
      <c r="AJ14" s="850">
        <f>IF('Input Sheet'!$C$15="Yes",'Input Sheet'!$F$7,0)</f>
        <v>0</v>
      </c>
      <c r="AK14" s="856">
        <f t="shared" si="1"/>
        <v>0</v>
      </c>
      <c r="AL14" s="856">
        <f t="shared" si="2"/>
        <v>0</v>
      </c>
      <c r="AM14" s="856">
        <f t="shared" si="8"/>
        <v>0</v>
      </c>
      <c r="AN14" s="856">
        <f t="shared" si="9"/>
        <v>0</v>
      </c>
      <c r="AO14" s="852">
        <f t="shared" si="10"/>
        <v>0</v>
      </c>
      <c r="AP14" s="853">
        <f t="shared" si="11"/>
        <v>0</v>
      </c>
      <c r="AQ14" s="854">
        <f>IFERROR(P14*'Input Sheet'!$F$8/(((AI14)*AK14*2)-AN14),0)</f>
        <v>0</v>
      </c>
      <c r="AR14" s="854">
        <f>IFERROR(($P14-$AF14)*'Input Sheet'!$F$8/(((AI14)*AK14*2)-AN14),0)</f>
        <v>0</v>
      </c>
    </row>
    <row r="15" spans="2:44" s="798" customFormat="1" ht="30" customHeight="1" thickBot="1" x14ac:dyDescent="0.3">
      <c r="B15" s="835"/>
      <c r="C15" s="836"/>
      <c r="D15" s="836"/>
      <c r="E15" s="837"/>
      <c r="F15" s="837"/>
      <c r="G15" s="838"/>
      <c r="H15" s="838"/>
      <c r="I15" s="839"/>
      <c r="J15" s="839"/>
      <c r="K15" s="840"/>
      <c r="L15" s="841"/>
      <c r="M15" s="841"/>
      <c r="N15" s="842"/>
      <c r="O15" s="842"/>
      <c r="P15" s="843"/>
      <c r="Q15" s="843"/>
      <c r="R15" s="843"/>
      <c r="S15" s="844">
        <f t="shared" si="4"/>
        <v>0</v>
      </c>
      <c r="T15" s="838"/>
      <c r="U15" s="842"/>
      <c r="V15" s="843"/>
      <c r="W15" s="843"/>
      <c r="X15" s="843"/>
      <c r="Y15" s="843"/>
      <c r="Z15" s="843"/>
      <c r="AA15" s="837"/>
      <c r="AB15" s="837"/>
      <c r="AC15" s="845">
        <f t="shared" si="5"/>
        <v>0</v>
      </c>
      <c r="AD15" s="846">
        <f t="shared" si="6"/>
        <v>0</v>
      </c>
      <c r="AE15" s="847">
        <f t="shared" si="7"/>
        <v>0</v>
      </c>
      <c r="AF15" s="855">
        <f t="shared" si="0"/>
        <v>0</v>
      </c>
      <c r="AG15" s="848">
        <f>IF('Input Sheet'!$C$15="Yes",'Input Sheet'!$F$8,0)</f>
        <v>0</v>
      </c>
      <c r="AH15" s="846">
        <f>IF('Input Sheet'!$C$15="Yes",Rates!$E$45,0)</f>
        <v>0</v>
      </c>
      <c r="AI15" s="849">
        <f>IF('Input Sheet'!$C$15="Yes",'Input Sheet'!$F$11,0)</f>
        <v>0</v>
      </c>
      <c r="AJ15" s="850">
        <f>IF('Input Sheet'!$C$15="Yes",'Input Sheet'!$F$7,0)</f>
        <v>0</v>
      </c>
      <c r="AK15" s="856">
        <f t="shared" si="1"/>
        <v>0</v>
      </c>
      <c r="AL15" s="856">
        <f t="shared" si="2"/>
        <v>0</v>
      </c>
      <c r="AM15" s="856">
        <f t="shared" si="8"/>
        <v>0</v>
      </c>
      <c r="AN15" s="856">
        <f t="shared" si="9"/>
        <v>0</v>
      </c>
      <c r="AO15" s="852">
        <f t="shared" si="10"/>
        <v>0</v>
      </c>
      <c r="AP15" s="853">
        <f t="shared" si="11"/>
        <v>0</v>
      </c>
      <c r="AQ15" s="854">
        <f>IFERROR(P15*'Input Sheet'!$F$8/(((AI15)*AK15*2)-AN15),0)</f>
        <v>0</v>
      </c>
      <c r="AR15" s="854">
        <f>IFERROR(($P15-$AF15)*'Input Sheet'!$F$8/(((AI15)*AK15*2)-AN15),0)</f>
        <v>0</v>
      </c>
    </row>
    <row r="16" spans="2:44" s="798" customFormat="1" ht="30" customHeight="1" thickBot="1" x14ac:dyDescent="0.3">
      <c r="B16" s="835"/>
      <c r="C16" s="836"/>
      <c r="D16" s="836"/>
      <c r="E16" s="837"/>
      <c r="F16" s="837"/>
      <c r="G16" s="838"/>
      <c r="H16" s="838"/>
      <c r="I16" s="839"/>
      <c r="J16" s="839"/>
      <c r="K16" s="840"/>
      <c r="L16" s="841"/>
      <c r="M16" s="841"/>
      <c r="N16" s="842"/>
      <c r="O16" s="842"/>
      <c r="P16" s="843"/>
      <c r="Q16" s="843"/>
      <c r="R16" s="843"/>
      <c r="S16" s="844">
        <f t="shared" si="4"/>
        <v>0</v>
      </c>
      <c r="T16" s="838"/>
      <c r="U16" s="842"/>
      <c r="V16" s="843"/>
      <c r="W16" s="843"/>
      <c r="X16" s="843"/>
      <c r="Y16" s="843"/>
      <c r="Z16" s="843"/>
      <c r="AA16" s="837"/>
      <c r="AB16" s="837"/>
      <c r="AC16" s="845">
        <f t="shared" si="5"/>
        <v>0</v>
      </c>
      <c r="AD16" s="846">
        <f t="shared" si="6"/>
        <v>0</v>
      </c>
      <c r="AE16" s="847">
        <f t="shared" si="7"/>
        <v>0</v>
      </c>
      <c r="AF16" s="855">
        <f t="shared" si="0"/>
        <v>0</v>
      </c>
      <c r="AG16" s="848">
        <f>IF('Input Sheet'!$C$15="Yes",'Input Sheet'!$F$8,0)</f>
        <v>0</v>
      </c>
      <c r="AH16" s="846">
        <f>IF('Input Sheet'!$C$15="Yes",Rates!$E$45,0)</f>
        <v>0</v>
      </c>
      <c r="AI16" s="849">
        <f>IF('Input Sheet'!$C$15="Yes",'Input Sheet'!$F$11,0)</f>
        <v>0</v>
      </c>
      <c r="AJ16" s="850">
        <f>IF('Input Sheet'!$C$15="Yes",'Input Sheet'!$F$7,0)</f>
        <v>0</v>
      </c>
      <c r="AK16" s="856">
        <f t="shared" si="1"/>
        <v>0</v>
      </c>
      <c r="AL16" s="856">
        <f t="shared" si="2"/>
        <v>0</v>
      </c>
      <c r="AM16" s="856">
        <f t="shared" si="8"/>
        <v>0</v>
      </c>
      <c r="AN16" s="856">
        <f t="shared" si="9"/>
        <v>0</v>
      </c>
      <c r="AO16" s="852">
        <f t="shared" si="10"/>
        <v>0</v>
      </c>
      <c r="AP16" s="853">
        <f t="shared" si="11"/>
        <v>0</v>
      </c>
      <c r="AQ16" s="854">
        <f>IFERROR(P16*'Input Sheet'!$F$8/(((AI16)*AK16*2)-AN16),0)</f>
        <v>0</v>
      </c>
      <c r="AR16" s="854">
        <f>IFERROR(($P16-$AF16)*'Input Sheet'!$F$8/(((AI16)*AK16*2)-AN16),0)</f>
        <v>0</v>
      </c>
    </row>
    <row r="17" spans="2:44" s="798" customFormat="1" ht="30" customHeight="1" thickBot="1" x14ac:dyDescent="0.3">
      <c r="B17" s="835"/>
      <c r="C17" s="836"/>
      <c r="D17" s="836"/>
      <c r="E17" s="837"/>
      <c r="F17" s="837"/>
      <c r="G17" s="838"/>
      <c r="H17" s="838"/>
      <c r="I17" s="839"/>
      <c r="J17" s="839"/>
      <c r="K17" s="840"/>
      <c r="L17" s="841"/>
      <c r="M17" s="841"/>
      <c r="N17" s="842"/>
      <c r="O17" s="842"/>
      <c r="P17" s="843"/>
      <c r="Q17" s="843"/>
      <c r="R17" s="843"/>
      <c r="S17" s="844">
        <f t="shared" si="4"/>
        <v>0</v>
      </c>
      <c r="T17" s="838"/>
      <c r="U17" s="842"/>
      <c r="V17" s="843"/>
      <c r="W17" s="843"/>
      <c r="X17" s="843"/>
      <c r="Y17" s="843"/>
      <c r="Z17" s="843"/>
      <c r="AA17" s="837"/>
      <c r="AB17" s="837"/>
      <c r="AC17" s="845">
        <f t="shared" si="5"/>
        <v>0</v>
      </c>
      <c r="AD17" s="846">
        <f t="shared" si="6"/>
        <v>0</v>
      </c>
      <c r="AE17" s="847">
        <f t="shared" si="7"/>
        <v>0</v>
      </c>
      <c r="AF17" s="855">
        <f t="shared" si="0"/>
        <v>0</v>
      </c>
      <c r="AG17" s="848">
        <f>IF('Input Sheet'!$C$15="Yes",'Input Sheet'!$F$8,0)</f>
        <v>0</v>
      </c>
      <c r="AH17" s="846">
        <f>IF('Input Sheet'!$C$15="Yes",Rates!$E$45,0)</f>
        <v>0</v>
      </c>
      <c r="AI17" s="849">
        <f>IF('Input Sheet'!$C$15="Yes",'Input Sheet'!$F$11,0)</f>
        <v>0</v>
      </c>
      <c r="AJ17" s="850">
        <f>IF('Input Sheet'!$C$15="Yes",'Input Sheet'!$F$7,0)</f>
        <v>0</v>
      </c>
      <c r="AK17" s="856">
        <f t="shared" si="1"/>
        <v>0</v>
      </c>
      <c r="AL17" s="856">
        <f t="shared" si="2"/>
        <v>0</v>
      </c>
      <c r="AM17" s="856">
        <f t="shared" si="8"/>
        <v>0</v>
      </c>
      <c r="AN17" s="856">
        <f t="shared" si="9"/>
        <v>0</v>
      </c>
      <c r="AO17" s="852">
        <f t="shared" si="10"/>
        <v>0</v>
      </c>
      <c r="AP17" s="853">
        <f t="shared" si="11"/>
        <v>0</v>
      </c>
      <c r="AQ17" s="854">
        <f>IFERROR(P17*'Input Sheet'!$F$8/(((AI17)*AK17*2)-AN17),0)</f>
        <v>0</v>
      </c>
      <c r="AR17" s="854">
        <f>IFERROR(($P17-$AF17)*'Input Sheet'!$F$8/(((AI17)*AK17*2)-AN17),0)</f>
        <v>0</v>
      </c>
    </row>
    <row r="18" spans="2:44" s="798" customFormat="1" ht="30" customHeight="1" thickBot="1" x14ac:dyDescent="0.3">
      <c r="B18" s="835"/>
      <c r="C18" s="836"/>
      <c r="D18" s="836"/>
      <c r="E18" s="837"/>
      <c r="F18" s="837"/>
      <c r="G18" s="838"/>
      <c r="H18" s="838"/>
      <c r="I18" s="839"/>
      <c r="J18" s="839"/>
      <c r="K18" s="840"/>
      <c r="L18" s="841"/>
      <c r="M18" s="841"/>
      <c r="N18" s="842"/>
      <c r="O18" s="842"/>
      <c r="P18" s="843"/>
      <c r="Q18" s="843"/>
      <c r="R18" s="843"/>
      <c r="S18" s="844">
        <f t="shared" si="4"/>
        <v>0</v>
      </c>
      <c r="T18" s="838"/>
      <c r="U18" s="842"/>
      <c r="V18" s="843"/>
      <c r="W18" s="843"/>
      <c r="X18" s="843"/>
      <c r="Y18" s="843"/>
      <c r="Z18" s="843"/>
      <c r="AA18" s="837"/>
      <c r="AB18" s="837"/>
      <c r="AC18" s="845">
        <f t="shared" si="5"/>
        <v>0</v>
      </c>
      <c r="AD18" s="846">
        <f t="shared" si="6"/>
        <v>0</v>
      </c>
      <c r="AE18" s="847">
        <f t="shared" si="7"/>
        <v>0</v>
      </c>
      <c r="AF18" s="855">
        <f t="shared" si="0"/>
        <v>0</v>
      </c>
      <c r="AG18" s="848">
        <f>IF('Input Sheet'!$C$15="Yes",'Input Sheet'!$F$8,0)</f>
        <v>0</v>
      </c>
      <c r="AH18" s="846">
        <f>IF('Input Sheet'!$C$15="Yes",Rates!$E$45,0)</f>
        <v>0</v>
      </c>
      <c r="AI18" s="849">
        <f>IF('Input Sheet'!$C$15="Yes",'Input Sheet'!$F$11,0)</f>
        <v>0</v>
      </c>
      <c r="AJ18" s="850">
        <f>IF('Input Sheet'!$C$15="Yes",'Input Sheet'!$F$7,0)</f>
        <v>0</v>
      </c>
      <c r="AK18" s="856">
        <f t="shared" si="1"/>
        <v>0</v>
      </c>
      <c r="AL18" s="856">
        <f t="shared" si="2"/>
        <v>0</v>
      </c>
      <c r="AM18" s="856">
        <f t="shared" si="8"/>
        <v>0</v>
      </c>
      <c r="AN18" s="856">
        <f t="shared" si="9"/>
        <v>0</v>
      </c>
      <c r="AO18" s="852">
        <f t="shared" si="10"/>
        <v>0</v>
      </c>
      <c r="AP18" s="853">
        <f t="shared" si="11"/>
        <v>0</v>
      </c>
      <c r="AQ18" s="854">
        <f>IFERROR(P18*'Input Sheet'!$F$8/(((AI18)*AK18*2)-AN18),0)</f>
        <v>0</v>
      </c>
      <c r="AR18" s="854">
        <f>IFERROR(($P18-$AF18)*'Input Sheet'!$F$8/(((AI18)*AK18*2)-AN18),0)</f>
        <v>0</v>
      </c>
    </row>
    <row r="19" spans="2:44" s="798" customFormat="1" ht="30" customHeight="1" thickBot="1" x14ac:dyDescent="0.3">
      <c r="B19" s="835"/>
      <c r="C19" s="836"/>
      <c r="D19" s="836"/>
      <c r="E19" s="837"/>
      <c r="F19" s="837"/>
      <c r="G19" s="838"/>
      <c r="H19" s="838"/>
      <c r="I19" s="839"/>
      <c r="J19" s="839"/>
      <c r="K19" s="840"/>
      <c r="L19" s="841"/>
      <c r="M19" s="841"/>
      <c r="N19" s="842"/>
      <c r="O19" s="842"/>
      <c r="P19" s="843"/>
      <c r="Q19" s="843"/>
      <c r="R19" s="843"/>
      <c r="S19" s="844">
        <f t="shared" si="4"/>
        <v>0</v>
      </c>
      <c r="T19" s="838"/>
      <c r="U19" s="842"/>
      <c r="V19" s="843"/>
      <c r="W19" s="843"/>
      <c r="X19" s="843"/>
      <c r="Y19" s="843"/>
      <c r="Z19" s="843"/>
      <c r="AA19" s="837"/>
      <c r="AB19" s="837"/>
      <c r="AC19" s="845">
        <f t="shared" si="5"/>
        <v>0</v>
      </c>
      <c r="AD19" s="846">
        <f t="shared" si="6"/>
        <v>0</v>
      </c>
      <c r="AE19" s="847">
        <f t="shared" si="7"/>
        <v>0</v>
      </c>
      <c r="AF19" s="855">
        <f t="shared" si="0"/>
        <v>0</v>
      </c>
      <c r="AG19" s="848">
        <f>IF('Input Sheet'!$C$15="Yes",'Input Sheet'!$F$8,0)</f>
        <v>0</v>
      </c>
      <c r="AH19" s="846">
        <f>IF('Input Sheet'!$C$15="Yes",Rates!$E$45,0)</f>
        <v>0</v>
      </c>
      <c r="AI19" s="849">
        <f>IF('Input Sheet'!$C$15="Yes",'Input Sheet'!$F$11,0)</f>
        <v>0</v>
      </c>
      <c r="AJ19" s="850">
        <f>IF('Input Sheet'!$C$15="Yes",'Input Sheet'!$F$7,0)</f>
        <v>0</v>
      </c>
      <c r="AK19" s="856">
        <f t="shared" si="1"/>
        <v>0</v>
      </c>
      <c r="AL19" s="856">
        <f t="shared" si="2"/>
        <v>0</v>
      </c>
      <c r="AM19" s="856">
        <f t="shared" si="8"/>
        <v>0</v>
      </c>
      <c r="AN19" s="856">
        <f t="shared" si="9"/>
        <v>0</v>
      </c>
      <c r="AO19" s="852">
        <f t="shared" si="10"/>
        <v>0</v>
      </c>
      <c r="AP19" s="853">
        <f t="shared" si="11"/>
        <v>0</v>
      </c>
      <c r="AQ19" s="854">
        <f>IFERROR(P19*'Input Sheet'!$F$8/(((AI19)*AK19*2)-AN19),0)</f>
        <v>0</v>
      </c>
      <c r="AR19" s="854">
        <f>IFERROR(($P19-$AF19)*'Input Sheet'!$F$8/(((AI19)*AK19*2)-AN19),0)</f>
        <v>0</v>
      </c>
    </row>
    <row r="20" spans="2:44" s="798" customFormat="1" ht="30" customHeight="1" thickBot="1" x14ac:dyDescent="0.3">
      <c r="B20" s="835"/>
      <c r="C20" s="836"/>
      <c r="D20" s="836"/>
      <c r="E20" s="837"/>
      <c r="F20" s="837"/>
      <c r="G20" s="838"/>
      <c r="H20" s="838"/>
      <c r="I20" s="839"/>
      <c r="J20" s="839"/>
      <c r="K20" s="840"/>
      <c r="L20" s="841"/>
      <c r="M20" s="841"/>
      <c r="N20" s="842"/>
      <c r="O20" s="842"/>
      <c r="P20" s="843"/>
      <c r="Q20" s="843"/>
      <c r="R20" s="843"/>
      <c r="S20" s="844">
        <f t="shared" si="4"/>
        <v>0</v>
      </c>
      <c r="T20" s="838"/>
      <c r="U20" s="842"/>
      <c r="V20" s="843"/>
      <c r="W20" s="843"/>
      <c r="X20" s="843"/>
      <c r="Y20" s="843"/>
      <c r="Z20" s="843"/>
      <c r="AA20" s="837"/>
      <c r="AB20" s="837"/>
      <c r="AC20" s="845">
        <f t="shared" si="5"/>
        <v>0</v>
      </c>
      <c r="AD20" s="846">
        <f t="shared" si="6"/>
        <v>0</v>
      </c>
      <c r="AE20" s="847">
        <f t="shared" si="7"/>
        <v>0</v>
      </c>
      <c r="AF20" s="855">
        <f t="shared" si="0"/>
        <v>0</v>
      </c>
      <c r="AG20" s="848">
        <f>IF('Input Sheet'!$C$15="Yes",'Input Sheet'!$F$8,0)</f>
        <v>0</v>
      </c>
      <c r="AH20" s="846">
        <f>IF('Input Sheet'!$C$15="Yes",Rates!$E$45,0)</f>
        <v>0</v>
      </c>
      <c r="AI20" s="849">
        <f>IF('Input Sheet'!$C$15="Yes",'Input Sheet'!$F$11,0)</f>
        <v>0</v>
      </c>
      <c r="AJ20" s="850">
        <f>IF('Input Sheet'!$C$15="Yes",'Input Sheet'!$F$7,0)</f>
        <v>0</v>
      </c>
      <c r="AK20" s="856">
        <f t="shared" si="1"/>
        <v>0</v>
      </c>
      <c r="AL20" s="856">
        <f t="shared" si="2"/>
        <v>0</v>
      </c>
      <c r="AM20" s="856">
        <f t="shared" si="8"/>
        <v>0</v>
      </c>
      <c r="AN20" s="856">
        <f t="shared" si="9"/>
        <v>0</v>
      </c>
      <c r="AO20" s="852">
        <f t="shared" si="10"/>
        <v>0</v>
      </c>
      <c r="AP20" s="853">
        <f t="shared" si="11"/>
        <v>0</v>
      </c>
      <c r="AQ20" s="854">
        <f>IFERROR(P20*'Input Sheet'!$F$8/(((AI20)*AK20*2)-AN20),0)</f>
        <v>0</v>
      </c>
      <c r="AR20" s="854">
        <f>IFERROR(($P20-$AF20)*'Input Sheet'!$F$8/(((AI20)*AK20*2)-AN20),0)</f>
        <v>0</v>
      </c>
    </row>
    <row r="21" spans="2:44" s="798" customFormat="1" ht="30" customHeight="1" thickBot="1" x14ac:dyDescent="0.3">
      <c r="B21" s="835"/>
      <c r="C21" s="836"/>
      <c r="D21" s="836"/>
      <c r="E21" s="837"/>
      <c r="F21" s="837"/>
      <c r="G21" s="838"/>
      <c r="H21" s="838"/>
      <c r="I21" s="839"/>
      <c r="J21" s="839"/>
      <c r="K21" s="840"/>
      <c r="L21" s="841"/>
      <c r="M21" s="841"/>
      <c r="N21" s="842"/>
      <c r="O21" s="842"/>
      <c r="P21" s="843"/>
      <c r="Q21" s="843"/>
      <c r="R21" s="843"/>
      <c r="S21" s="844">
        <f t="shared" si="4"/>
        <v>0</v>
      </c>
      <c r="T21" s="838"/>
      <c r="U21" s="842"/>
      <c r="V21" s="843"/>
      <c r="W21" s="843"/>
      <c r="X21" s="843"/>
      <c r="Y21" s="843"/>
      <c r="Z21" s="843"/>
      <c r="AA21" s="837"/>
      <c r="AB21" s="837"/>
      <c r="AC21" s="845">
        <f t="shared" si="5"/>
        <v>0</v>
      </c>
      <c r="AD21" s="846">
        <f t="shared" si="6"/>
        <v>0</v>
      </c>
      <c r="AE21" s="847">
        <f t="shared" si="7"/>
        <v>0</v>
      </c>
      <c r="AF21" s="855">
        <f t="shared" si="0"/>
        <v>0</v>
      </c>
      <c r="AG21" s="848">
        <f>IF('Input Sheet'!$C$15="Yes",'Input Sheet'!$F$8,0)</f>
        <v>0</v>
      </c>
      <c r="AH21" s="846">
        <f>IF('Input Sheet'!$C$15="Yes",Rates!$E$45,0)</f>
        <v>0</v>
      </c>
      <c r="AI21" s="849">
        <f>IF('Input Sheet'!$C$15="Yes",'Input Sheet'!$F$11,0)</f>
        <v>0</v>
      </c>
      <c r="AJ21" s="850">
        <f>IF('Input Sheet'!$C$15="Yes",'Input Sheet'!$F$7,0)</f>
        <v>0</v>
      </c>
      <c r="AK21" s="856">
        <f t="shared" si="1"/>
        <v>0</v>
      </c>
      <c r="AL21" s="856">
        <f t="shared" si="2"/>
        <v>0</v>
      </c>
      <c r="AM21" s="856">
        <f t="shared" si="8"/>
        <v>0</v>
      </c>
      <c r="AN21" s="856">
        <f t="shared" si="9"/>
        <v>0</v>
      </c>
      <c r="AO21" s="852">
        <f t="shared" si="10"/>
        <v>0</v>
      </c>
      <c r="AP21" s="853">
        <f t="shared" si="11"/>
        <v>0</v>
      </c>
      <c r="AQ21" s="854">
        <f>IFERROR(P21*'Input Sheet'!$F$8/(((AI21)*AK21*2)-AN21),0)</f>
        <v>0</v>
      </c>
      <c r="AR21" s="854">
        <f>IFERROR(($P21-$AF21)*'Input Sheet'!$F$8/(((AI21)*AK21*2)-AN21),0)</f>
        <v>0</v>
      </c>
    </row>
    <row r="22" spans="2:44" s="798" customFormat="1" ht="30" customHeight="1" thickBot="1" x14ac:dyDescent="0.3">
      <c r="B22" s="835"/>
      <c r="C22" s="836"/>
      <c r="D22" s="836"/>
      <c r="E22" s="837"/>
      <c r="F22" s="837"/>
      <c r="G22" s="838"/>
      <c r="H22" s="838"/>
      <c r="I22" s="839"/>
      <c r="J22" s="839"/>
      <c r="K22" s="840"/>
      <c r="L22" s="841"/>
      <c r="M22" s="841"/>
      <c r="N22" s="842"/>
      <c r="O22" s="842"/>
      <c r="P22" s="843"/>
      <c r="Q22" s="843"/>
      <c r="R22" s="843"/>
      <c r="S22" s="844">
        <f t="shared" si="4"/>
        <v>0</v>
      </c>
      <c r="T22" s="838"/>
      <c r="U22" s="842"/>
      <c r="V22" s="843"/>
      <c r="W22" s="843"/>
      <c r="X22" s="843"/>
      <c r="Y22" s="843"/>
      <c r="Z22" s="843"/>
      <c r="AA22" s="837"/>
      <c r="AB22" s="837"/>
      <c r="AC22" s="845">
        <f t="shared" si="5"/>
        <v>0</v>
      </c>
      <c r="AD22" s="846">
        <f t="shared" si="6"/>
        <v>0</v>
      </c>
      <c r="AE22" s="847">
        <f t="shared" si="7"/>
        <v>0</v>
      </c>
      <c r="AF22" s="855">
        <f t="shared" si="0"/>
        <v>0</v>
      </c>
      <c r="AG22" s="848">
        <f>IF('Input Sheet'!$C$15="Yes",'Input Sheet'!$F$8,0)</f>
        <v>0</v>
      </c>
      <c r="AH22" s="846">
        <f>IF('Input Sheet'!$C$15="Yes",Rates!$E$45,0)</f>
        <v>0</v>
      </c>
      <c r="AI22" s="849">
        <f>IF('Input Sheet'!$C$15="Yes",'Input Sheet'!$F$11,0)</f>
        <v>0</v>
      </c>
      <c r="AJ22" s="850">
        <f>IF('Input Sheet'!$C$15="Yes",'Input Sheet'!$F$7,0)</f>
        <v>0</v>
      </c>
      <c r="AK22" s="856">
        <f t="shared" si="1"/>
        <v>0</v>
      </c>
      <c r="AL22" s="856">
        <f t="shared" si="2"/>
        <v>0</v>
      </c>
      <c r="AM22" s="856">
        <f t="shared" si="8"/>
        <v>0</v>
      </c>
      <c r="AN22" s="856">
        <f t="shared" si="9"/>
        <v>0</v>
      </c>
      <c r="AO22" s="852">
        <f t="shared" si="10"/>
        <v>0</v>
      </c>
      <c r="AP22" s="853">
        <f t="shared" si="11"/>
        <v>0</v>
      </c>
      <c r="AQ22" s="854">
        <f>IFERROR(P22*'Input Sheet'!$F$8/(((AI22)*AK22*2)-AN22),0)</f>
        <v>0</v>
      </c>
      <c r="AR22" s="854">
        <f>IFERROR(($P22-$AF22)*'Input Sheet'!$F$8/(((AI22)*AK22*2)-AN22),0)</f>
        <v>0</v>
      </c>
    </row>
    <row r="23" spans="2:44" s="798" customFormat="1" ht="30" customHeight="1" thickBot="1" x14ac:dyDescent="0.3">
      <c r="B23" s="835"/>
      <c r="C23" s="836"/>
      <c r="D23" s="836"/>
      <c r="E23" s="837"/>
      <c r="F23" s="837"/>
      <c r="G23" s="838"/>
      <c r="H23" s="838"/>
      <c r="I23" s="839"/>
      <c r="J23" s="839"/>
      <c r="K23" s="840"/>
      <c r="L23" s="841"/>
      <c r="M23" s="841"/>
      <c r="N23" s="842"/>
      <c r="O23" s="842"/>
      <c r="P23" s="843"/>
      <c r="Q23" s="843"/>
      <c r="R23" s="843"/>
      <c r="S23" s="844">
        <f t="shared" si="4"/>
        <v>0</v>
      </c>
      <c r="T23" s="838"/>
      <c r="U23" s="842"/>
      <c r="V23" s="843"/>
      <c r="W23" s="843"/>
      <c r="X23" s="843"/>
      <c r="Y23" s="843"/>
      <c r="Z23" s="843"/>
      <c r="AA23" s="837"/>
      <c r="AB23" s="837"/>
      <c r="AC23" s="845">
        <f t="shared" si="5"/>
        <v>0</v>
      </c>
      <c r="AD23" s="846">
        <f t="shared" si="6"/>
        <v>0</v>
      </c>
      <c r="AE23" s="847">
        <f t="shared" si="7"/>
        <v>0</v>
      </c>
      <c r="AF23" s="855">
        <f t="shared" si="0"/>
        <v>0</v>
      </c>
      <c r="AG23" s="848">
        <f>IF('Input Sheet'!$C$15="Yes",'Input Sheet'!$F$8,0)</f>
        <v>0</v>
      </c>
      <c r="AH23" s="846">
        <f>IF('Input Sheet'!$C$15="Yes",Rates!$E$45,0)</f>
        <v>0</v>
      </c>
      <c r="AI23" s="849">
        <f>IF('Input Sheet'!$C$15="Yes",'Input Sheet'!$F$11,0)</f>
        <v>0</v>
      </c>
      <c r="AJ23" s="850">
        <f>IF('Input Sheet'!$C$15="Yes",'Input Sheet'!$F$7,0)</f>
        <v>0</v>
      </c>
      <c r="AK23" s="856">
        <f t="shared" si="1"/>
        <v>0</v>
      </c>
      <c r="AL23" s="856">
        <f t="shared" si="2"/>
        <v>0</v>
      </c>
      <c r="AM23" s="856">
        <f t="shared" si="8"/>
        <v>0</v>
      </c>
      <c r="AN23" s="856">
        <f t="shared" si="9"/>
        <v>0</v>
      </c>
      <c r="AO23" s="852">
        <f t="shared" si="10"/>
        <v>0</v>
      </c>
      <c r="AP23" s="853">
        <f t="shared" si="11"/>
        <v>0</v>
      </c>
      <c r="AQ23" s="854">
        <f>IFERROR(P23*'Input Sheet'!$F$8/(((AI23)*AK23*2)-AN23),0)</f>
        <v>0</v>
      </c>
      <c r="AR23" s="854">
        <f>IFERROR(($P23-$AF23)*'Input Sheet'!$F$8/(((AI23)*AK23*2)-AN23),0)</f>
        <v>0</v>
      </c>
    </row>
    <row r="24" spans="2:44" s="798" customFormat="1" ht="30" customHeight="1" thickBot="1" x14ac:dyDescent="0.3">
      <c r="B24" s="835"/>
      <c r="C24" s="836"/>
      <c r="D24" s="836"/>
      <c r="E24" s="837"/>
      <c r="F24" s="837"/>
      <c r="G24" s="838"/>
      <c r="H24" s="838"/>
      <c r="I24" s="839"/>
      <c r="J24" s="839"/>
      <c r="K24" s="840"/>
      <c r="L24" s="841"/>
      <c r="M24" s="841"/>
      <c r="N24" s="842"/>
      <c r="O24" s="842"/>
      <c r="P24" s="843"/>
      <c r="Q24" s="843"/>
      <c r="R24" s="843"/>
      <c r="S24" s="844">
        <f t="shared" si="4"/>
        <v>0</v>
      </c>
      <c r="T24" s="838"/>
      <c r="U24" s="842"/>
      <c r="V24" s="843"/>
      <c r="W24" s="843"/>
      <c r="X24" s="843"/>
      <c r="Y24" s="843"/>
      <c r="Z24" s="843"/>
      <c r="AA24" s="837"/>
      <c r="AB24" s="837"/>
      <c r="AC24" s="845">
        <f t="shared" si="5"/>
        <v>0</v>
      </c>
      <c r="AD24" s="846">
        <f t="shared" si="6"/>
        <v>0</v>
      </c>
      <c r="AE24" s="847">
        <f t="shared" si="7"/>
        <v>0</v>
      </c>
      <c r="AF24" s="855">
        <f t="shared" si="0"/>
        <v>0</v>
      </c>
      <c r="AG24" s="848">
        <f>IF('Input Sheet'!$C$15="Yes",'Input Sheet'!$F$8,0)</f>
        <v>0</v>
      </c>
      <c r="AH24" s="846">
        <f>IF('Input Sheet'!$C$15="Yes",Rates!$E$45,0)</f>
        <v>0</v>
      </c>
      <c r="AI24" s="849">
        <f>IF('Input Sheet'!$C$15="Yes",'Input Sheet'!$F$11,0)</f>
        <v>0</v>
      </c>
      <c r="AJ24" s="850">
        <f>IF('Input Sheet'!$C$15="Yes",'Input Sheet'!$F$7,0)</f>
        <v>0</v>
      </c>
      <c r="AK24" s="856">
        <f t="shared" si="1"/>
        <v>0</v>
      </c>
      <c r="AL24" s="856">
        <f t="shared" si="2"/>
        <v>0</v>
      </c>
      <c r="AM24" s="856">
        <f t="shared" si="8"/>
        <v>0</v>
      </c>
      <c r="AN24" s="856">
        <f t="shared" si="9"/>
        <v>0</v>
      </c>
      <c r="AO24" s="852">
        <f t="shared" si="10"/>
        <v>0</v>
      </c>
      <c r="AP24" s="853">
        <f t="shared" si="11"/>
        <v>0</v>
      </c>
      <c r="AQ24" s="854">
        <f>IFERROR(P24*'Input Sheet'!$F$8/(((AI24)*AK24*2)-AN24),0)</f>
        <v>0</v>
      </c>
      <c r="AR24" s="854">
        <f>IFERROR(($P24-$AF24)*'Input Sheet'!$F$8/(((AI24)*AK24*2)-AN24),0)</f>
        <v>0</v>
      </c>
    </row>
    <row r="25" spans="2:44" s="798" customFormat="1" ht="30" customHeight="1" thickBot="1" x14ac:dyDescent="0.3">
      <c r="B25" s="835"/>
      <c r="C25" s="836"/>
      <c r="D25" s="836"/>
      <c r="E25" s="837"/>
      <c r="F25" s="837"/>
      <c r="G25" s="838"/>
      <c r="H25" s="838"/>
      <c r="I25" s="839"/>
      <c r="J25" s="839"/>
      <c r="K25" s="840"/>
      <c r="L25" s="841"/>
      <c r="M25" s="841"/>
      <c r="N25" s="842"/>
      <c r="O25" s="842"/>
      <c r="P25" s="843"/>
      <c r="Q25" s="843"/>
      <c r="R25" s="843"/>
      <c r="S25" s="844">
        <f t="shared" si="4"/>
        <v>0</v>
      </c>
      <c r="T25" s="838"/>
      <c r="U25" s="842"/>
      <c r="V25" s="843"/>
      <c r="W25" s="843"/>
      <c r="X25" s="843"/>
      <c r="Y25" s="843"/>
      <c r="Z25" s="843"/>
      <c r="AA25" s="837"/>
      <c r="AB25" s="837"/>
      <c r="AC25" s="845">
        <f t="shared" si="5"/>
        <v>0</v>
      </c>
      <c r="AD25" s="846">
        <f t="shared" si="6"/>
        <v>0</v>
      </c>
      <c r="AE25" s="847">
        <f t="shared" si="7"/>
        <v>0</v>
      </c>
      <c r="AF25" s="855">
        <f t="shared" si="0"/>
        <v>0</v>
      </c>
      <c r="AG25" s="848">
        <f>IF('Input Sheet'!$C$15="Yes",'Input Sheet'!$F$8,0)</f>
        <v>0</v>
      </c>
      <c r="AH25" s="846">
        <f>IF('Input Sheet'!$C$15="Yes",Rates!$E$45,0)</f>
        <v>0</v>
      </c>
      <c r="AI25" s="849">
        <f>IF('Input Sheet'!$C$15="Yes",'Input Sheet'!$F$11,0)</f>
        <v>0</v>
      </c>
      <c r="AJ25" s="850">
        <f>IF('Input Sheet'!$C$15="Yes",'Input Sheet'!$F$7,0)</f>
        <v>0</v>
      </c>
      <c r="AK25" s="856">
        <f t="shared" si="1"/>
        <v>0</v>
      </c>
      <c r="AL25" s="856">
        <f t="shared" si="2"/>
        <v>0</v>
      </c>
      <c r="AM25" s="856">
        <f t="shared" si="8"/>
        <v>0</v>
      </c>
      <c r="AN25" s="856">
        <f t="shared" si="9"/>
        <v>0</v>
      </c>
      <c r="AO25" s="852">
        <f t="shared" si="10"/>
        <v>0</v>
      </c>
      <c r="AP25" s="853">
        <f t="shared" si="11"/>
        <v>0</v>
      </c>
      <c r="AQ25" s="854">
        <f>IFERROR(P25*'Input Sheet'!$F$8/(((AI25)*AK25*2)-AN25),0)</f>
        <v>0</v>
      </c>
      <c r="AR25" s="854">
        <f>IFERROR(($P25-$AF25)*'Input Sheet'!$F$8/(((AI25)*AK25*2)-AN25),0)</f>
        <v>0</v>
      </c>
    </row>
    <row r="26" spans="2:44" s="798" customFormat="1" ht="30" customHeight="1" thickBot="1" x14ac:dyDescent="0.3">
      <c r="B26" s="835"/>
      <c r="C26" s="836"/>
      <c r="D26" s="836"/>
      <c r="E26" s="837"/>
      <c r="F26" s="837"/>
      <c r="G26" s="838"/>
      <c r="H26" s="838"/>
      <c r="I26" s="839"/>
      <c r="J26" s="839"/>
      <c r="K26" s="840"/>
      <c r="L26" s="841"/>
      <c r="M26" s="841"/>
      <c r="N26" s="842"/>
      <c r="O26" s="842"/>
      <c r="P26" s="843"/>
      <c r="Q26" s="843"/>
      <c r="R26" s="843"/>
      <c r="S26" s="844">
        <f t="shared" si="4"/>
        <v>0</v>
      </c>
      <c r="T26" s="838"/>
      <c r="U26" s="842"/>
      <c r="V26" s="843"/>
      <c r="W26" s="843"/>
      <c r="X26" s="843"/>
      <c r="Y26" s="843"/>
      <c r="Z26" s="843"/>
      <c r="AA26" s="837"/>
      <c r="AB26" s="837"/>
      <c r="AC26" s="845">
        <f t="shared" si="5"/>
        <v>0</v>
      </c>
      <c r="AD26" s="846">
        <f t="shared" si="6"/>
        <v>0</v>
      </c>
      <c r="AE26" s="847">
        <f t="shared" si="7"/>
        <v>0</v>
      </c>
      <c r="AF26" s="855">
        <f t="shared" si="0"/>
        <v>0</v>
      </c>
      <c r="AG26" s="848">
        <f>IF('Input Sheet'!$C$15="Yes",'Input Sheet'!$F$8,0)</f>
        <v>0</v>
      </c>
      <c r="AH26" s="846">
        <f>IF('Input Sheet'!$C$15="Yes",Rates!$E$45,0)</f>
        <v>0</v>
      </c>
      <c r="AI26" s="849">
        <f>IF('Input Sheet'!$C$15="Yes",'Input Sheet'!$F$11,0)</f>
        <v>0</v>
      </c>
      <c r="AJ26" s="850">
        <f>IF('Input Sheet'!$C$15="Yes",'Input Sheet'!$F$7,0)</f>
        <v>0</v>
      </c>
      <c r="AK26" s="856">
        <f t="shared" si="1"/>
        <v>0</v>
      </c>
      <c r="AL26" s="856">
        <f t="shared" si="2"/>
        <v>0</v>
      </c>
      <c r="AM26" s="856">
        <f t="shared" si="8"/>
        <v>0</v>
      </c>
      <c r="AN26" s="856">
        <f t="shared" si="9"/>
        <v>0</v>
      </c>
      <c r="AO26" s="852">
        <f t="shared" si="10"/>
        <v>0</v>
      </c>
      <c r="AP26" s="853">
        <f t="shared" si="11"/>
        <v>0</v>
      </c>
      <c r="AQ26" s="854">
        <f>IFERROR(P26*'Input Sheet'!$F$8/(((AI26)*AK26*2)-AN26),0)</f>
        <v>0</v>
      </c>
      <c r="AR26" s="854">
        <f>IFERROR(($P26-$AF26)*'Input Sheet'!$F$8/(((AI26)*AK26*2)-AN26),0)</f>
        <v>0</v>
      </c>
    </row>
    <row r="27" spans="2:44" s="798" customFormat="1" ht="30" customHeight="1" thickBot="1" x14ac:dyDescent="0.3">
      <c r="B27" s="835"/>
      <c r="C27" s="836"/>
      <c r="D27" s="836"/>
      <c r="E27" s="837"/>
      <c r="F27" s="837"/>
      <c r="G27" s="838"/>
      <c r="H27" s="838"/>
      <c r="I27" s="839"/>
      <c r="J27" s="839"/>
      <c r="K27" s="840"/>
      <c r="L27" s="841"/>
      <c r="M27" s="841"/>
      <c r="N27" s="842"/>
      <c r="O27" s="842"/>
      <c r="P27" s="843"/>
      <c r="Q27" s="843"/>
      <c r="R27" s="843"/>
      <c r="S27" s="844">
        <f t="shared" si="4"/>
        <v>0</v>
      </c>
      <c r="T27" s="838"/>
      <c r="U27" s="842"/>
      <c r="V27" s="843"/>
      <c r="W27" s="843"/>
      <c r="X27" s="843"/>
      <c r="Y27" s="843"/>
      <c r="Z27" s="843"/>
      <c r="AA27" s="837"/>
      <c r="AB27" s="837"/>
      <c r="AC27" s="845">
        <f t="shared" si="5"/>
        <v>0</v>
      </c>
      <c r="AD27" s="846">
        <f t="shared" si="6"/>
        <v>0</v>
      </c>
      <c r="AE27" s="847">
        <f t="shared" si="7"/>
        <v>0</v>
      </c>
      <c r="AF27" s="855">
        <f t="shared" si="0"/>
        <v>0</v>
      </c>
      <c r="AG27" s="848">
        <f>IF('Input Sheet'!$C$15="Yes",'Input Sheet'!$F$8,0)</f>
        <v>0</v>
      </c>
      <c r="AH27" s="846">
        <f>IF('Input Sheet'!$C$15="Yes",Rates!$E$45,0)</f>
        <v>0</v>
      </c>
      <c r="AI27" s="849">
        <f>IF('Input Sheet'!$C$15="Yes",'Input Sheet'!$F$11,0)</f>
        <v>0</v>
      </c>
      <c r="AJ27" s="850">
        <f>IF('Input Sheet'!$C$15="Yes",'Input Sheet'!$F$7,0)</f>
        <v>0</v>
      </c>
      <c r="AK27" s="856">
        <f t="shared" si="1"/>
        <v>0</v>
      </c>
      <c r="AL27" s="856">
        <f t="shared" si="2"/>
        <v>0</v>
      </c>
      <c r="AM27" s="856">
        <f t="shared" si="8"/>
        <v>0</v>
      </c>
      <c r="AN27" s="856">
        <f t="shared" si="9"/>
        <v>0</v>
      </c>
      <c r="AO27" s="852">
        <f t="shared" si="10"/>
        <v>0</v>
      </c>
      <c r="AP27" s="853">
        <f t="shared" si="11"/>
        <v>0</v>
      </c>
      <c r="AQ27" s="854">
        <f>IFERROR(P27*'Input Sheet'!$F$8/(((AI27)*AK27*2)-AN27),0)</f>
        <v>0</v>
      </c>
      <c r="AR27" s="854">
        <f>IFERROR(($P27-$AF27)*'Input Sheet'!$F$8/(((AI27)*AK27*2)-AN27),0)</f>
        <v>0</v>
      </c>
    </row>
    <row r="28" spans="2:44" s="798" customFormat="1" ht="30" customHeight="1" thickBot="1" x14ac:dyDescent="0.3">
      <c r="B28" s="835"/>
      <c r="C28" s="836"/>
      <c r="D28" s="836"/>
      <c r="E28" s="837"/>
      <c r="F28" s="837"/>
      <c r="G28" s="838"/>
      <c r="H28" s="838"/>
      <c r="I28" s="839"/>
      <c r="J28" s="839"/>
      <c r="K28" s="840"/>
      <c r="L28" s="841"/>
      <c r="M28" s="841"/>
      <c r="N28" s="842"/>
      <c r="O28" s="842"/>
      <c r="P28" s="843"/>
      <c r="Q28" s="843"/>
      <c r="R28" s="843"/>
      <c r="S28" s="844">
        <f t="shared" si="4"/>
        <v>0</v>
      </c>
      <c r="T28" s="838"/>
      <c r="U28" s="842"/>
      <c r="V28" s="843"/>
      <c r="W28" s="843"/>
      <c r="X28" s="843"/>
      <c r="Y28" s="843"/>
      <c r="Z28" s="843"/>
      <c r="AA28" s="837"/>
      <c r="AB28" s="837"/>
      <c r="AC28" s="845">
        <f t="shared" si="5"/>
        <v>0</v>
      </c>
      <c r="AD28" s="846">
        <f t="shared" si="6"/>
        <v>0</v>
      </c>
      <c r="AE28" s="847">
        <f t="shared" si="7"/>
        <v>0</v>
      </c>
      <c r="AF28" s="855">
        <f t="shared" si="0"/>
        <v>0</v>
      </c>
      <c r="AG28" s="848">
        <f>IF('Input Sheet'!$C$15="Yes",'Input Sheet'!$F$8,0)</f>
        <v>0</v>
      </c>
      <c r="AH28" s="846">
        <f>IF('Input Sheet'!$C$15="Yes",Rates!$E$45,0)</f>
        <v>0</v>
      </c>
      <c r="AI28" s="849">
        <f>IF('Input Sheet'!$C$15="Yes",'Input Sheet'!$F$11,0)</f>
        <v>0</v>
      </c>
      <c r="AJ28" s="850">
        <f>IF('Input Sheet'!$C$15="Yes",'Input Sheet'!$F$7,0)</f>
        <v>0</v>
      </c>
      <c r="AK28" s="856">
        <f t="shared" si="1"/>
        <v>0</v>
      </c>
      <c r="AL28" s="856">
        <f t="shared" si="2"/>
        <v>0</v>
      </c>
      <c r="AM28" s="856">
        <f t="shared" si="8"/>
        <v>0</v>
      </c>
      <c r="AN28" s="856">
        <f t="shared" si="9"/>
        <v>0</v>
      </c>
      <c r="AO28" s="852">
        <f t="shared" si="10"/>
        <v>0</v>
      </c>
      <c r="AP28" s="853">
        <f t="shared" si="11"/>
        <v>0</v>
      </c>
      <c r="AQ28" s="854">
        <f>IFERROR(P28*'Input Sheet'!$F$8/(((AI28)*AK28*2)-AN28),0)</f>
        <v>0</v>
      </c>
      <c r="AR28" s="854">
        <f>IFERROR(($P28-$AF28)*'Input Sheet'!$F$8/(((AI28)*AK28*2)-AN28),0)</f>
        <v>0</v>
      </c>
    </row>
    <row r="29" spans="2:44" s="798" customFormat="1" ht="30" customHeight="1" thickBot="1" x14ac:dyDescent="0.3">
      <c r="B29" s="835"/>
      <c r="C29" s="836"/>
      <c r="D29" s="836"/>
      <c r="E29" s="837"/>
      <c r="F29" s="837"/>
      <c r="G29" s="838"/>
      <c r="H29" s="838"/>
      <c r="I29" s="839"/>
      <c r="J29" s="839"/>
      <c r="K29" s="840"/>
      <c r="L29" s="841"/>
      <c r="M29" s="841"/>
      <c r="N29" s="842"/>
      <c r="O29" s="842"/>
      <c r="P29" s="843"/>
      <c r="Q29" s="843"/>
      <c r="R29" s="843"/>
      <c r="S29" s="844">
        <f t="shared" si="4"/>
        <v>0</v>
      </c>
      <c r="T29" s="838"/>
      <c r="U29" s="842"/>
      <c r="V29" s="843"/>
      <c r="W29" s="843"/>
      <c r="X29" s="843"/>
      <c r="Y29" s="843"/>
      <c r="Z29" s="843"/>
      <c r="AA29" s="837"/>
      <c r="AB29" s="837"/>
      <c r="AC29" s="845">
        <f t="shared" si="5"/>
        <v>0</v>
      </c>
      <c r="AD29" s="846">
        <f t="shared" si="6"/>
        <v>0</v>
      </c>
      <c r="AE29" s="847">
        <f t="shared" si="7"/>
        <v>0</v>
      </c>
      <c r="AF29" s="855">
        <f t="shared" si="0"/>
        <v>0</v>
      </c>
      <c r="AG29" s="848">
        <f>IF('Input Sheet'!$C$15="Yes",'Input Sheet'!$F$8,0)</f>
        <v>0</v>
      </c>
      <c r="AH29" s="846">
        <f>IF('Input Sheet'!$C$15="Yes",Rates!$E$45,0)</f>
        <v>0</v>
      </c>
      <c r="AI29" s="849">
        <f>IF('Input Sheet'!$C$15="Yes",'Input Sheet'!$F$11,0)</f>
        <v>0</v>
      </c>
      <c r="AJ29" s="850">
        <f>IF('Input Sheet'!$C$15="Yes",'Input Sheet'!$F$7,0)</f>
        <v>0</v>
      </c>
      <c r="AK29" s="856">
        <f t="shared" si="1"/>
        <v>0</v>
      </c>
      <c r="AL29" s="856">
        <f t="shared" si="2"/>
        <v>0</v>
      </c>
      <c r="AM29" s="856">
        <f t="shared" si="8"/>
        <v>0</v>
      </c>
      <c r="AN29" s="856">
        <f t="shared" si="9"/>
        <v>0</v>
      </c>
      <c r="AO29" s="852">
        <f t="shared" si="10"/>
        <v>0</v>
      </c>
      <c r="AP29" s="853">
        <f t="shared" si="11"/>
        <v>0</v>
      </c>
      <c r="AQ29" s="854">
        <f>IFERROR(P29*'Input Sheet'!$F$8/(((AI29)*AK29*2)-AN29),0)</f>
        <v>0</v>
      </c>
      <c r="AR29" s="854">
        <f>IFERROR(($P29-$AF29)*'Input Sheet'!$F$8/(((AI29)*AK29*2)-AN29),0)</f>
        <v>0</v>
      </c>
    </row>
    <row r="30" spans="2:44" s="798" customFormat="1" ht="30" customHeight="1" thickBot="1" x14ac:dyDescent="0.3">
      <c r="B30" s="835"/>
      <c r="C30" s="836"/>
      <c r="D30" s="836"/>
      <c r="E30" s="837"/>
      <c r="F30" s="837"/>
      <c r="G30" s="838"/>
      <c r="H30" s="838"/>
      <c r="I30" s="839"/>
      <c r="J30" s="839"/>
      <c r="K30" s="840"/>
      <c r="L30" s="841"/>
      <c r="M30" s="841"/>
      <c r="N30" s="842"/>
      <c r="O30" s="842"/>
      <c r="P30" s="843"/>
      <c r="Q30" s="843"/>
      <c r="R30" s="843"/>
      <c r="S30" s="844">
        <f t="shared" si="4"/>
        <v>0</v>
      </c>
      <c r="T30" s="838"/>
      <c r="U30" s="842"/>
      <c r="V30" s="843"/>
      <c r="W30" s="843"/>
      <c r="X30" s="843"/>
      <c r="Y30" s="843"/>
      <c r="Z30" s="843"/>
      <c r="AA30" s="837"/>
      <c r="AB30" s="837"/>
      <c r="AC30" s="845">
        <f t="shared" si="5"/>
        <v>0</v>
      </c>
      <c r="AD30" s="846">
        <f t="shared" si="6"/>
        <v>0</v>
      </c>
      <c r="AE30" s="847">
        <f t="shared" si="7"/>
        <v>0</v>
      </c>
      <c r="AF30" s="855">
        <f t="shared" si="0"/>
        <v>0</v>
      </c>
      <c r="AG30" s="848">
        <f>IF('Input Sheet'!$C$15="Yes",'Input Sheet'!$F$8,0)</f>
        <v>0</v>
      </c>
      <c r="AH30" s="846">
        <f>IF('Input Sheet'!$C$15="Yes",Rates!$E$45,0)</f>
        <v>0</v>
      </c>
      <c r="AI30" s="849">
        <f>IF('Input Sheet'!$C$15="Yes",'Input Sheet'!$F$11,0)</f>
        <v>0</v>
      </c>
      <c r="AJ30" s="850">
        <f>IF('Input Sheet'!$C$15="Yes",'Input Sheet'!$F$7,0)</f>
        <v>0</v>
      </c>
      <c r="AK30" s="856">
        <f t="shared" si="1"/>
        <v>0</v>
      </c>
      <c r="AL30" s="856">
        <f t="shared" si="2"/>
        <v>0</v>
      </c>
      <c r="AM30" s="856">
        <f t="shared" si="8"/>
        <v>0</v>
      </c>
      <c r="AN30" s="856">
        <f t="shared" si="9"/>
        <v>0</v>
      </c>
      <c r="AO30" s="852">
        <f t="shared" si="10"/>
        <v>0</v>
      </c>
      <c r="AP30" s="853">
        <f t="shared" si="11"/>
        <v>0</v>
      </c>
      <c r="AQ30" s="854">
        <f>IFERROR(P30*'Input Sheet'!$F$8/(((AI30)*AK30*2)-AN30),0)</f>
        <v>0</v>
      </c>
      <c r="AR30" s="854">
        <f>IFERROR(($P30-$AF30)*'Input Sheet'!$F$8/(((AI30)*AK30*2)-AN30),0)</f>
        <v>0</v>
      </c>
    </row>
    <row r="31" spans="2:44" s="798" customFormat="1" ht="30" customHeight="1" thickBot="1" x14ac:dyDescent="0.3">
      <c r="B31" s="835"/>
      <c r="C31" s="836"/>
      <c r="D31" s="836"/>
      <c r="E31" s="837"/>
      <c r="F31" s="837"/>
      <c r="G31" s="838"/>
      <c r="H31" s="838"/>
      <c r="I31" s="839"/>
      <c r="J31" s="839"/>
      <c r="K31" s="840"/>
      <c r="L31" s="841"/>
      <c r="M31" s="841"/>
      <c r="N31" s="842"/>
      <c r="O31" s="842"/>
      <c r="P31" s="843"/>
      <c r="Q31" s="843"/>
      <c r="R31" s="843"/>
      <c r="S31" s="844">
        <f t="shared" si="4"/>
        <v>0</v>
      </c>
      <c r="T31" s="838"/>
      <c r="U31" s="842"/>
      <c r="V31" s="843"/>
      <c r="W31" s="843"/>
      <c r="X31" s="843"/>
      <c r="Y31" s="843"/>
      <c r="Z31" s="843"/>
      <c r="AA31" s="837"/>
      <c r="AB31" s="837"/>
      <c r="AC31" s="845">
        <f t="shared" si="5"/>
        <v>0</v>
      </c>
      <c r="AD31" s="846">
        <f t="shared" si="6"/>
        <v>0</v>
      </c>
      <c r="AE31" s="847">
        <f t="shared" si="7"/>
        <v>0</v>
      </c>
      <c r="AF31" s="855">
        <f t="shared" si="0"/>
        <v>0</v>
      </c>
      <c r="AG31" s="848">
        <f>IF('Input Sheet'!$C$15="Yes",'Input Sheet'!$F$8,0)</f>
        <v>0</v>
      </c>
      <c r="AH31" s="846">
        <f>IF('Input Sheet'!$C$15="Yes",Rates!$E$45,0)</f>
        <v>0</v>
      </c>
      <c r="AI31" s="849">
        <f>IF('Input Sheet'!$C$15="Yes",'Input Sheet'!$F$11,0)</f>
        <v>0</v>
      </c>
      <c r="AJ31" s="850">
        <f>IF('Input Sheet'!$C$15="Yes",'Input Sheet'!$F$7,0)</f>
        <v>0</v>
      </c>
      <c r="AK31" s="856">
        <f t="shared" si="1"/>
        <v>0</v>
      </c>
      <c r="AL31" s="856">
        <f t="shared" si="2"/>
        <v>0</v>
      </c>
      <c r="AM31" s="856">
        <f t="shared" si="8"/>
        <v>0</v>
      </c>
      <c r="AN31" s="856">
        <f t="shared" si="9"/>
        <v>0</v>
      </c>
      <c r="AO31" s="852">
        <f t="shared" si="10"/>
        <v>0</v>
      </c>
      <c r="AP31" s="853">
        <f t="shared" si="11"/>
        <v>0</v>
      </c>
      <c r="AQ31" s="854">
        <f>IFERROR(P31*'Input Sheet'!$F$8/(((AI31)*AK31*2)-AN31),0)</f>
        <v>0</v>
      </c>
      <c r="AR31" s="854">
        <f>IFERROR(($P31-$AF31)*'Input Sheet'!$F$8/(((AI31)*AK31*2)-AN31),0)</f>
        <v>0</v>
      </c>
    </row>
    <row r="32" spans="2:44" s="798" customFormat="1" ht="30" customHeight="1" thickBot="1" x14ac:dyDescent="0.3">
      <c r="B32" s="835"/>
      <c r="C32" s="836"/>
      <c r="D32" s="836"/>
      <c r="E32" s="837"/>
      <c r="F32" s="837"/>
      <c r="G32" s="838"/>
      <c r="H32" s="838"/>
      <c r="I32" s="839"/>
      <c r="J32" s="839"/>
      <c r="K32" s="840"/>
      <c r="L32" s="841"/>
      <c r="M32" s="841"/>
      <c r="N32" s="842"/>
      <c r="O32" s="842"/>
      <c r="P32" s="843"/>
      <c r="Q32" s="843"/>
      <c r="R32" s="843"/>
      <c r="S32" s="844">
        <f t="shared" si="4"/>
        <v>0</v>
      </c>
      <c r="T32" s="838"/>
      <c r="U32" s="842"/>
      <c r="V32" s="843"/>
      <c r="W32" s="843"/>
      <c r="X32" s="843"/>
      <c r="Y32" s="843"/>
      <c r="Z32" s="843"/>
      <c r="AA32" s="837"/>
      <c r="AB32" s="837"/>
      <c r="AC32" s="845">
        <f t="shared" si="5"/>
        <v>0</v>
      </c>
      <c r="AD32" s="846">
        <f t="shared" si="6"/>
        <v>0</v>
      </c>
      <c r="AE32" s="847">
        <f t="shared" si="7"/>
        <v>0</v>
      </c>
      <c r="AF32" s="855">
        <f t="shared" si="0"/>
        <v>0</v>
      </c>
      <c r="AG32" s="848">
        <f>IF('Input Sheet'!$C$15="Yes",'Input Sheet'!$F$8,0)</f>
        <v>0</v>
      </c>
      <c r="AH32" s="846">
        <f>IF('Input Sheet'!$C$15="Yes",Rates!$E$45,0)</f>
        <v>0</v>
      </c>
      <c r="AI32" s="849">
        <f>IF('Input Sheet'!$C$15="Yes",'Input Sheet'!$F$11,0)</f>
        <v>0</v>
      </c>
      <c r="AJ32" s="850">
        <f>IF('Input Sheet'!$C$15="Yes",'Input Sheet'!$F$7,0)</f>
        <v>0</v>
      </c>
      <c r="AK32" s="856">
        <f t="shared" si="1"/>
        <v>0</v>
      </c>
      <c r="AL32" s="856">
        <f t="shared" si="2"/>
        <v>0</v>
      </c>
      <c r="AM32" s="856">
        <f t="shared" si="8"/>
        <v>0</v>
      </c>
      <c r="AN32" s="856">
        <f t="shared" si="9"/>
        <v>0</v>
      </c>
      <c r="AO32" s="852">
        <f t="shared" si="10"/>
        <v>0</v>
      </c>
      <c r="AP32" s="853">
        <f t="shared" si="11"/>
        <v>0</v>
      </c>
      <c r="AQ32" s="854">
        <f>IFERROR(P32*'Input Sheet'!$F$8/(((AI32)*AK32*2)-AN32),0)</f>
        <v>0</v>
      </c>
      <c r="AR32" s="854">
        <f>IFERROR(($P32-$AF32)*'Input Sheet'!$F$8/(((AI32)*AK32*2)-AN32),0)</f>
        <v>0</v>
      </c>
    </row>
    <row r="33" spans="2:44" s="798" customFormat="1" ht="30" customHeight="1" thickBot="1" x14ac:dyDescent="0.3">
      <c r="B33" s="835"/>
      <c r="C33" s="836"/>
      <c r="D33" s="836"/>
      <c r="E33" s="837"/>
      <c r="F33" s="837"/>
      <c r="G33" s="838"/>
      <c r="H33" s="838"/>
      <c r="I33" s="839"/>
      <c r="J33" s="839"/>
      <c r="K33" s="840"/>
      <c r="L33" s="841"/>
      <c r="M33" s="841"/>
      <c r="N33" s="842"/>
      <c r="O33" s="842"/>
      <c r="P33" s="843"/>
      <c r="Q33" s="843"/>
      <c r="R33" s="843"/>
      <c r="S33" s="844">
        <f t="shared" si="4"/>
        <v>0</v>
      </c>
      <c r="T33" s="838"/>
      <c r="U33" s="842"/>
      <c r="V33" s="843"/>
      <c r="W33" s="843"/>
      <c r="X33" s="843"/>
      <c r="Y33" s="843"/>
      <c r="Z33" s="843"/>
      <c r="AA33" s="837"/>
      <c r="AB33" s="837"/>
      <c r="AC33" s="845">
        <f t="shared" si="5"/>
        <v>0</v>
      </c>
      <c r="AD33" s="846">
        <f t="shared" si="6"/>
        <v>0</v>
      </c>
      <c r="AE33" s="847">
        <f t="shared" si="7"/>
        <v>0</v>
      </c>
      <c r="AF33" s="855">
        <f t="shared" si="0"/>
        <v>0</v>
      </c>
      <c r="AG33" s="848">
        <f>IF('Input Sheet'!$C$15="Yes",'Input Sheet'!$F$8,0)</f>
        <v>0</v>
      </c>
      <c r="AH33" s="846">
        <f>IF('Input Sheet'!$C$15="Yes",Rates!$E$45,0)</f>
        <v>0</v>
      </c>
      <c r="AI33" s="849">
        <f>IF('Input Sheet'!$C$15="Yes",'Input Sheet'!$F$11,0)</f>
        <v>0</v>
      </c>
      <c r="AJ33" s="850">
        <f>IF('Input Sheet'!$C$15="Yes",'Input Sheet'!$F$7,0)</f>
        <v>0</v>
      </c>
      <c r="AK33" s="856">
        <f t="shared" si="1"/>
        <v>0</v>
      </c>
      <c r="AL33" s="856">
        <f t="shared" si="2"/>
        <v>0</v>
      </c>
      <c r="AM33" s="856">
        <f t="shared" si="8"/>
        <v>0</v>
      </c>
      <c r="AN33" s="856">
        <f t="shared" si="9"/>
        <v>0</v>
      </c>
      <c r="AO33" s="852">
        <f t="shared" si="10"/>
        <v>0</v>
      </c>
      <c r="AP33" s="853">
        <f t="shared" si="11"/>
        <v>0</v>
      </c>
      <c r="AQ33" s="854">
        <f>IFERROR(P33*'Input Sheet'!$F$8/(((AI33)*AK33*2)-AN33),0)</f>
        <v>0</v>
      </c>
      <c r="AR33" s="854">
        <f>IFERROR(($P33-$AF33)*'Input Sheet'!$F$8/(((AI33)*AK33*2)-AN33),0)</f>
        <v>0</v>
      </c>
    </row>
    <row r="34" spans="2:44" s="798" customFormat="1" ht="30" customHeight="1" thickBot="1" x14ac:dyDescent="0.3">
      <c r="B34" s="835"/>
      <c r="C34" s="836"/>
      <c r="D34" s="836"/>
      <c r="E34" s="837"/>
      <c r="F34" s="837"/>
      <c r="G34" s="838"/>
      <c r="H34" s="838"/>
      <c r="I34" s="839"/>
      <c r="J34" s="839"/>
      <c r="K34" s="840"/>
      <c r="L34" s="841"/>
      <c r="M34" s="841"/>
      <c r="N34" s="842"/>
      <c r="O34" s="842"/>
      <c r="P34" s="843"/>
      <c r="Q34" s="843"/>
      <c r="R34" s="843"/>
      <c r="S34" s="844">
        <f t="shared" si="4"/>
        <v>0</v>
      </c>
      <c r="T34" s="838"/>
      <c r="U34" s="842"/>
      <c r="V34" s="843"/>
      <c r="W34" s="843"/>
      <c r="X34" s="843"/>
      <c r="Y34" s="843"/>
      <c r="Z34" s="843"/>
      <c r="AA34" s="837"/>
      <c r="AB34" s="837"/>
      <c r="AC34" s="845">
        <f t="shared" si="5"/>
        <v>0</v>
      </c>
      <c r="AD34" s="846">
        <f t="shared" si="6"/>
        <v>0</v>
      </c>
      <c r="AE34" s="847">
        <f t="shared" si="7"/>
        <v>0</v>
      </c>
      <c r="AF34" s="855">
        <f t="shared" si="0"/>
        <v>0</v>
      </c>
      <c r="AG34" s="848">
        <f>IF('Input Sheet'!$C$15="Yes",'Input Sheet'!$F$8,0)</f>
        <v>0</v>
      </c>
      <c r="AH34" s="846">
        <f>IF('Input Sheet'!$C$15="Yes",Rates!$E$45,0)</f>
        <v>0</v>
      </c>
      <c r="AI34" s="849">
        <f>IF('Input Sheet'!$C$15="Yes",'Input Sheet'!$F$11,0)</f>
        <v>0</v>
      </c>
      <c r="AJ34" s="850">
        <f>IF('Input Sheet'!$C$15="Yes",'Input Sheet'!$F$7,0)</f>
        <v>0</v>
      </c>
      <c r="AK34" s="856">
        <f t="shared" si="1"/>
        <v>0</v>
      </c>
      <c r="AL34" s="856">
        <f t="shared" si="2"/>
        <v>0</v>
      </c>
      <c r="AM34" s="856">
        <f t="shared" si="8"/>
        <v>0</v>
      </c>
      <c r="AN34" s="856">
        <f t="shared" si="9"/>
        <v>0</v>
      </c>
      <c r="AO34" s="852">
        <f t="shared" si="10"/>
        <v>0</v>
      </c>
      <c r="AP34" s="853">
        <f t="shared" si="11"/>
        <v>0</v>
      </c>
      <c r="AQ34" s="854">
        <f>IFERROR(P34*'Input Sheet'!$F$8/(((AI34)*AK34*2)-AN34),0)</f>
        <v>0</v>
      </c>
      <c r="AR34" s="854">
        <f>IFERROR(($P34-$AF34)*'Input Sheet'!$F$8/(((AI34)*AK34*2)-AN34),0)</f>
        <v>0</v>
      </c>
    </row>
    <row r="35" spans="2:44" s="798" customFormat="1" ht="30" customHeight="1" thickBot="1" x14ac:dyDescent="0.3">
      <c r="B35" s="835"/>
      <c r="C35" s="836"/>
      <c r="D35" s="836"/>
      <c r="E35" s="837"/>
      <c r="F35" s="837"/>
      <c r="G35" s="838"/>
      <c r="H35" s="838"/>
      <c r="I35" s="839"/>
      <c r="J35" s="839"/>
      <c r="K35" s="840"/>
      <c r="L35" s="841"/>
      <c r="M35" s="841"/>
      <c r="N35" s="842"/>
      <c r="O35" s="842"/>
      <c r="P35" s="843"/>
      <c r="Q35" s="843"/>
      <c r="R35" s="843"/>
      <c r="S35" s="844">
        <f t="shared" si="4"/>
        <v>0</v>
      </c>
      <c r="T35" s="838"/>
      <c r="U35" s="842"/>
      <c r="V35" s="843"/>
      <c r="W35" s="843"/>
      <c r="X35" s="843"/>
      <c r="Y35" s="843"/>
      <c r="Z35" s="843"/>
      <c r="AA35" s="837"/>
      <c r="AB35" s="837"/>
      <c r="AC35" s="845">
        <f t="shared" si="5"/>
        <v>0</v>
      </c>
      <c r="AD35" s="846">
        <f t="shared" si="6"/>
        <v>0</v>
      </c>
      <c r="AE35" s="847">
        <f t="shared" si="7"/>
        <v>0</v>
      </c>
      <c r="AF35" s="855">
        <f t="shared" si="0"/>
        <v>0</v>
      </c>
      <c r="AG35" s="848">
        <f>IF('Input Sheet'!$C$15="Yes",'Input Sheet'!$F$8,0)</f>
        <v>0</v>
      </c>
      <c r="AH35" s="846">
        <f>IF('Input Sheet'!$C$15="Yes",Rates!$E$45,0)</f>
        <v>0</v>
      </c>
      <c r="AI35" s="849">
        <f>IF('Input Sheet'!$C$15="Yes",'Input Sheet'!$F$11,0)</f>
        <v>0</v>
      </c>
      <c r="AJ35" s="850">
        <f>IF('Input Sheet'!$C$15="Yes",'Input Sheet'!$F$7,0)</f>
        <v>0</v>
      </c>
      <c r="AK35" s="856">
        <f t="shared" si="1"/>
        <v>0</v>
      </c>
      <c r="AL35" s="856">
        <f t="shared" si="2"/>
        <v>0</v>
      </c>
      <c r="AM35" s="856">
        <f t="shared" si="8"/>
        <v>0</v>
      </c>
      <c r="AN35" s="856">
        <f t="shared" si="9"/>
        <v>0</v>
      </c>
      <c r="AO35" s="852">
        <f t="shared" si="10"/>
        <v>0</v>
      </c>
      <c r="AP35" s="853">
        <f t="shared" si="11"/>
        <v>0</v>
      </c>
      <c r="AQ35" s="854">
        <f>IFERROR(P35*'Input Sheet'!$F$8/(((AI35)*AK35*2)-AN35),0)</f>
        <v>0</v>
      </c>
      <c r="AR35" s="854">
        <f>IFERROR(($P35-$AF35)*'Input Sheet'!$F$8/(((AI35)*AK35*2)-AN35),0)</f>
        <v>0</v>
      </c>
    </row>
    <row r="36" spans="2:44" s="798" customFormat="1" ht="30" customHeight="1" thickBot="1" x14ac:dyDescent="0.3">
      <c r="B36" s="835"/>
      <c r="C36" s="836"/>
      <c r="D36" s="836"/>
      <c r="E36" s="837"/>
      <c r="F36" s="837"/>
      <c r="G36" s="838"/>
      <c r="H36" s="838"/>
      <c r="I36" s="839"/>
      <c r="J36" s="839"/>
      <c r="K36" s="840"/>
      <c r="L36" s="841"/>
      <c r="M36" s="841"/>
      <c r="N36" s="842"/>
      <c r="O36" s="842"/>
      <c r="P36" s="843"/>
      <c r="Q36" s="843"/>
      <c r="R36" s="843"/>
      <c r="S36" s="844">
        <f t="shared" si="4"/>
        <v>0</v>
      </c>
      <c r="T36" s="838"/>
      <c r="U36" s="842"/>
      <c r="V36" s="843"/>
      <c r="W36" s="843"/>
      <c r="X36" s="843"/>
      <c r="Y36" s="843"/>
      <c r="Z36" s="843"/>
      <c r="AA36" s="837"/>
      <c r="AB36" s="837"/>
      <c r="AC36" s="845">
        <f t="shared" si="5"/>
        <v>0</v>
      </c>
      <c r="AD36" s="846">
        <f t="shared" si="6"/>
        <v>0</v>
      </c>
      <c r="AE36" s="847">
        <f t="shared" si="7"/>
        <v>0</v>
      </c>
      <c r="AF36" s="855">
        <f t="shared" si="0"/>
        <v>0</v>
      </c>
      <c r="AG36" s="848">
        <f>IF('Input Sheet'!$C$15="Yes",'Input Sheet'!$F$8,0)</f>
        <v>0</v>
      </c>
      <c r="AH36" s="846">
        <f>IF('Input Sheet'!$C$15="Yes",Rates!$E$45,0)</f>
        <v>0</v>
      </c>
      <c r="AI36" s="849">
        <f>IF('Input Sheet'!$C$15="Yes",'Input Sheet'!$F$11,0)</f>
        <v>0</v>
      </c>
      <c r="AJ36" s="850">
        <f>IF('Input Sheet'!$C$15="Yes",'Input Sheet'!$F$7,0)</f>
        <v>0</v>
      </c>
      <c r="AK36" s="856">
        <f t="shared" si="1"/>
        <v>0</v>
      </c>
      <c r="AL36" s="856">
        <f t="shared" si="2"/>
        <v>0</v>
      </c>
      <c r="AM36" s="856">
        <f t="shared" si="8"/>
        <v>0</v>
      </c>
      <c r="AN36" s="856">
        <f t="shared" si="9"/>
        <v>0</v>
      </c>
      <c r="AO36" s="852">
        <f t="shared" si="10"/>
        <v>0</v>
      </c>
      <c r="AP36" s="853">
        <f t="shared" si="11"/>
        <v>0</v>
      </c>
      <c r="AQ36" s="854">
        <f>IFERROR(P36*'Input Sheet'!$F$8/(((AI36)*AK36*2)-AN36),0)</f>
        <v>0</v>
      </c>
      <c r="AR36" s="854">
        <f>IFERROR(($P36-$AF36)*'Input Sheet'!$F$8/(((AI36)*AK36*2)-AN36),0)</f>
        <v>0</v>
      </c>
    </row>
    <row r="37" spans="2:44" s="798" customFormat="1" ht="30" customHeight="1" thickBot="1" x14ac:dyDescent="0.3">
      <c r="B37" s="835"/>
      <c r="C37" s="836"/>
      <c r="D37" s="836"/>
      <c r="E37" s="837"/>
      <c r="F37" s="837"/>
      <c r="G37" s="838"/>
      <c r="H37" s="838"/>
      <c r="I37" s="839"/>
      <c r="J37" s="839"/>
      <c r="K37" s="840"/>
      <c r="L37" s="841"/>
      <c r="M37" s="841"/>
      <c r="N37" s="842"/>
      <c r="O37" s="842"/>
      <c r="P37" s="843"/>
      <c r="Q37" s="843"/>
      <c r="R37" s="843"/>
      <c r="S37" s="844">
        <f t="shared" si="4"/>
        <v>0</v>
      </c>
      <c r="T37" s="838"/>
      <c r="U37" s="842"/>
      <c r="V37" s="843"/>
      <c r="W37" s="843"/>
      <c r="X37" s="843"/>
      <c r="Y37" s="843"/>
      <c r="Z37" s="843"/>
      <c r="AA37" s="837"/>
      <c r="AB37" s="837"/>
      <c r="AC37" s="845">
        <f t="shared" si="5"/>
        <v>0</v>
      </c>
      <c r="AD37" s="846">
        <f t="shared" si="6"/>
        <v>0</v>
      </c>
      <c r="AE37" s="847">
        <f t="shared" si="7"/>
        <v>0</v>
      </c>
      <c r="AF37" s="855">
        <f t="shared" si="0"/>
        <v>0</v>
      </c>
      <c r="AG37" s="848">
        <f>IF('Input Sheet'!$C$15="Yes",'Input Sheet'!$F$8,0)</f>
        <v>0</v>
      </c>
      <c r="AH37" s="846">
        <f>IF('Input Sheet'!$C$15="Yes",Rates!$E$45,0)</f>
        <v>0</v>
      </c>
      <c r="AI37" s="849">
        <f>IF('Input Sheet'!$C$15="Yes",'Input Sheet'!$F$11,0)</f>
        <v>0</v>
      </c>
      <c r="AJ37" s="850">
        <f>IF('Input Sheet'!$C$15="Yes",'Input Sheet'!$F$7,0)</f>
        <v>0</v>
      </c>
      <c r="AK37" s="856">
        <f t="shared" si="1"/>
        <v>0</v>
      </c>
      <c r="AL37" s="856">
        <f t="shared" si="2"/>
        <v>0</v>
      </c>
      <c r="AM37" s="856">
        <f t="shared" si="8"/>
        <v>0</v>
      </c>
      <c r="AN37" s="856">
        <f t="shared" si="9"/>
        <v>0</v>
      </c>
      <c r="AO37" s="852">
        <f t="shared" si="10"/>
        <v>0</v>
      </c>
      <c r="AP37" s="853">
        <f t="shared" si="11"/>
        <v>0</v>
      </c>
      <c r="AQ37" s="854">
        <f>IFERROR(P37*'Input Sheet'!$F$8/(((AI37)*AK37*2)-AN37),0)</f>
        <v>0</v>
      </c>
      <c r="AR37" s="854">
        <f>IFERROR(($P37-$AF37)*'Input Sheet'!$F$8/(((AI37)*AK37*2)-AN37),0)</f>
        <v>0</v>
      </c>
    </row>
    <row r="38" spans="2:44" s="798" customFormat="1" ht="30" customHeight="1" thickBot="1" x14ac:dyDescent="0.3">
      <c r="B38" s="835"/>
      <c r="C38" s="836"/>
      <c r="D38" s="836"/>
      <c r="E38" s="837"/>
      <c r="F38" s="837"/>
      <c r="G38" s="838"/>
      <c r="H38" s="838"/>
      <c r="I38" s="839"/>
      <c r="J38" s="839"/>
      <c r="K38" s="840"/>
      <c r="L38" s="841"/>
      <c r="M38" s="841"/>
      <c r="N38" s="842"/>
      <c r="O38" s="842"/>
      <c r="P38" s="843"/>
      <c r="Q38" s="843"/>
      <c r="R38" s="843"/>
      <c r="S38" s="844">
        <f t="shared" si="4"/>
        <v>0</v>
      </c>
      <c r="T38" s="838"/>
      <c r="U38" s="842"/>
      <c r="V38" s="843"/>
      <c r="W38" s="843"/>
      <c r="X38" s="843"/>
      <c r="Y38" s="843"/>
      <c r="Z38" s="843"/>
      <c r="AA38" s="837"/>
      <c r="AB38" s="837"/>
      <c r="AC38" s="845">
        <f t="shared" si="5"/>
        <v>0</v>
      </c>
      <c r="AD38" s="846">
        <f t="shared" si="6"/>
        <v>0</v>
      </c>
      <c r="AE38" s="847">
        <f t="shared" si="7"/>
        <v>0</v>
      </c>
      <c r="AF38" s="855">
        <f t="shared" si="0"/>
        <v>0</v>
      </c>
      <c r="AG38" s="848">
        <f>IF('Input Sheet'!$C$15="Yes",'Input Sheet'!$F$8,0)</f>
        <v>0</v>
      </c>
      <c r="AH38" s="846">
        <f>IF('Input Sheet'!$C$15="Yes",Rates!$E$45,0)</f>
        <v>0</v>
      </c>
      <c r="AI38" s="849">
        <f>IF('Input Sheet'!$C$15="Yes",'Input Sheet'!$F$11,0)</f>
        <v>0</v>
      </c>
      <c r="AJ38" s="850">
        <f>IF('Input Sheet'!$C$15="Yes",'Input Sheet'!$F$7,0)</f>
        <v>0</v>
      </c>
      <c r="AK38" s="856">
        <f t="shared" si="1"/>
        <v>0</v>
      </c>
      <c r="AL38" s="856">
        <f t="shared" si="2"/>
        <v>0</v>
      </c>
      <c r="AM38" s="856">
        <f t="shared" si="8"/>
        <v>0</v>
      </c>
      <c r="AN38" s="856">
        <f t="shared" si="9"/>
        <v>0</v>
      </c>
      <c r="AO38" s="852">
        <f t="shared" si="10"/>
        <v>0</v>
      </c>
      <c r="AP38" s="853">
        <f t="shared" si="11"/>
        <v>0</v>
      </c>
      <c r="AQ38" s="854">
        <f>IFERROR(P38*'Input Sheet'!$F$8/(((AI38)*AK38*2)-AN38),0)</f>
        <v>0</v>
      </c>
      <c r="AR38" s="854">
        <f>IFERROR(($P38-$AF38)*'Input Sheet'!$F$8/(((AI38)*AK38*2)-AN38),0)</f>
        <v>0</v>
      </c>
    </row>
    <row r="39" spans="2:44" s="798" customFormat="1" ht="30" customHeight="1" thickBot="1" x14ac:dyDescent="0.3">
      <c r="B39" s="835"/>
      <c r="C39" s="836"/>
      <c r="D39" s="836"/>
      <c r="E39" s="837"/>
      <c r="F39" s="837"/>
      <c r="G39" s="838"/>
      <c r="H39" s="838"/>
      <c r="I39" s="839"/>
      <c r="J39" s="839"/>
      <c r="K39" s="840"/>
      <c r="L39" s="841"/>
      <c r="M39" s="841"/>
      <c r="N39" s="842"/>
      <c r="O39" s="842"/>
      <c r="P39" s="843"/>
      <c r="Q39" s="843"/>
      <c r="R39" s="843"/>
      <c r="S39" s="844">
        <f t="shared" si="4"/>
        <v>0</v>
      </c>
      <c r="T39" s="838"/>
      <c r="U39" s="842"/>
      <c r="V39" s="843"/>
      <c r="W39" s="843"/>
      <c r="X39" s="843"/>
      <c r="Y39" s="843"/>
      <c r="Z39" s="843"/>
      <c r="AA39" s="837"/>
      <c r="AB39" s="837"/>
      <c r="AC39" s="845">
        <f t="shared" si="5"/>
        <v>0</v>
      </c>
      <c r="AD39" s="846">
        <f t="shared" si="6"/>
        <v>0</v>
      </c>
      <c r="AE39" s="847">
        <f t="shared" si="7"/>
        <v>0</v>
      </c>
      <c r="AF39" s="855">
        <f t="shared" si="0"/>
        <v>0</v>
      </c>
      <c r="AG39" s="848">
        <f>IF('Input Sheet'!$C$15="Yes",'Input Sheet'!$F$8,0)</f>
        <v>0</v>
      </c>
      <c r="AH39" s="846">
        <f>IF('Input Sheet'!$C$15="Yes",Rates!$E$45,0)</f>
        <v>0</v>
      </c>
      <c r="AI39" s="849">
        <f>IF('Input Sheet'!$C$15="Yes",'Input Sheet'!$F$11,0)</f>
        <v>0</v>
      </c>
      <c r="AJ39" s="850">
        <f>IF('Input Sheet'!$C$15="Yes",'Input Sheet'!$F$7,0)</f>
        <v>0</v>
      </c>
      <c r="AK39" s="856">
        <f t="shared" si="1"/>
        <v>0</v>
      </c>
      <c r="AL39" s="856">
        <f t="shared" si="2"/>
        <v>0</v>
      </c>
      <c r="AM39" s="856">
        <f t="shared" si="8"/>
        <v>0</v>
      </c>
      <c r="AN39" s="856">
        <f t="shared" si="9"/>
        <v>0</v>
      </c>
      <c r="AO39" s="852">
        <f t="shared" si="10"/>
        <v>0</v>
      </c>
      <c r="AP39" s="853">
        <f t="shared" si="11"/>
        <v>0</v>
      </c>
      <c r="AQ39" s="854">
        <f>IFERROR(P39*'Input Sheet'!$F$8/(((AI39)*AK39*2)-AN39),0)</f>
        <v>0</v>
      </c>
      <c r="AR39" s="854">
        <f>IFERROR(($P39-$AF39)*'Input Sheet'!$F$8/(((AI39)*AK39*2)-AN39),0)</f>
        <v>0</v>
      </c>
    </row>
    <row r="40" spans="2:44" s="798" customFormat="1" ht="30" customHeight="1" thickBot="1" x14ac:dyDescent="0.3">
      <c r="B40" s="835"/>
      <c r="C40" s="836"/>
      <c r="D40" s="836"/>
      <c r="E40" s="837"/>
      <c r="F40" s="837"/>
      <c r="G40" s="838"/>
      <c r="H40" s="838"/>
      <c r="I40" s="839"/>
      <c r="J40" s="839"/>
      <c r="K40" s="840"/>
      <c r="L40" s="841"/>
      <c r="M40" s="841"/>
      <c r="N40" s="842"/>
      <c r="O40" s="842"/>
      <c r="P40" s="843"/>
      <c r="Q40" s="843"/>
      <c r="R40" s="843"/>
      <c r="S40" s="844">
        <f t="shared" si="4"/>
        <v>0</v>
      </c>
      <c r="T40" s="838"/>
      <c r="U40" s="842"/>
      <c r="V40" s="843"/>
      <c r="W40" s="843"/>
      <c r="X40" s="843"/>
      <c r="Y40" s="843"/>
      <c r="Z40" s="843"/>
      <c r="AA40" s="837"/>
      <c r="AB40" s="837"/>
      <c r="AC40" s="845">
        <f t="shared" si="5"/>
        <v>0</v>
      </c>
      <c r="AD40" s="846">
        <f t="shared" si="6"/>
        <v>0</v>
      </c>
      <c r="AE40" s="847">
        <f t="shared" si="7"/>
        <v>0</v>
      </c>
      <c r="AF40" s="855">
        <f t="shared" si="0"/>
        <v>0</v>
      </c>
      <c r="AG40" s="848">
        <f>IF('Input Sheet'!$C$15="Yes",'Input Sheet'!$F$8,0)</f>
        <v>0</v>
      </c>
      <c r="AH40" s="846">
        <f>IF('Input Sheet'!$C$15="Yes",Rates!$E$45,0)</f>
        <v>0</v>
      </c>
      <c r="AI40" s="849">
        <f>IF('Input Sheet'!$C$15="Yes",'Input Sheet'!$F$11,0)</f>
        <v>0</v>
      </c>
      <c r="AJ40" s="850">
        <f>IF('Input Sheet'!$C$15="Yes",'Input Sheet'!$F$7,0)</f>
        <v>0</v>
      </c>
      <c r="AK40" s="856">
        <f t="shared" si="1"/>
        <v>0</v>
      </c>
      <c r="AL40" s="856">
        <f t="shared" si="2"/>
        <v>0</v>
      </c>
      <c r="AM40" s="856">
        <f t="shared" si="8"/>
        <v>0</v>
      </c>
      <c r="AN40" s="856">
        <f t="shared" si="9"/>
        <v>0</v>
      </c>
      <c r="AO40" s="852">
        <f t="shared" si="10"/>
        <v>0</v>
      </c>
      <c r="AP40" s="853">
        <f t="shared" si="11"/>
        <v>0</v>
      </c>
      <c r="AQ40" s="854">
        <f>IFERROR(P40*'Input Sheet'!$F$8/(((AI40)*AK40*2)-AN40),0)</f>
        <v>0</v>
      </c>
      <c r="AR40" s="854">
        <f>IFERROR(($P40-$AF40)*'Input Sheet'!$F$8/(((AI40)*AK40*2)-AN40),0)</f>
        <v>0</v>
      </c>
    </row>
    <row r="41" spans="2:44" s="798" customFormat="1" ht="30" customHeight="1" thickBot="1" x14ac:dyDescent="0.3">
      <c r="B41" s="835"/>
      <c r="C41" s="836"/>
      <c r="D41" s="836"/>
      <c r="E41" s="837"/>
      <c r="F41" s="837"/>
      <c r="G41" s="838"/>
      <c r="H41" s="838"/>
      <c r="I41" s="839"/>
      <c r="J41" s="839"/>
      <c r="K41" s="840"/>
      <c r="L41" s="841"/>
      <c r="M41" s="841"/>
      <c r="N41" s="842"/>
      <c r="O41" s="842"/>
      <c r="P41" s="843"/>
      <c r="Q41" s="843"/>
      <c r="R41" s="843"/>
      <c r="S41" s="844">
        <f t="shared" si="4"/>
        <v>0</v>
      </c>
      <c r="T41" s="838"/>
      <c r="U41" s="842"/>
      <c r="V41" s="843"/>
      <c r="W41" s="843"/>
      <c r="X41" s="843"/>
      <c r="Y41" s="843"/>
      <c r="Z41" s="843"/>
      <c r="AA41" s="837"/>
      <c r="AB41" s="837"/>
      <c r="AC41" s="845">
        <f t="shared" si="5"/>
        <v>0</v>
      </c>
      <c r="AD41" s="846">
        <f t="shared" si="6"/>
        <v>0</v>
      </c>
      <c r="AE41" s="847">
        <f t="shared" si="7"/>
        <v>0</v>
      </c>
      <c r="AF41" s="855">
        <f t="shared" si="0"/>
        <v>0</v>
      </c>
      <c r="AG41" s="848">
        <f>IF('Input Sheet'!$C$15="Yes",'Input Sheet'!$F$8,0)</f>
        <v>0</v>
      </c>
      <c r="AH41" s="846">
        <f>IF('Input Sheet'!$C$15="Yes",Rates!$E$45,0)</f>
        <v>0</v>
      </c>
      <c r="AI41" s="849">
        <f>IF('Input Sheet'!$C$15="Yes",'Input Sheet'!$F$11,0)</f>
        <v>0</v>
      </c>
      <c r="AJ41" s="850">
        <f>IF('Input Sheet'!$C$15="Yes",'Input Sheet'!$F$7,0)</f>
        <v>0</v>
      </c>
      <c r="AK41" s="856">
        <f t="shared" si="1"/>
        <v>0</v>
      </c>
      <c r="AL41" s="856">
        <f t="shared" si="2"/>
        <v>0</v>
      </c>
      <c r="AM41" s="856">
        <f t="shared" si="8"/>
        <v>0</v>
      </c>
      <c r="AN41" s="856">
        <f t="shared" si="9"/>
        <v>0</v>
      </c>
      <c r="AO41" s="852">
        <f t="shared" si="10"/>
        <v>0</v>
      </c>
      <c r="AP41" s="853">
        <f t="shared" si="11"/>
        <v>0</v>
      </c>
      <c r="AQ41" s="854">
        <f>IFERROR(P41*'Input Sheet'!$F$8/(((AI41)*AK41*2)-AN41),0)</f>
        <v>0</v>
      </c>
      <c r="AR41" s="854">
        <f>IFERROR(($P41-$AF41)*'Input Sheet'!$F$8/(((AI41)*AK41*2)-AN41),0)</f>
        <v>0</v>
      </c>
    </row>
    <row r="42" spans="2:44" s="798" customFormat="1" ht="30" customHeight="1" thickBot="1" x14ac:dyDescent="0.3">
      <c r="B42" s="835"/>
      <c r="C42" s="836"/>
      <c r="D42" s="836"/>
      <c r="E42" s="837"/>
      <c r="F42" s="837"/>
      <c r="G42" s="838"/>
      <c r="H42" s="838"/>
      <c r="I42" s="839"/>
      <c r="J42" s="839"/>
      <c r="K42" s="840"/>
      <c r="L42" s="841"/>
      <c r="M42" s="841"/>
      <c r="N42" s="842"/>
      <c r="O42" s="842"/>
      <c r="P42" s="843"/>
      <c r="Q42" s="843"/>
      <c r="R42" s="843"/>
      <c r="S42" s="844">
        <f t="shared" si="4"/>
        <v>0</v>
      </c>
      <c r="T42" s="838"/>
      <c r="U42" s="842"/>
      <c r="V42" s="843"/>
      <c r="W42" s="843"/>
      <c r="X42" s="843"/>
      <c r="Y42" s="843"/>
      <c r="Z42" s="843"/>
      <c r="AA42" s="837"/>
      <c r="AB42" s="837"/>
      <c r="AC42" s="845">
        <f t="shared" si="5"/>
        <v>0</v>
      </c>
      <c r="AD42" s="846">
        <f t="shared" si="6"/>
        <v>0</v>
      </c>
      <c r="AE42" s="847">
        <f t="shared" si="7"/>
        <v>0</v>
      </c>
      <c r="AF42" s="855">
        <f t="shared" si="0"/>
        <v>0</v>
      </c>
      <c r="AG42" s="848">
        <f>IF('Input Sheet'!$C$15="Yes",'Input Sheet'!$F$8,0)</f>
        <v>0</v>
      </c>
      <c r="AH42" s="846">
        <f>IF('Input Sheet'!$C$15="Yes",Rates!$E$45,0)</f>
        <v>0</v>
      </c>
      <c r="AI42" s="849">
        <f>IF('Input Sheet'!$C$15="Yes",'Input Sheet'!$F$11,0)</f>
        <v>0</v>
      </c>
      <c r="AJ42" s="850">
        <f>IF('Input Sheet'!$C$15="Yes",'Input Sheet'!$F$7,0)</f>
        <v>0</v>
      </c>
      <c r="AK42" s="856">
        <f t="shared" si="1"/>
        <v>0</v>
      </c>
      <c r="AL42" s="856">
        <f t="shared" si="2"/>
        <v>0</v>
      </c>
      <c r="AM42" s="856">
        <f t="shared" si="8"/>
        <v>0</v>
      </c>
      <c r="AN42" s="856">
        <f t="shared" si="9"/>
        <v>0</v>
      </c>
      <c r="AO42" s="852">
        <f t="shared" si="10"/>
        <v>0</v>
      </c>
      <c r="AP42" s="853">
        <f t="shared" si="11"/>
        <v>0</v>
      </c>
      <c r="AQ42" s="854">
        <f>IFERROR(P42*'Input Sheet'!$F$8/(((AI42)*AK42*2)-AN42),0)</f>
        <v>0</v>
      </c>
      <c r="AR42" s="854">
        <f>IFERROR(($P42-$AF42)*'Input Sheet'!$F$8/(((AI42)*AK42*2)-AN42),0)</f>
        <v>0</v>
      </c>
    </row>
    <row r="43" spans="2:44" s="798" customFormat="1" ht="30" customHeight="1" thickBot="1" x14ac:dyDescent="0.3">
      <c r="B43" s="835"/>
      <c r="C43" s="836"/>
      <c r="D43" s="836"/>
      <c r="E43" s="837"/>
      <c r="F43" s="837"/>
      <c r="G43" s="838"/>
      <c r="H43" s="838"/>
      <c r="I43" s="839"/>
      <c r="J43" s="839"/>
      <c r="K43" s="840"/>
      <c r="L43" s="841"/>
      <c r="M43" s="841"/>
      <c r="N43" s="842"/>
      <c r="O43" s="842"/>
      <c r="P43" s="843"/>
      <c r="Q43" s="843"/>
      <c r="R43" s="843"/>
      <c r="S43" s="844">
        <f t="shared" si="4"/>
        <v>0</v>
      </c>
      <c r="T43" s="838"/>
      <c r="U43" s="842"/>
      <c r="V43" s="843"/>
      <c r="W43" s="843"/>
      <c r="X43" s="843"/>
      <c r="Y43" s="843"/>
      <c r="Z43" s="843"/>
      <c r="AA43" s="837"/>
      <c r="AB43" s="837"/>
      <c r="AC43" s="845">
        <f t="shared" si="5"/>
        <v>0</v>
      </c>
      <c r="AD43" s="846">
        <f t="shared" si="6"/>
        <v>0</v>
      </c>
      <c r="AE43" s="847">
        <f t="shared" si="7"/>
        <v>0</v>
      </c>
      <c r="AF43" s="855">
        <f t="shared" si="0"/>
        <v>0</v>
      </c>
      <c r="AG43" s="848">
        <f>IF('Input Sheet'!$C$15="Yes",'Input Sheet'!$F$8,0)</f>
        <v>0</v>
      </c>
      <c r="AH43" s="846">
        <f>IF('Input Sheet'!$C$15="Yes",Rates!$E$45,0)</f>
        <v>0</v>
      </c>
      <c r="AI43" s="849">
        <f>IF('Input Sheet'!$C$15="Yes",'Input Sheet'!$F$11,0)</f>
        <v>0</v>
      </c>
      <c r="AJ43" s="850">
        <f>IF('Input Sheet'!$C$15="Yes",'Input Sheet'!$F$7,0)</f>
        <v>0</v>
      </c>
      <c r="AK43" s="856">
        <f t="shared" si="1"/>
        <v>0</v>
      </c>
      <c r="AL43" s="856">
        <f t="shared" si="2"/>
        <v>0</v>
      </c>
      <c r="AM43" s="856">
        <f t="shared" si="8"/>
        <v>0</v>
      </c>
      <c r="AN43" s="856">
        <f t="shared" si="9"/>
        <v>0</v>
      </c>
      <c r="AO43" s="852">
        <f t="shared" si="10"/>
        <v>0</v>
      </c>
      <c r="AP43" s="853">
        <f t="shared" si="11"/>
        <v>0</v>
      </c>
      <c r="AQ43" s="854">
        <f>IFERROR(P43*'Input Sheet'!$F$8/(((AI43)*AK43*2)-AN43),0)</f>
        <v>0</v>
      </c>
      <c r="AR43" s="854">
        <f>IFERROR(($P43-$AF43)*'Input Sheet'!$F$8/(((AI43)*AK43*2)-AN43),0)</f>
        <v>0</v>
      </c>
    </row>
    <row r="44" spans="2:44" s="798" customFormat="1" ht="30" customHeight="1" thickBot="1" x14ac:dyDescent="0.3">
      <c r="B44" s="835"/>
      <c r="C44" s="836"/>
      <c r="D44" s="836"/>
      <c r="E44" s="837"/>
      <c r="F44" s="837"/>
      <c r="G44" s="838"/>
      <c r="H44" s="838"/>
      <c r="I44" s="839"/>
      <c r="J44" s="839"/>
      <c r="K44" s="840"/>
      <c r="L44" s="841"/>
      <c r="M44" s="841"/>
      <c r="N44" s="842"/>
      <c r="O44" s="842"/>
      <c r="P44" s="843"/>
      <c r="Q44" s="843"/>
      <c r="R44" s="843"/>
      <c r="S44" s="844">
        <f t="shared" si="4"/>
        <v>0</v>
      </c>
      <c r="T44" s="838"/>
      <c r="U44" s="842"/>
      <c r="V44" s="843"/>
      <c r="W44" s="843"/>
      <c r="X44" s="843"/>
      <c r="Y44" s="843"/>
      <c r="Z44" s="843"/>
      <c r="AA44" s="837"/>
      <c r="AB44" s="837"/>
      <c r="AC44" s="845">
        <f t="shared" si="5"/>
        <v>0</v>
      </c>
      <c r="AD44" s="846">
        <f t="shared" si="6"/>
        <v>0</v>
      </c>
      <c r="AE44" s="847">
        <f t="shared" si="7"/>
        <v>0</v>
      </c>
      <c r="AF44" s="855">
        <f t="shared" si="0"/>
        <v>0</v>
      </c>
      <c r="AG44" s="848">
        <f>IF('Input Sheet'!$C$15="Yes",'Input Sheet'!$F$8,0)</f>
        <v>0</v>
      </c>
      <c r="AH44" s="846">
        <f>IF('Input Sheet'!$C$15="Yes",Rates!$E$45,0)</f>
        <v>0</v>
      </c>
      <c r="AI44" s="849">
        <f>IF('Input Sheet'!$C$15="Yes",'Input Sheet'!$F$11,0)</f>
        <v>0</v>
      </c>
      <c r="AJ44" s="850">
        <f>IF('Input Sheet'!$C$15="Yes",'Input Sheet'!$F$7,0)</f>
        <v>0</v>
      </c>
      <c r="AK44" s="856">
        <f t="shared" si="1"/>
        <v>0</v>
      </c>
      <c r="AL44" s="856">
        <f t="shared" si="2"/>
        <v>0</v>
      </c>
      <c r="AM44" s="856">
        <f t="shared" si="8"/>
        <v>0</v>
      </c>
      <c r="AN44" s="856">
        <f t="shared" si="9"/>
        <v>0</v>
      </c>
      <c r="AO44" s="852">
        <f t="shared" si="10"/>
        <v>0</v>
      </c>
      <c r="AP44" s="853">
        <f t="shared" si="11"/>
        <v>0</v>
      </c>
      <c r="AQ44" s="854">
        <f>IFERROR(P44*'Input Sheet'!$F$8/(((AI44)*AK44*2)-AN44),0)</f>
        <v>0</v>
      </c>
      <c r="AR44" s="854">
        <f>IFERROR(($P44-$AF44)*'Input Sheet'!$F$8/(((AI44)*AK44*2)-AN44),0)</f>
        <v>0</v>
      </c>
    </row>
    <row r="45" spans="2:44" s="798" customFormat="1" ht="30" customHeight="1" thickBot="1" x14ac:dyDescent="0.3">
      <c r="B45" s="835"/>
      <c r="C45" s="836"/>
      <c r="D45" s="836"/>
      <c r="E45" s="837"/>
      <c r="F45" s="837"/>
      <c r="G45" s="838"/>
      <c r="H45" s="838"/>
      <c r="I45" s="839"/>
      <c r="J45" s="839"/>
      <c r="K45" s="840"/>
      <c r="L45" s="841"/>
      <c r="M45" s="841"/>
      <c r="N45" s="842"/>
      <c r="O45" s="842"/>
      <c r="P45" s="843"/>
      <c r="Q45" s="843"/>
      <c r="R45" s="843"/>
      <c r="S45" s="844">
        <f t="shared" si="4"/>
        <v>0</v>
      </c>
      <c r="T45" s="838"/>
      <c r="U45" s="842"/>
      <c r="V45" s="843"/>
      <c r="W45" s="843"/>
      <c r="X45" s="843"/>
      <c r="Y45" s="843"/>
      <c r="Z45" s="843"/>
      <c r="AA45" s="837"/>
      <c r="AB45" s="837"/>
      <c r="AC45" s="845">
        <f t="shared" si="5"/>
        <v>0</v>
      </c>
      <c r="AD45" s="846">
        <f t="shared" si="6"/>
        <v>0</v>
      </c>
      <c r="AE45" s="847">
        <f t="shared" si="7"/>
        <v>0</v>
      </c>
      <c r="AF45" s="855">
        <f t="shared" si="0"/>
        <v>0</v>
      </c>
      <c r="AG45" s="848">
        <f>IF('Input Sheet'!$C$15="Yes",'Input Sheet'!$F$8,0)</f>
        <v>0</v>
      </c>
      <c r="AH45" s="846">
        <f>IF('Input Sheet'!$C$15="Yes",Rates!$E$45,0)</f>
        <v>0</v>
      </c>
      <c r="AI45" s="849">
        <f>IF('Input Sheet'!$C$15="Yes",'Input Sheet'!$F$11,0)</f>
        <v>0</v>
      </c>
      <c r="AJ45" s="850">
        <f>IF('Input Sheet'!$C$15="Yes",'Input Sheet'!$F$7,0)</f>
        <v>0</v>
      </c>
      <c r="AK45" s="856">
        <f t="shared" si="1"/>
        <v>0</v>
      </c>
      <c r="AL45" s="856">
        <f t="shared" si="2"/>
        <v>0</v>
      </c>
      <c r="AM45" s="856">
        <f t="shared" si="8"/>
        <v>0</v>
      </c>
      <c r="AN45" s="856">
        <f t="shared" si="9"/>
        <v>0</v>
      </c>
      <c r="AO45" s="852">
        <f t="shared" si="10"/>
        <v>0</v>
      </c>
      <c r="AP45" s="853">
        <f t="shared" si="11"/>
        <v>0</v>
      </c>
      <c r="AQ45" s="854">
        <f>IFERROR(P45*'Input Sheet'!$F$8/(((AI45)*AK45*2)-AN45),0)</f>
        <v>0</v>
      </c>
      <c r="AR45" s="854">
        <f>IFERROR(($P45-$AF45)*'Input Sheet'!$F$8/(((AI45)*AK45*2)-AN45),0)</f>
        <v>0</v>
      </c>
    </row>
    <row r="46" spans="2:44" s="798" customFormat="1" ht="30" customHeight="1" thickBot="1" x14ac:dyDescent="0.3">
      <c r="B46" s="835"/>
      <c r="C46" s="836"/>
      <c r="D46" s="836"/>
      <c r="E46" s="837"/>
      <c r="F46" s="837"/>
      <c r="G46" s="838"/>
      <c r="H46" s="838"/>
      <c r="I46" s="839"/>
      <c r="J46" s="839"/>
      <c r="K46" s="840"/>
      <c r="L46" s="841"/>
      <c r="M46" s="841"/>
      <c r="N46" s="842"/>
      <c r="O46" s="842"/>
      <c r="P46" s="843"/>
      <c r="Q46" s="843"/>
      <c r="R46" s="843"/>
      <c r="S46" s="844">
        <f t="shared" si="4"/>
        <v>0</v>
      </c>
      <c r="T46" s="838"/>
      <c r="U46" s="842"/>
      <c r="V46" s="843"/>
      <c r="W46" s="843"/>
      <c r="X46" s="843"/>
      <c r="Y46" s="843"/>
      <c r="Z46" s="843"/>
      <c r="AA46" s="837"/>
      <c r="AB46" s="837"/>
      <c r="AC46" s="845">
        <f t="shared" si="5"/>
        <v>0</v>
      </c>
      <c r="AD46" s="846">
        <f t="shared" si="6"/>
        <v>0</v>
      </c>
      <c r="AE46" s="847">
        <f t="shared" si="7"/>
        <v>0</v>
      </c>
      <c r="AF46" s="855">
        <f t="shared" si="0"/>
        <v>0</v>
      </c>
      <c r="AG46" s="848">
        <f>IF('Input Sheet'!$C$15="Yes",'Input Sheet'!$F$8,0)</f>
        <v>0</v>
      </c>
      <c r="AH46" s="846">
        <f>IF('Input Sheet'!$C$15="Yes",Rates!$E$45,0)</f>
        <v>0</v>
      </c>
      <c r="AI46" s="849">
        <f>IF('Input Sheet'!$C$15="Yes",'Input Sheet'!$F$11,0)</f>
        <v>0</v>
      </c>
      <c r="AJ46" s="850">
        <f>IF('Input Sheet'!$C$15="Yes",'Input Sheet'!$F$7,0)</f>
        <v>0</v>
      </c>
      <c r="AK46" s="856">
        <f t="shared" si="1"/>
        <v>0</v>
      </c>
      <c r="AL46" s="856">
        <f t="shared" si="2"/>
        <v>0</v>
      </c>
      <c r="AM46" s="856">
        <f t="shared" si="8"/>
        <v>0</v>
      </c>
      <c r="AN46" s="856">
        <f t="shared" si="9"/>
        <v>0</v>
      </c>
      <c r="AO46" s="852">
        <f t="shared" si="10"/>
        <v>0</v>
      </c>
      <c r="AP46" s="853">
        <f t="shared" si="11"/>
        <v>0</v>
      </c>
      <c r="AQ46" s="854">
        <f>IFERROR(P46*'Input Sheet'!$F$8/(((AI46)*AK46*2)-AN46),0)</f>
        <v>0</v>
      </c>
      <c r="AR46" s="854">
        <f>IFERROR(($P46-$AF46)*'Input Sheet'!$F$8/(((AI46)*AK46*2)-AN46),0)</f>
        <v>0</v>
      </c>
    </row>
    <row r="47" spans="2:44" s="798" customFormat="1" ht="30" customHeight="1" thickBot="1" x14ac:dyDescent="0.3">
      <c r="B47" s="835"/>
      <c r="C47" s="836"/>
      <c r="D47" s="836"/>
      <c r="E47" s="837"/>
      <c r="F47" s="837"/>
      <c r="G47" s="838"/>
      <c r="H47" s="838"/>
      <c r="I47" s="839"/>
      <c r="J47" s="839"/>
      <c r="K47" s="840"/>
      <c r="L47" s="841"/>
      <c r="M47" s="841"/>
      <c r="N47" s="842"/>
      <c r="O47" s="842"/>
      <c r="P47" s="843"/>
      <c r="Q47" s="843"/>
      <c r="R47" s="843"/>
      <c r="S47" s="844">
        <f t="shared" si="4"/>
        <v>0</v>
      </c>
      <c r="T47" s="838"/>
      <c r="U47" s="842"/>
      <c r="V47" s="843"/>
      <c r="W47" s="843"/>
      <c r="X47" s="843"/>
      <c r="Y47" s="843"/>
      <c r="Z47" s="843"/>
      <c r="AA47" s="837"/>
      <c r="AB47" s="837"/>
      <c r="AC47" s="845">
        <f t="shared" si="5"/>
        <v>0</v>
      </c>
      <c r="AD47" s="846">
        <f t="shared" si="6"/>
        <v>0</v>
      </c>
      <c r="AE47" s="847">
        <f t="shared" si="7"/>
        <v>0</v>
      </c>
      <c r="AF47" s="855">
        <f t="shared" si="0"/>
        <v>0</v>
      </c>
      <c r="AG47" s="848">
        <f>IF('Input Sheet'!$C$15="Yes",'Input Sheet'!$F$8,0)</f>
        <v>0</v>
      </c>
      <c r="AH47" s="846">
        <f>IF('Input Sheet'!$C$15="Yes",Rates!$E$45,0)</f>
        <v>0</v>
      </c>
      <c r="AI47" s="849">
        <f>IF('Input Sheet'!$C$15="Yes",'Input Sheet'!$F$11,0)</f>
        <v>0</v>
      </c>
      <c r="AJ47" s="850">
        <f>IF('Input Sheet'!$C$15="Yes",'Input Sheet'!$F$7,0)</f>
        <v>0</v>
      </c>
      <c r="AK47" s="856">
        <f t="shared" si="1"/>
        <v>0</v>
      </c>
      <c r="AL47" s="856">
        <f t="shared" si="2"/>
        <v>0</v>
      </c>
      <c r="AM47" s="856">
        <f t="shared" si="8"/>
        <v>0</v>
      </c>
      <c r="AN47" s="856">
        <f t="shared" si="9"/>
        <v>0</v>
      </c>
      <c r="AO47" s="852">
        <f t="shared" si="10"/>
        <v>0</v>
      </c>
      <c r="AP47" s="853">
        <f t="shared" si="11"/>
        <v>0</v>
      </c>
      <c r="AQ47" s="854">
        <f>IFERROR(P47*'Input Sheet'!$F$8/(((AI47)*AK47*2)-AN47),0)</f>
        <v>0</v>
      </c>
      <c r="AR47" s="854">
        <f>IFERROR(($P47-$AF47)*'Input Sheet'!$F$8/(((AI47)*AK47*2)-AN47),0)</f>
        <v>0</v>
      </c>
    </row>
    <row r="48" spans="2:44" s="798" customFormat="1" ht="30" customHeight="1" thickBot="1" x14ac:dyDescent="0.3">
      <c r="B48" s="835"/>
      <c r="C48" s="836"/>
      <c r="D48" s="836"/>
      <c r="E48" s="837"/>
      <c r="F48" s="837"/>
      <c r="G48" s="838"/>
      <c r="H48" s="838"/>
      <c r="I48" s="839"/>
      <c r="J48" s="839"/>
      <c r="K48" s="840"/>
      <c r="L48" s="841"/>
      <c r="M48" s="841"/>
      <c r="N48" s="842"/>
      <c r="O48" s="842"/>
      <c r="P48" s="843"/>
      <c r="Q48" s="843"/>
      <c r="R48" s="843"/>
      <c r="S48" s="844">
        <f t="shared" si="4"/>
        <v>0</v>
      </c>
      <c r="T48" s="838"/>
      <c r="U48" s="842"/>
      <c r="V48" s="843"/>
      <c r="W48" s="843"/>
      <c r="X48" s="843"/>
      <c r="Y48" s="843"/>
      <c r="Z48" s="843"/>
      <c r="AA48" s="837"/>
      <c r="AB48" s="837"/>
      <c r="AC48" s="845">
        <f t="shared" si="5"/>
        <v>0</v>
      </c>
      <c r="AD48" s="846">
        <f t="shared" si="6"/>
        <v>0</v>
      </c>
      <c r="AE48" s="847">
        <f t="shared" si="7"/>
        <v>0</v>
      </c>
      <c r="AF48" s="855">
        <f t="shared" si="0"/>
        <v>0</v>
      </c>
      <c r="AG48" s="848">
        <f>IF('Input Sheet'!$C$15="Yes",'Input Sheet'!$F$8,0)</f>
        <v>0</v>
      </c>
      <c r="AH48" s="846">
        <f>IF('Input Sheet'!$C$15="Yes",Rates!$E$45,0)</f>
        <v>0</v>
      </c>
      <c r="AI48" s="849">
        <f>IF('Input Sheet'!$C$15="Yes",'Input Sheet'!$F$11,0)</f>
        <v>0</v>
      </c>
      <c r="AJ48" s="850">
        <f>IF('Input Sheet'!$C$15="Yes",'Input Sheet'!$F$7,0)</f>
        <v>0</v>
      </c>
      <c r="AK48" s="856">
        <f t="shared" si="1"/>
        <v>0</v>
      </c>
      <c r="AL48" s="856">
        <f t="shared" si="2"/>
        <v>0</v>
      </c>
      <c r="AM48" s="856">
        <f t="shared" si="8"/>
        <v>0</v>
      </c>
      <c r="AN48" s="856">
        <f t="shared" si="9"/>
        <v>0</v>
      </c>
      <c r="AO48" s="852">
        <f t="shared" si="10"/>
        <v>0</v>
      </c>
      <c r="AP48" s="853">
        <f t="shared" si="11"/>
        <v>0</v>
      </c>
      <c r="AQ48" s="854">
        <f>IFERROR(P48*'Input Sheet'!$F$8/(((AI48)*AK48*2)-AN48),0)</f>
        <v>0</v>
      </c>
      <c r="AR48" s="854">
        <f>IFERROR(($P48-$AF48)*'Input Sheet'!$F$8/(((AI48)*AK48*2)-AN48),0)</f>
        <v>0</v>
      </c>
    </row>
    <row r="49" spans="2:44" s="798" customFormat="1" ht="30" customHeight="1" thickBot="1" x14ac:dyDescent="0.3">
      <c r="B49" s="835"/>
      <c r="C49" s="836"/>
      <c r="D49" s="836"/>
      <c r="E49" s="837"/>
      <c r="F49" s="837"/>
      <c r="G49" s="838"/>
      <c r="H49" s="838"/>
      <c r="I49" s="839"/>
      <c r="J49" s="839"/>
      <c r="K49" s="840"/>
      <c r="L49" s="841"/>
      <c r="M49" s="841"/>
      <c r="N49" s="842"/>
      <c r="O49" s="842"/>
      <c r="P49" s="843"/>
      <c r="Q49" s="843"/>
      <c r="R49" s="843"/>
      <c r="S49" s="844">
        <f t="shared" si="4"/>
        <v>0</v>
      </c>
      <c r="T49" s="838"/>
      <c r="U49" s="842"/>
      <c r="V49" s="843"/>
      <c r="W49" s="843"/>
      <c r="X49" s="843"/>
      <c r="Y49" s="843"/>
      <c r="Z49" s="843"/>
      <c r="AA49" s="837"/>
      <c r="AB49" s="837"/>
      <c r="AC49" s="845">
        <f t="shared" si="5"/>
        <v>0</v>
      </c>
      <c r="AD49" s="846">
        <f t="shared" si="6"/>
        <v>0</v>
      </c>
      <c r="AE49" s="847">
        <f t="shared" si="7"/>
        <v>0</v>
      </c>
      <c r="AF49" s="855">
        <f t="shared" si="0"/>
        <v>0</v>
      </c>
      <c r="AG49" s="848">
        <f>IF('Input Sheet'!$C$15="Yes",'Input Sheet'!$F$8,0)</f>
        <v>0</v>
      </c>
      <c r="AH49" s="846">
        <f>IF('Input Sheet'!$C$15="Yes",Rates!$E$45,0)</f>
        <v>0</v>
      </c>
      <c r="AI49" s="849">
        <f>IF('Input Sheet'!$C$15="Yes",'Input Sheet'!$F$11,0)</f>
        <v>0</v>
      </c>
      <c r="AJ49" s="850">
        <f>IF('Input Sheet'!$C$15="Yes",'Input Sheet'!$F$7,0)</f>
        <v>0</v>
      </c>
      <c r="AK49" s="856">
        <f t="shared" si="1"/>
        <v>0</v>
      </c>
      <c r="AL49" s="856">
        <f t="shared" si="2"/>
        <v>0</v>
      </c>
      <c r="AM49" s="856">
        <f t="shared" si="8"/>
        <v>0</v>
      </c>
      <c r="AN49" s="856">
        <f t="shared" si="9"/>
        <v>0</v>
      </c>
      <c r="AO49" s="852">
        <f t="shared" si="10"/>
        <v>0</v>
      </c>
      <c r="AP49" s="853">
        <f t="shared" si="11"/>
        <v>0</v>
      </c>
      <c r="AQ49" s="854">
        <f>IFERROR(P49*'Input Sheet'!$F$8/(((AI49)*AK49*2)-AN49),0)</f>
        <v>0</v>
      </c>
      <c r="AR49" s="854">
        <f>IFERROR(($P49-$AF49)*'Input Sheet'!$F$8/(((AI49)*AK49*2)-AN49),0)</f>
        <v>0</v>
      </c>
    </row>
    <row r="50" spans="2:44" s="798" customFormat="1" ht="30" customHeight="1" thickBot="1" x14ac:dyDescent="0.3">
      <c r="B50" s="835"/>
      <c r="C50" s="836"/>
      <c r="D50" s="836"/>
      <c r="E50" s="837"/>
      <c r="F50" s="837"/>
      <c r="G50" s="838"/>
      <c r="H50" s="838"/>
      <c r="I50" s="839"/>
      <c r="J50" s="839"/>
      <c r="K50" s="840"/>
      <c r="L50" s="841"/>
      <c r="M50" s="841"/>
      <c r="N50" s="842"/>
      <c r="O50" s="842"/>
      <c r="P50" s="843"/>
      <c r="Q50" s="843"/>
      <c r="R50" s="843"/>
      <c r="S50" s="844">
        <f t="shared" si="4"/>
        <v>0</v>
      </c>
      <c r="T50" s="838"/>
      <c r="U50" s="842"/>
      <c r="V50" s="843"/>
      <c r="W50" s="843"/>
      <c r="X50" s="843"/>
      <c r="Y50" s="843"/>
      <c r="Z50" s="843"/>
      <c r="AA50" s="837"/>
      <c r="AB50" s="837"/>
      <c r="AC50" s="845">
        <f t="shared" si="5"/>
        <v>0</v>
      </c>
      <c r="AD50" s="846">
        <f t="shared" si="6"/>
        <v>0</v>
      </c>
      <c r="AE50" s="847">
        <f t="shared" si="7"/>
        <v>0</v>
      </c>
      <c r="AF50" s="855">
        <f t="shared" si="0"/>
        <v>0</v>
      </c>
      <c r="AG50" s="848">
        <f>IF('Input Sheet'!$C$15="Yes",'Input Sheet'!$F$8,0)</f>
        <v>0</v>
      </c>
      <c r="AH50" s="846">
        <f>IF('Input Sheet'!$C$15="Yes",Rates!$E$45,0)</f>
        <v>0</v>
      </c>
      <c r="AI50" s="849">
        <f>IF('Input Sheet'!$C$15="Yes",'Input Sheet'!$F$11,0)</f>
        <v>0</v>
      </c>
      <c r="AJ50" s="850">
        <f>IF('Input Sheet'!$C$15="Yes",'Input Sheet'!$F$7,0)</f>
        <v>0</v>
      </c>
      <c r="AK50" s="856">
        <f t="shared" si="1"/>
        <v>0</v>
      </c>
      <c r="AL50" s="856">
        <f t="shared" si="2"/>
        <v>0</v>
      </c>
      <c r="AM50" s="856">
        <f t="shared" si="8"/>
        <v>0</v>
      </c>
      <c r="AN50" s="856">
        <f t="shared" si="9"/>
        <v>0</v>
      </c>
      <c r="AO50" s="852">
        <f t="shared" si="10"/>
        <v>0</v>
      </c>
      <c r="AP50" s="853">
        <f t="shared" si="11"/>
        <v>0</v>
      </c>
      <c r="AQ50" s="854">
        <f>IFERROR(P50*'Input Sheet'!$F$8/(((AI50)*AK50*2)-AN50),0)</f>
        <v>0</v>
      </c>
      <c r="AR50" s="854">
        <f>IFERROR(($P50-$AF50)*'Input Sheet'!$F$8/(((AI50)*AK50*2)-AN50),0)</f>
        <v>0</v>
      </c>
    </row>
    <row r="51" spans="2:44" s="798" customFormat="1" ht="30" customHeight="1" thickBot="1" x14ac:dyDescent="0.3">
      <c r="B51" s="835"/>
      <c r="C51" s="836"/>
      <c r="D51" s="836"/>
      <c r="E51" s="837"/>
      <c r="F51" s="837"/>
      <c r="G51" s="838"/>
      <c r="H51" s="838"/>
      <c r="I51" s="839"/>
      <c r="J51" s="839"/>
      <c r="K51" s="840"/>
      <c r="L51" s="841"/>
      <c r="M51" s="841"/>
      <c r="N51" s="842"/>
      <c r="O51" s="842"/>
      <c r="P51" s="843"/>
      <c r="Q51" s="843"/>
      <c r="R51" s="843"/>
      <c r="S51" s="844">
        <f t="shared" si="4"/>
        <v>0</v>
      </c>
      <c r="T51" s="838"/>
      <c r="U51" s="842"/>
      <c r="V51" s="843"/>
      <c r="W51" s="843"/>
      <c r="X51" s="843"/>
      <c r="Y51" s="843"/>
      <c r="Z51" s="843"/>
      <c r="AA51" s="837"/>
      <c r="AB51" s="837"/>
      <c r="AC51" s="845">
        <f t="shared" si="5"/>
        <v>0</v>
      </c>
      <c r="AD51" s="846">
        <f t="shared" si="6"/>
        <v>0</v>
      </c>
      <c r="AE51" s="847">
        <f t="shared" si="7"/>
        <v>0</v>
      </c>
      <c r="AF51" s="855">
        <f t="shared" si="0"/>
        <v>0</v>
      </c>
      <c r="AG51" s="848">
        <f>IF('Input Sheet'!$C$15="Yes",'Input Sheet'!$F$8,0)</f>
        <v>0</v>
      </c>
      <c r="AH51" s="846">
        <f>IF('Input Sheet'!$C$15="Yes",Rates!$E$45,0)</f>
        <v>0</v>
      </c>
      <c r="AI51" s="849">
        <f>IF('Input Sheet'!$C$15="Yes",'Input Sheet'!$F$11,0)</f>
        <v>0</v>
      </c>
      <c r="AJ51" s="850">
        <f>IF('Input Sheet'!$C$15="Yes",'Input Sheet'!$F$7,0)</f>
        <v>0</v>
      </c>
      <c r="AK51" s="856">
        <f t="shared" si="1"/>
        <v>0</v>
      </c>
      <c r="AL51" s="856">
        <f t="shared" si="2"/>
        <v>0</v>
      </c>
      <c r="AM51" s="856">
        <f t="shared" si="8"/>
        <v>0</v>
      </c>
      <c r="AN51" s="856">
        <f t="shared" si="9"/>
        <v>0</v>
      </c>
      <c r="AO51" s="852">
        <f t="shared" si="10"/>
        <v>0</v>
      </c>
      <c r="AP51" s="853">
        <f t="shared" si="11"/>
        <v>0</v>
      </c>
      <c r="AQ51" s="854">
        <f>IFERROR(P51*'Input Sheet'!$F$8/(((AI51)*AK51*2)-AN51),0)</f>
        <v>0</v>
      </c>
      <c r="AR51" s="854">
        <f>IFERROR(($P51-$AF51)*'Input Sheet'!$F$8/(((AI51)*AK51*2)-AN51),0)</f>
        <v>0</v>
      </c>
    </row>
    <row r="52" spans="2:44" s="798" customFormat="1" ht="30" customHeight="1" thickBot="1" x14ac:dyDescent="0.3">
      <c r="B52" s="835"/>
      <c r="C52" s="836"/>
      <c r="D52" s="836"/>
      <c r="E52" s="837"/>
      <c r="F52" s="837"/>
      <c r="G52" s="838"/>
      <c r="H52" s="838"/>
      <c r="I52" s="839"/>
      <c r="J52" s="839"/>
      <c r="K52" s="840"/>
      <c r="L52" s="841"/>
      <c r="M52" s="841"/>
      <c r="N52" s="842"/>
      <c r="O52" s="842"/>
      <c r="P52" s="843"/>
      <c r="Q52" s="843"/>
      <c r="R52" s="843"/>
      <c r="S52" s="844">
        <f t="shared" si="4"/>
        <v>0</v>
      </c>
      <c r="T52" s="838"/>
      <c r="U52" s="842"/>
      <c r="V52" s="843"/>
      <c r="W52" s="843"/>
      <c r="X52" s="843"/>
      <c r="Y52" s="843"/>
      <c r="Z52" s="843"/>
      <c r="AA52" s="837"/>
      <c r="AB52" s="837"/>
      <c r="AC52" s="845">
        <f t="shared" si="5"/>
        <v>0</v>
      </c>
      <c r="AD52" s="846">
        <f t="shared" si="6"/>
        <v>0</v>
      </c>
      <c r="AE52" s="847">
        <f t="shared" si="7"/>
        <v>0</v>
      </c>
      <c r="AF52" s="855">
        <f t="shared" si="0"/>
        <v>0</v>
      </c>
      <c r="AG52" s="848">
        <f>IF('Input Sheet'!$C$15="Yes",'Input Sheet'!$F$8,0)</f>
        <v>0</v>
      </c>
      <c r="AH52" s="846">
        <f>IF('Input Sheet'!$C$15="Yes",Rates!$E$45,0)</f>
        <v>0</v>
      </c>
      <c r="AI52" s="849">
        <f>IF('Input Sheet'!$C$15="Yes",'Input Sheet'!$F$11,0)</f>
        <v>0</v>
      </c>
      <c r="AJ52" s="850">
        <f>IF('Input Sheet'!$C$15="Yes",'Input Sheet'!$F$7,0)</f>
        <v>0</v>
      </c>
      <c r="AK52" s="856">
        <f t="shared" si="1"/>
        <v>0</v>
      </c>
      <c r="AL52" s="856">
        <f t="shared" si="2"/>
        <v>0</v>
      </c>
      <c r="AM52" s="856">
        <f t="shared" si="8"/>
        <v>0</v>
      </c>
      <c r="AN52" s="856">
        <f t="shared" si="9"/>
        <v>0</v>
      </c>
      <c r="AO52" s="852">
        <f t="shared" si="10"/>
        <v>0</v>
      </c>
      <c r="AP52" s="853">
        <f t="shared" si="11"/>
        <v>0</v>
      </c>
      <c r="AQ52" s="854">
        <f>IFERROR(P52*'Input Sheet'!$F$8/(((AI52)*AK52*2)-AN52),0)</f>
        <v>0</v>
      </c>
      <c r="AR52" s="854">
        <f>IFERROR(($P52-$AF52)*'Input Sheet'!$F$8/(((AI52)*AK52*2)-AN52),0)</f>
        <v>0</v>
      </c>
    </row>
    <row r="53" spans="2:44" s="798" customFormat="1" ht="30" customHeight="1" thickBot="1" x14ac:dyDescent="0.3">
      <c r="B53" s="835"/>
      <c r="C53" s="836"/>
      <c r="D53" s="836"/>
      <c r="E53" s="837"/>
      <c r="F53" s="837"/>
      <c r="G53" s="838"/>
      <c r="H53" s="838"/>
      <c r="I53" s="839"/>
      <c r="J53" s="839"/>
      <c r="K53" s="840"/>
      <c r="L53" s="841"/>
      <c r="M53" s="841"/>
      <c r="N53" s="842"/>
      <c r="O53" s="842"/>
      <c r="P53" s="843"/>
      <c r="Q53" s="843"/>
      <c r="R53" s="843"/>
      <c r="S53" s="844">
        <f t="shared" si="4"/>
        <v>0</v>
      </c>
      <c r="T53" s="838"/>
      <c r="U53" s="842"/>
      <c r="V53" s="843"/>
      <c r="W53" s="843"/>
      <c r="X53" s="843"/>
      <c r="Y53" s="843"/>
      <c r="Z53" s="843"/>
      <c r="AA53" s="837"/>
      <c r="AB53" s="837"/>
      <c r="AC53" s="845">
        <f t="shared" si="5"/>
        <v>0</v>
      </c>
      <c r="AD53" s="846">
        <f t="shared" si="6"/>
        <v>0</v>
      </c>
      <c r="AE53" s="847">
        <f t="shared" si="7"/>
        <v>0</v>
      </c>
      <c r="AF53" s="855">
        <f t="shared" si="0"/>
        <v>0</v>
      </c>
      <c r="AG53" s="848">
        <f>IF('Input Sheet'!$C$15="Yes",'Input Sheet'!$F$8,0)</f>
        <v>0</v>
      </c>
      <c r="AH53" s="846">
        <f>IF('Input Sheet'!$C$15="Yes",Rates!$E$45,0)</f>
        <v>0</v>
      </c>
      <c r="AI53" s="849">
        <f>IF('Input Sheet'!$C$15="Yes",'Input Sheet'!$F$11,0)</f>
        <v>0</v>
      </c>
      <c r="AJ53" s="850">
        <f>IF('Input Sheet'!$C$15="Yes",'Input Sheet'!$F$7,0)</f>
        <v>0</v>
      </c>
      <c r="AK53" s="856">
        <f t="shared" si="1"/>
        <v>0</v>
      </c>
      <c r="AL53" s="856">
        <f t="shared" si="2"/>
        <v>0</v>
      </c>
      <c r="AM53" s="856">
        <f t="shared" si="8"/>
        <v>0</v>
      </c>
      <c r="AN53" s="856">
        <f t="shared" si="9"/>
        <v>0</v>
      </c>
      <c r="AO53" s="852">
        <f t="shared" si="10"/>
        <v>0</v>
      </c>
      <c r="AP53" s="853">
        <f t="shared" si="11"/>
        <v>0</v>
      </c>
      <c r="AQ53" s="854">
        <f>IFERROR(P53*'Input Sheet'!$F$8/(((AI53)*AK53*2)-AN53),0)</f>
        <v>0</v>
      </c>
      <c r="AR53" s="854">
        <f>IFERROR(($P53-$AF53)*'Input Sheet'!$F$8/(((AI53)*AK53*2)-AN53),0)</f>
        <v>0</v>
      </c>
    </row>
    <row r="54" spans="2:44" s="798" customFormat="1" ht="30" customHeight="1" thickBot="1" x14ac:dyDescent="0.3">
      <c r="B54" s="835"/>
      <c r="C54" s="836"/>
      <c r="D54" s="836"/>
      <c r="E54" s="837"/>
      <c r="F54" s="837"/>
      <c r="G54" s="838"/>
      <c r="H54" s="838"/>
      <c r="I54" s="839"/>
      <c r="J54" s="839"/>
      <c r="K54" s="840"/>
      <c r="L54" s="841"/>
      <c r="M54" s="841"/>
      <c r="N54" s="842"/>
      <c r="O54" s="842"/>
      <c r="P54" s="843"/>
      <c r="Q54" s="843"/>
      <c r="R54" s="843"/>
      <c r="S54" s="844">
        <f t="shared" si="4"/>
        <v>0</v>
      </c>
      <c r="T54" s="838"/>
      <c r="U54" s="842"/>
      <c r="V54" s="843"/>
      <c r="W54" s="843"/>
      <c r="X54" s="843"/>
      <c r="Y54" s="843"/>
      <c r="Z54" s="843"/>
      <c r="AA54" s="837"/>
      <c r="AB54" s="837"/>
      <c r="AC54" s="845">
        <f t="shared" si="5"/>
        <v>0</v>
      </c>
      <c r="AD54" s="846">
        <f t="shared" si="6"/>
        <v>0</v>
      </c>
      <c r="AE54" s="847">
        <f t="shared" si="7"/>
        <v>0</v>
      </c>
      <c r="AF54" s="855">
        <f t="shared" si="0"/>
        <v>0</v>
      </c>
      <c r="AG54" s="848">
        <f>IF('Input Sheet'!$C$15="Yes",'Input Sheet'!$F$8,0)</f>
        <v>0</v>
      </c>
      <c r="AH54" s="846">
        <f>IF('Input Sheet'!$C$15="Yes",Rates!$E$45,0)</f>
        <v>0</v>
      </c>
      <c r="AI54" s="849">
        <f>IF('Input Sheet'!$C$15="Yes",'Input Sheet'!$F$11,0)</f>
        <v>0</v>
      </c>
      <c r="AJ54" s="850">
        <f>IF('Input Sheet'!$C$15="Yes",'Input Sheet'!$F$7,0)</f>
        <v>0</v>
      </c>
      <c r="AK54" s="856">
        <f t="shared" si="1"/>
        <v>0</v>
      </c>
      <c r="AL54" s="856">
        <f t="shared" si="2"/>
        <v>0</v>
      </c>
      <c r="AM54" s="856">
        <f t="shared" si="8"/>
        <v>0</v>
      </c>
      <c r="AN54" s="856">
        <f t="shared" si="9"/>
        <v>0</v>
      </c>
      <c r="AO54" s="852">
        <f t="shared" si="10"/>
        <v>0</v>
      </c>
      <c r="AP54" s="853">
        <f t="shared" si="11"/>
        <v>0</v>
      </c>
      <c r="AQ54" s="854">
        <f>IFERROR(P54*'Input Sheet'!$F$8/(((AI54)*AK54*2)-AN54),0)</f>
        <v>0</v>
      </c>
      <c r="AR54" s="854">
        <f>IFERROR(($P54-$AF54)*'Input Sheet'!$F$8/(((AI54)*AK54*2)-AN54),0)</f>
        <v>0</v>
      </c>
    </row>
    <row r="55" spans="2:44" s="798" customFormat="1" ht="30" customHeight="1" thickBot="1" x14ac:dyDescent="0.3">
      <c r="B55" s="835"/>
      <c r="C55" s="836"/>
      <c r="D55" s="836"/>
      <c r="E55" s="837"/>
      <c r="F55" s="837"/>
      <c r="G55" s="838"/>
      <c r="H55" s="838"/>
      <c r="I55" s="839"/>
      <c r="J55" s="839"/>
      <c r="K55" s="840"/>
      <c r="L55" s="841"/>
      <c r="M55" s="841"/>
      <c r="N55" s="842"/>
      <c r="O55" s="842"/>
      <c r="P55" s="843"/>
      <c r="Q55" s="843"/>
      <c r="R55" s="843"/>
      <c r="S55" s="844">
        <f t="shared" si="4"/>
        <v>0</v>
      </c>
      <c r="T55" s="838"/>
      <c r="U55" s="842"/>
      <c r="V55" s="843"/>
      <c r="W55" s="843"/>
      <c r="X55" s="843"/>
      <c r="Y55" s="843"/>
      <c r="Z55" s="843"/>
      <c r="AA55" s="837"/>
      <c r="AB55" s="837"/>
      <c r="AC55" s="845">
        <f t="shared" si="5"/>
        <v>0</v>
      </c>
      <c r="AD55" s="846">
        <f t="shared" si="6"/>
        <v>0</v>
      </c>
      <c r="AE55" s="847">
        <f t="shared" si="7"/>
        <v>0</v>
      </c>
      <c r="AF55" s="855">
        <f t="shared" si="0"/>
        <v>0</v>
      </c>
      <c r="AG55" s="848">
        <f>IF('Input Sheet'!$C$15="Yes",'Input Sheet'!$F$8,0)</f>
        <v>0</v>
      </c>
      <c r="AH55" s="846">
        <f>IF('Input Sheet'!$C$15="Yes",Rates!$E$45,0)</f>
        <v>0</v>
      </c>
      <c r="AI55" s="849">
        <f>IF('Input Sheet'!$C$15="Yes",'Input Sheet'!$F$11,0)</f>
        <v>0</v>
      </c>
      <c r="AJ55" s="850">
        <f>IF('Input Sheet'!$C$15="Yes",'Input Sheet'!$F$7,0)</f>
        <v>0</v>
      </c>
      <c r="AK55" s="856">
        <f t="shared" si="1"/>
        <v>0</v>
      </c>
      <c r="AL55" s="856">
        <f t="shared" si="2"/>
        <v>0</v>
      </c>
      <c r="AM55" s="856">
        <f t="shared" si="8"/>
        <v>0</v>
      </c>
      <c r="AN55" s="856">
        <f t="shared" si="9"/>
        <v>0</v>
      </c>
      <c r="AO55" s="852">
        <f t="shared" si="10"/>
        <v>0</v>
      </c>
      <c r="AP55" s="853">
        <f t="shared" si="11"/>
        <v>0</v>
      </c>
      <c r="AQ55" s="854">
        <f>IFERROR(P55*'Input Sheet'!$F$8/(((AI55)*AK55*2)-AN55),0)</f>
        <v>0</v>
      </c>
      <c r="AR55" s="854">
        <f>IFERROR(($P55-$AF55)*'Input Sheet'!$F$8/(((AI55)*AK55*2)-AN55),0)</f>
        <v>0</v>
      </c>
    </row>
    <row r="56" spans="2:44" s="798" customFormat="1" ht="30" customHeight="1" thickBot="1" x14ac:dyDescent="0.3">
      <c r="B56" s="835"/>
      <c r="C56" s="836"/>
      <c r="D56" s="836"/>
      <c r="E56" s="837"/>
      <c r="F56" s="837"/>
      <c r="G56" s="838"/>
      <c r="H56" s="838"/>
      <c r="I56" s="839"/>
      <c r="J56" s="839"/>
      <c r="K56" s="840"/>
      <c r="L56" s="841"/>
      <c r="M56" s="841"/>
      <c r="N56" s="842"/>
      <c r="O56" s="842"/>
      <c r="P56" s="843"/>
      <c r="Q56" s="843"/>
      <c r="R56" s="843"/>
      <c r="S56" s="844">
        <f t="shared" si="4"/>
        <v>0</v>
      </c>
      <c r="T56" s="838"/>
      <c r="U56" s="842"/>
      <c r="V56" s="843"/>
      <c r="W56" s="843"/>
      <c r="X56" s="843"/>
      <c r="Y56" s="843"/>
      <c r="Z56" s="843"/>
      <c r="AA56" s="837"/>
      <c r="AB56" s="837"/>
      <c r="AC56" s="845">
        <f t="shared" si="5"/>
        <v>0</v>
      </c>
      <c r="AD56" s="846">
        <f t="shared" si="6"/>
        <v>0</v>
      </c>
      <c r="AE56" s="847">
        <f t="shared" si="7"/>
        <v>0</v>
      </c>
      <c r="AF56" s="855">
        <f t="shared" si="0"/>
        <v>0</v>
      </c>
      <c r="AG56" s="848">
        <f>IF('Input Sheet'!$C$15="Yes",'Input Sheet'!$F$8,0)</f>
        <v>0</v>
      </c>
      <c r="AH56" s="846">
        <f>IF('Input Sheet'!$C$15="Yes",Rates!$E$45,0)</f>
        <v>0</v>
      </c>
      <c r="AI56" s="849">
        <f>IF('Input Sheet'!$C$15="Yes",'Input Sheet'!$F$11,0)</f>
        <v>0</v>
      </c>
      <c r="AJ56" s="850">
        <f>IF('Input Sheet'!$C$15="Yes",'Input Sheet'!$F$7,0)</f>
        <v>0</v>
      </c>
      <c r="AK56" s="856">
        <f t="shared" si="1"/>
        <v>0</v>
      </c>
      <c r="AL56" s="856">
        <f t="shared" si="2"/>
        <v>0</v>
      </c>
      <c r="AM56" s="856">
        <f t="shared" si="8"/>
        <v>0</v>
      </c>
      <c r="AN56" s="856">
        <f t="shared" si="9"/>
        <v>0</v>
      </c>
      <c r="AO56" s="852">
        <f t="shared" si="10"/>
        <v>0</v>
      </c>
      <c r="AP56" s="853">
        <f t="shared" si="11"/>
        <v>0</v>
      </c>
      <c r="AQ56" s="854">
        <f>IFERROR(P56*'Input Sheet'!$F$8/(((AI56)*AK56*2)-AN56),0)</f>
        <v>0</v>
      </c>
      <c r="AR56" s="854">
        <f>IFERROR(($P56-$AF56)*'Input Sheet'!$F$8/(((AI56)*AK56*2)-AN56),0)</f>
        <v>0</v>
      </c>
    </row>
    <row r="57" spans="2:44" s="798" customFormat="1" ht="30" customHeight="1" thickBot="1" x14ac:dyDescent="0.3">
      <c r="B57" s="835"/>
      <c r="C57" s="836"/>
      <c r="D57" s="836"/>
      <c r="E57" s="837"/>
      <c r="F57" s="837"/>
      <c r="G57" s="838"/>
      <c r="H57" s="838"/>
      <c r="I57" s="839"/>
      <c r="J57" s="839"/>
      <c r="K57" s="840"/>
      <c r="L57" s="841"/>
      <c r="M57" s="841"/>
      <c r="N57" s="842"/>
      <c r="O57" s="842"/>
      <c r="P57" s="843"/>
      <c r="Q57" s="843"/>
      <c r="R57" s="843"/>
      <c r="S57" s="844">
        <f t="shared" si="4"/>
        <v>0</v>
      </c>
      <c r="T57" s="838"/>
      <c r="U57" s="842"/>
      <c r="V57" s="843"/>
      <c r="W57" s="843"/>
      <c r="X57" s="843"/>
      <c r="Y57" s="843"/>
      <c r="Z57" s="843"/>
      <c r="AA57" s="837"/>
      <c r="AB57" s="837"/>
      <c r="AC57" s="845">
        <f t="shared" si="5"/>
        <v>0</v>
      </c>
      <c r="AD57" s="846">
        <f t="shared" si="6"/>
        <v>0</v>
      </c>
      <c r="AE57" s="847">
        <f t="shared" si="7"/>
        <v>0</v>
      </c>
      <c r="AF57" s="855">
        <f t="shared" si="0"/>
        <v>0</v>
      </c>
      <c r="AG57" s="848">
        <f>IF('Input Sheet'!$C$15="Yes",'Input Sheet'!$F$8,0)</f>
        <v>0</v>
      </c>
      <c r="AH57" s="846">
        <f>IF('Input Sheet'!$C$15="Yes",Rates!$E$45,0)</f>
        <v>0</v>
      </c>
      <c r="AI57" s="849">
        <f>IF('Input Sheet'!$C$15="Yes",'Input Sheet'!$F$11,0)</f>
        <v>0</v>
      </c>
      <c r="AJ57" s="850">
        <f>IF('Input Sheet'!$C$15="Yes",'Input Sheet'!$F$7,0)</f>
        <v>0</v>
      </c>
      <c r="AK57" s="856">
        <f t="shared" si="1"/>
        <v>0</v>
      </c>
      <c r="AL57" s="856">
        <f t="shared" si="2"/>
        <v>0</v>
      </c>
      <c r="AM57" s="856">
        <f t="shared" si="8"/>
        <v>0</v>
      </c>
      <c r="AN57" s="856">
        <f t="shared" si="9"/>
        <v>0</v>
      </c>
      <c r="AO57" s="852">
        <f t="shared" si="10"/>
        <v>0</v>
      </c>
      <c r="AP57" s="853">
        <f t="shared" si="11"/>
        <v>0</v>
      </c>
      <c r="AQ57" s="854">
        <f>IFERROR(P57*'Input Sheet'!$F$8/(((AI57)*AK57*2)-AN57),0)</f>
        <v>0</v>
      </c>
      <c r="AR57" s="854">
        <f>IFERROR(($P57-$AF57)*'Input Sheet'!$F$8/(((AI57)*AK57*2)-AN57),0)</f>
        <v>0</v>
      </c>
    </row>
    <row r="58" spans="2:44" s="798" customFormat="1" ht="30" customHeight="1" thickBot="1" x14ac:dyDescent="0.3">
      <c r="B58" s="835"/>
      <c r="C58" s="836"/>
      <c r="D58" s="836"/>
      <c r="E58" s="837"/>
      <c r="F58" s="837"/>
      <c r="G58" s="838"/>
      <c r="H58" s="838"/>
      <c r="I58" s="839"/>
      <c r="J58" s="839"/>
      <c r="K58" s="840"/>
      <c r="L58" s="841"/>
      <c r="M58" s="841"/>
      <c r="N58" s="842"/>
      <c r="O58" s="842"/>
      <c r="P58" s="843"/>
      <c r="Q58" s="843"/>
      <c r="R58" s="843"/>
      <c r="S58" s="844">
        <f t="shared" si="4"/>
        <v>0</v>
      </c>
      <c r="T58" s="838"/>
      <c r="U58" s="842"/>
      <c r="V58" s="843"/>
      <c r="W58" s="843"/>
      <c r="X58" s="843"/>
      <c r="Y58" s="843"/>
      <c r="Z58" s="843"/>
      <c r="AA58" s="837"/>
      <c r="AB58" s="837"/>
      <c r="AC58" s="845">
        <f t="shared" si="5"/>
        <v>0</v>
      </c>
      <c r="AD58" s="846">
        <f t="shared" si="6"/>
        <v>0</v>
      </c>
      <c r="AE58" s="847">
        <f t="shared" si="7"/>
        <v>0</v>
      </c>
      <c r="AF58" s="855">
        <f t="shared" si="0"/>
        <v>0</v>
      </c>
      <c r="AG58" s="848">
        <f>IF('Input Sheet'!$C$15="Yes",'Input Sheet'!$F$8,0)</f>
        <v>0</v>
      </c>
      <c r="AH58" s="846">
        <f>IF('Input Sheet'!$C$15="Yes",Rates!$E$45,0)</f>
        <v>0</v>
      </c>
      <c r="AI58" s="849">
        <f>IF('Input Sheet'!$C$15="Yes",'Input Sheet'!$F$11,0)</f>
        <v>0</v>
      </c>
      <c r="AJ58" s="850">
        <f>IF('Input Sheet'!$C$15="Yes",'Input Sheet'!$F$7,0)</f>
        <v>0</v>
      </c>
      <c r="AK58" s="856">
        <f t="shared" si="1"/>
        <v>0</v>
      </c>
      <c r="AL58" s="856">
        <f t="shared" si="2"/>
        <v>0</v>
      </c>
      <c r="AM58" s="856">
        <f t="shared" si="8"/>
        <v>0</v>
      </c>
      <c r="AN58" s="856">
        <f t="shared" si="9"/>
        <v>0</v>
      </c>
      <c r="AO58" s="852">
        <f t="shared" si="10"/>
        <v>0</v>
      </c>
      <c r="AP58" s="853">
        <f t="shared" si="11"/>
        <v>0</v>
      </c>
      <c r="AQ58" s="854">
        <f>IFERROR(P58*'Input Sheet'!$F$8/(((AI58)*AK58*2)-AN58),0)</f>
        <v>0</v>
      </c>
      <c r="AR58" s="854">
        <f>IFERROR(($P58-$AF58)*'Input Sheet'!$F$8/(((AI58)*AK58*2)-AN58),0)</f>
        <v>0</v>
      </c>
    </row>
    <row r="59" spans="2:44" s="798" customFormat="1" ht="30" customHeight="1" thickBot="1" x14ac:dyDescent="0.3">
      <c r="B59" s="835"/>
      <c r="C59" s="836"/>
      <c r="D59" s="836"/>
      <c r="E59" s="837"/>
      <c r="F59" s="837"/>
      <c r="G59" s="838"/>
      <c r="H59" s="838"/>
      <c r="I59" s="839"/>
      <c r="J59" s="839"/>
      <c r="K59" s="840"/>
      <c r="L59" s="841"/>
      <c r="M59" s="841"/>
      <c r="N59" s="842"/>
      <c r="O59" s="842"/>
      <c r="P59" s="843"/>
      <c r="Q59" s="843"/>
      <c r="R59" s="843"/>
      <c r="S59" s="844">
        <f t="shared" si="4"/>
        <v>0</v>
      </c>
      <c r="T59" s="838"/>
      <c r="U59" s="842"/>
      <c r="V59" s="843"/>
      <c r="W59" s="843"/>
      <c r="X59" s="843"/>
      <c r="Y59" s="843"/>
      <c r="Z59" s="843"/>
      <c r="AA59" s="837"/>
      <c r="AB59" s="837"/>
      <c r="AC59" s="845">
        <f t="shared" si="5"/>
        <v>0</v>
      </c>
      <c r="AD59" s="846">
        <f t="shared" si="6"/>
        <v>0</v>
      </c>
      <c r="AE59" s="847">
        <f t="shared" si="7"/>
        <v>0</v>
      </c>
      <c r="AF59" s="855">
        <f t="shared" si="0"/>
        <v>0</v>
      </c>
      <c r="AG59" s="848">
        <f>IF('Input Sheet'!$C$15="Yes",'Input Sheet'!$F$8,0)</f>
        <v>0</v>
      </c>
      <c r="AH59" s="846">
        <f>IF('Input Sheet'!$C$15="Yes",Rates!$E$45,0)</f>
        <v>0</v>
      </c>
      <c r="AI59" s="849">
        <f>IF('Input Sheet'!$C$15="Yes",'Input Sheet'!$F$11,0)</f>
        <v>0</v>
      </c>
      <c r="AJ59" s="850">
        <f>IF('Input Sheet'!$C$15="Yes",'Input Sheet'!$F$7,0)</f>
        <v>0</v>
      </c>
      <c r="AK59" s="856">
        <f t="shared" si="1"/>
        <v>0</v>
      </c>
      <c r="AL59" s="856">
        <f t="shared" si="2"/>
        <v>0</v>
      </c>
      <c r="AM59" s="856">
        <f t="shared" si="8"/>
        <v>0</v>
      </c>
      <c r="AN59" s="856">
        <f t="shared" si="9"/>
        <v>0</v>
      </c>
      <c r="AO59" s="852">
        <f t="shared" si="10"/>
        <v>0</v>
      </c>
      <c r="AP59" s="853">
        <f t="shared" si="11"/>
        <v>0</v>
      </c>
      <c r="AQ59" s="854">
        <f>IFERROR(P59*'Input Sheet'!$F$8/(((AI59)*AK59*2)-AN59),0)</f>
        <v>0</v>
      </c>
      <c r="AR59" s="854">
        <f>IFERROR(($P59-$AF59)*'Input Sheet'!$F$8/(((AI59)*AK59*2)-AN59),0)</f>
        <v>0</v>
      </c>
    </row>
    <row r="60" spans="2:44" s="798" customFormat="1" ht="30" customHeight="1" thickBot="1" x14ac:dyDescent="0.3">
      <c r="B60" s="835"/>
      <c r="C60" s="836"/>
      <c r="D60" s="836"/>
      <c r="E60" s="837"/>
      <c r="F60" s="837"/>
      <c r="G60" s="838"/>
      <c r="H60" s="838"/>
      <c r="I60" s="839"/>
      <c r="J60" s="839"/>
      <c r="K60" s="840"/>
      <c r="L60" s="841"/>
      <c r="M60" s="841"/>
      <c r="N60" s="842"/>
      <c r="O60" s="842"/>
      <c r="P60" s="843"/>
      <c r="Q60" s="843"/>
      <c r="R60" s="843"/>
      <c r="S60" s="844">
        <f t="shared" si="4"/>
        <v>0</v>
      </c>
      <c r="T60" s="838"/>
      <c r="U60" s="842"/>
      <c r="V60" s="843"/>
      <c r="W60" s="843"/>
      <c r="X60" s="843"/>
      <c r="Y60" s="843"/>
      <c r="Z60" s="843"/>
      <c r="AA60" s="837"/>
      <c r="AB60" s="837"/>
      <c r="AC60" s="845">
        <f t="shared" si="5"/>
        <v>0</v>
      </c>
      <c r="AD60" s="846">
        <f t="shared" si="6"/>
        <v>0</v>
      </c>
      <c r="AE60" s="847">
        <f t="shared" si="7"/>
        <v>0</v>
      </c>
      <c r="AF60" s="855">
        <f t="shared" si="0"/>
        <v>0</v>
      </c>
      <c r="AG60" s="848">
        <f>IF('Input Sheet'!$C$15="Yes",'Input Sheet'!$F$8,0)</f>
        <v>0</v>
      </c>
      <c r="AH60" s="846">
        <f>IF('Input Sheet'!$C$15="Yes",Rates!$E$45,0)</f>
        <v>0</v>
      </c>
      <c r="AI60" s="849">
        <f>IF('Input Sheet'!$C$15="Yes",'Input Sheet'!$F$11,0)</f>
        <v>0</v>
      </c>
      <c r="AJ60" s="850">
        <f>IF('Input Sheet'!$C$15="Yes",'Input Sheet'!$F$7,0)</f>
        <v>0</v>
      </c>
      <c r="AK60" s="856">
        <f t="shared" si="1"/>
        <v>0</v>
      </c>
      <c r="AL60" s="856">
        <f t="shared" si="2"/>
        <v>0</v>
      </c>
      <c r="AM60" s="856">
        <f t="shared" si="8"/>
        <v>0</v>
      </c>
      <c r="AN60" s="856">
        <f t="shared" si="9"/>
        <v>0</v>
      </c>
      <c r="AO60" s="852">
        <f t="shared" si="10"/>
        <v>0</v>
      </c>
      <c r="AP60" s="853">
        <f t="shared" si="11"/>
        <v>0</v>
      </c>
      <c r="AQ60" s="854">
        <f>IFERROR(P60*'Input Sheet'!$F$8/(((AI60)*AK60*2)-AN60),0)</f>
        <v>0</v>
      </c>
      <c r="AR60" s="854">
        <f>IFERROR(($P60-$AF60)*'Input Sheet'!$F$8/(((AI60)*AK60*2)-AN60),0)</f>
        <v>0</v>
      </c>
    </row>
    <row r="61" spans="2:44" s="798" customFormat="1" ht="30" customHeight="1" thickBot="1" x14ac:dyDescent="0.3">
      <c r="B61" s="835"/>
      <c r="C61" s="836"/>
      <c r="D61" s="836"/>
      <c r="E61" s="837"/>
      <c r="F61" s="837"/>
      <c r="G61" s="838"/>
      <c r="H61" s="838"/>
      <c r="I61" s="839"/>
      <c r="J61" s="839"/>
      <c r="K61" s="840"/>
      <c r="L61" s="841"/>
      <c r="M61" s="841"/>
      <c r="N61" s="842"/>
      <c r="O61" s="842"/>
      <c r="P61" s="843"/>
      <c r="Q61" s="843"/>
      <c r="R61" s="843"/>
      <c r="S61" s="844">
        <f t="shared" si="4"/>
        <v>0</v>
      </c>
      <c r="T61" s="838"/>
      <c r="U61" s="842"/>
      <c r="V61" s="843"/>
      <c r="W61" s="843"/>
      <c r="X61" s="843"/>
      <c r="Y61" s="843"/>
      <c r="Z61" s="843"/>
      <c r="AA61" s="837"/>
      <c r="AB61" s="837"/>
      <c r="AC61" s="845">
        <f t="shared" si="5"/>
        <v>0</v>
      </c>
      <c r="AD61" s="846">
        <f t="shared" si="6"/>
        <v>0</v>
      </c>
      <c r="AE61" s="847">
        <f t="shared" si="7"/>
        <v>0</v>
      </c>
      <c r="AF61" s="855">
        <f t="shared" si="0"/>
        <v>0</v>
      </c>
      <c r="AG61" s="848">
        <f>IF('Input Sheet'!$C$15="Yes",'Input Sheet'!$F$8,0)</f>
        <v>0</v>
      </c>
      <c r="AH61" s="846">
        <f>IF('Input Sheet'!$C$15="Yes",Rates!$E$45,0)</f>
        <v>0</v>
      </c>
      <c r="AI61" s="849">
        <f>IF('Input Sheet'!$C$15="Yes",'Input Sheet'!$F$11,0)</f>
        <v>0</v>
      </c>
      <c r="AJ61" s="850">
        <f>IF('Input Sheet'!$C$15="Yes",'Input Sheet'!$F$7,0)</f>
        <v>0</v>
      </c>
      <c r="AK61" s="856">
        <f t="shared" si="1"/>
        <v>0</v>
      </c>
      <c r="AL61" s="856">
        <f t="shared" si="2"/>
        <v>0</v>
      </c>
      <c r="AM61" s="856">
        <f t="shared" si="8"/>
        <v>0</v>
      </c>
      <c r="AN61" s="856">
        <f t="shared" si="9"/>
        <v>0</v>
      </c>
      <c r="AO61" s="852">
        <f t="shared" si="10"/>
        <v>0</v>
      </c>
      <c r="AP61" s="853">
        <f t="shared" si="11"/>
        <v>0</v>
      </c>
      <c r="AQ61" s="854">
        <f>IFERROR(P61*'Input Sheet'!$F$8/(((AI61)*AK61*2)-AN61),0)</f>
        <v>0</v>
      </c>
      <c r="AR61" s="854">
        <f>IFERROR(($P61-$AF61)*'Input Sheet'!$F$8/(((AI61)*AK61*2)-AN61),0)</f>
        <v>0</v>
      </c>
    </row>
    <row r="62" spans="2:44" s="798" customFormat="1" ht="30" customHeight="1" thickBot="1" x14ac:dyDescent="0.3">
      <c r="B62" s="835"/>
      <c r="C62" s="836"/>
      <c r="D62" s="836"/>
      <c r="E62" s="837"/>
      <c r="F62" s="837"/>
      <c r="G62" s="838"/>
      <c r="H62" s="838"/>
      <c r="I62" s="839"/>
      <c r="J62" s="839"/>
      <c r="K62" s="840"/>
      <c r="L62" s="841"/>
      <c r="M62" s="841"/>
      <c r="N62" s="842"/>
      <c r="O62" s="842"/>
      <c r="P62" s="843"/>
      <c r="Q62" s="843"/>
      <c r="R62" s="843"/>
      <c r="S62" s="844">
        <f t="shared" si="4"/>
        <v>0</v>
      </c>
      <c r="T62" s="838"/>
      <c r="U62" s="842"/>
      <c r="V62" s="843"/>
      <c r="W62" s="843"/>
      <c r="X62" s="843"/>
      <c r="Y62" s="843"/>
      <c r="Z62" s="843"/>
      <c r="AA62" s="837"/>
      <c r="AB62" s="837"/>
      <c r="AC62" s="845">
        <f t="shared" si="5"/>
        <v>0</v>
      </c>
      <c r="AD62" s="846">
        <f t="shared" si="6"/>
        <v>0</v>
      </c>
      <c r="AE62" s="847">
        <f t="shared" si="7"/>
        <v>0</v>
      </c>
      <c r="AF62" s="855">
        <f t="shared" si="0"/>
        <v>0</v>
      </c>
      <c r="AG62" s="848">
        <f>IF('Input Sheet'!$C$15="Yes",'Input Sheet'!$F$8,0)</f>
        <v>0</v>
      </c>
      <c r="AH62" s="846">
        <f>IF('Input Sheet'!$C$15="Yes",Rates!$E$45,0)</f>
        <v>0</v>
      </c>
      <c r="AI62" s="849">
        <f>IF('Input Sheet'!$C$15="Yes",'Input Sheet'!$F$11,0)</f>
        <v>0</v>
      </c>
      <c r="AJ62" s="850">
        <f>IF('Input Sheet'!$C$15="Yes",'Input Sheet'!$F$7,0)</f>
        <v>0</v>
      </c>
      <c r="AK62" s="856">
        <f t="shared" si="1"/>
        <v>0</v>
      </c>
      <c r="AL62" s="856">
        <f t="shared" si="2"/>
        <v>0</v>
      </c>
      <c r="AM62" s="856">
        <f t="shared" si="8"/>
        <v>0</v>
      </c>
      <c r="AN62" s="856">
        <f t="shared" si="9"/>
        <v>0</v>
      </c>
      <c r="AO62" s="852">
        <f t="shared" si="10"/>
        <v>0</v>
      </c>
      <c r="AP62" s="853">
        <f t="shared" si="11"/>
        <v>0</v>
      </c>
      <c r="AQ62" s="854">
        <f>IFERROR(P62*'Input Sheet'!$F$8/(((AI62)*AK62*2)-AN62),0)</f>
        <v>0</v>
      </c>
      <c r="AR62" s="854">
        <f>IFERROR(($P62-$AF62)*'Input Sheet'!$F$8/(((AI62)*AK62*2)-AN62),0)</f>
        <v>0</v>
      </c>
    </row>
    <row r="63" spans="2:44" s="798" customFormat="1" ht="30" customHeight="1" thickBot="1" x14ac:dyDescent="0.3">
      <c r="B63" s="835"/>
      <c r="C63" s="836"/>
      <c r="D63" s="836"/>
      <c r="E63" s="837"/>
      <c r="F63" s="837"/>
      <c r="G63" s="838"/>
      <c r="H63" s="838"/>
      <c r="I63" s="839"/>
      <c r="J63" s="839"/>
      <c r="K63" s="840"/>
      <c r="L63" s="841"/>
      <c r="M63" s="841"/>
      <c r="N63" s="842"/>
      <c r="O63" s="842"/>
      <c r="P63" s="843"/>
      <c r="Q63" s="843"/>
      <c r="R63" s="843"/>
      <c r="S63" s="844">
        <f t="shared" si="4"/>
        <v>0</v>
      </c>
      <c r="T63" s="838"/>
      <c r="U63" s="842"/>
      <c r="V63" s="843"/>
      <c r="W63" s="843"/>
      <c r="X63" s="843"/>
      <c r="Y63" s="843"/>
      <c r="Z63" s="843"/>
      <c r="AA63" s="837"/>
      <c r="AB63" s="837"/>
      <c r="AC63" s="845">
        <f t="shared" si="5"/>
        <v>0</v>
      </c>
      <c r="AD63" s="846">
        <f t="shared" si="6"/>
        <v>0</v>
      </c>
      <c r="AE63" s="847">
        <f t="shared" si="7"/>
        <v>0</v>
      </c>
      <c r="AF63" s="855">
        <f t="shared" si="0"/>
        <v>0</v>
      </c>
      <c r="AG63" s="848">
        <f>IF('Input Sheet'!$C$15="Yes",'Input Sheet'!$F$8,0)</f>
        <v>0</v>
      </c>
      <c r="AH63" s="846">
        <f>IF('Input Sheet'!$C$15="Yes",Rates!$E$45,0)</f>
        <v>0</v>
      </c>
      <c r="AI63" s="849">
        <f>IF('Input Sheet'!$C$15="Yes",'Input Sheet'!$F$11,0)</f>
        <v>0</v>
      </c>
      <c r="AJ63" s="850">
        <f>IF('Input Sheet'!$C$15="Yes",'Input Sheet'!$F$7,0)</f>
        <v>0</v>
      </c>
      <c r="AK63" s="856">
        <f t="shared" si="1"/>
        <v>0</v>
      </c>
      <c r="AL63" s="856">
        <f t="shared" si="2"/>
        <v>0</v>
      </c>
      <c r="AM63" s="856">
        <f t="shared" si="8"/>
        <v>0</v>
      </c>
      <c r="AN63" s="856">
        <f t="shared" si="9"/>
        <v>0</v>
      </c>
      <c r="AO63" s="852">
        <f t="shared" si="10"/>
        <v>0</v>
      </c>
      <c r="AP63" s="853">
        <f t="shared" si="11"/>
        <v>0</v>
      </c>
      <c r="AQ63" s="854">
        <f>IFERROR(P63*'Input Sheet'!$F$8/(((AI63)*AK63*2)-AN63),0)</f>
        <v>0</v>
      </c>
      <c r="AR63" s="854">
        <f>IFERROR(($P63-$AF63)*'Input Sheet'!$F$8/(((AI63)*AK63*2)-AN63),0)</f>
        <v>0</v>
      </c>
    </row>
    <row r="64" spans="2:44" s="798" customFormat="1" ht="30" customHeight="1" thickBot="1" x14ac:dyDescent="0.3">
      <c r="B64" s="835"/>
      <c r="C64" s="836"/>
      <c r="D64" s="836"/>
      <c r="E64" s="837"/>
      <c r="F64" s="837"/>
      <c r="G64" s="838"/>
      <c r="H64" s="838"/>
      <c r="I64" s="839"/>
      <c r="J64" s="839"/>
      <c r="K64" s="840"/>
      <c r="L64" s="841"/>
      <c r="M64" s="841"/>
      <c r="N64" s="842"/>
      <c r="O64" s="842"/>
      <c r="P64" s="843"/>
      <c r="Q64" s="843"/>
      <c r="R64" s="843"/>
      <c r="S64" s="844">
        <f t="shared" si="4"/>
        <v>0</v>
      </c>
      <c r="T64" s="838"/>
      <c r="U64" s="842"/>
      <c r="V64" s="843"/>
      <c r="W64" s="843"/>
      <c r="X64" s="843"/>
      <c r="Y64" s="843"/>
      <c r="Z64" s="843"/>
      <c r="AA64" s="837"/>
      <c r="AB64" s="837"/>
      <c r="AC64" s="845">
        <f t="shared" si="5"/>
        <v>0</v>
      </c>
      <c r="AD64" s="846">
        <f t="shared" si="6"/>
        <v>0</v>
      </c>
      <c r="AE64" s="847">
        <f t="shared" si="7"/>
        <v>0</v>
      </c>
      <c r="AF64" s="855">
        <f t="shared" si="0"/>
        <v>0</v>
      </c>
      <c r="AG64" s="848">
        <f>IF('Input Sheet'!$C$15="Yes",'Input Sheet'!$F$8,0)</f>
        <v>0</v>
      </c>
      <c r="AH64" s="846">
        <f>IF('Input Sheet'!$C$15="Yes",Rates!$E$45,0)</f>
        <v>0</v>
      </c>
      <c r="AI64" s="849">
        <f>IF('Input Sheet'!$C$15="Yes",'Input Sheet'!$F$11,0)</f>
        <v>0</v>
      </c>
      <c r="AJ64" s="850">
        <f>IF('Input Sheet'!$C$15="Yes",'Input Sheet'!$F$7,0)</f>
        <v>0</v>
      </c>
      <c r="AK64" s="856">
        <f t="shared" si="1"/>
        <v>0</v>
      </c>
      <c r="AL64" s="856">
        <f t="shared" si="2"/>
        <v>0</v>
      </c>
      <c r="AM64" s="856">
        <f t="shared" si="8"/>
        <v>0</v>
      </c>
      <c r="AN64" s="856">
        <f t="shared" si="9"/>
        <v>0</v>
      </c>
      <c r="AO64" s="852">
        <f t="shared" si="10"/>
        <v>0</v>
      </c>
      <c r="AP64" s="853">
        <f t="shared" si="11"/>
        <v>0</v>
      </c>
      <c r="AQ64" s="854">
        <f>IFERROR(P64*'Input Sheet'!$F$8/(((AI64)*AK64*2)-AN64),0)</f>
        <v>0</v>
      </c>
      <c r="AR64" s="854">
        <f>IFERROR(($P64-$AF64)*'Input Sheet'!$F$8/(((AI64)*AK64*2)-AN64),0)</f>
        <v>0</v>
      </c>
    </row>
    <row r="65" spans="2:44" s="798" customFormat="1" ht="30" customHeight="1" thickBot="1" x14ac:dyDescent="0.3">
      <c r="B65" s="835"/>
      <c r="C65" s="836"/>
      <c r="D65" s="836"/>
      <c r="E65" s="837"/>
      <c r="F65" s="837"/>
      <c r="G65" s="838"/>
      <c r="H65" s="838"/>
      <c r="I65" s="839"/>
      <c r="J65" s="839"/>
      <c r="K65" s="840"/>
      <c r="L65" s="841"/>
      <c r="M65" s="841"/>
      <c r="N65" s="842"/>
      <c r="O65" s="842"/>
      <c r="P65" s="843"/>
      <c r="Q65" s="843"/>
      <c r="R65" s="843"/>
      <c r="S65" s="844">
        <f t="shared" si="4"/>
        <v>0</v>
      </c>
      <c r="T65" s="838"/>
      <c r="U65" s="842"/>
      <c r="V65" s="843"/>
      <c r="W65" s="843"/>
      <c r="X65" s="843"/>
      <c r="Y65" s="843"/>
      <c r="Z65" s="843"/>
      <c r="AA65" s="837"/>
      <c r="AB65" s="837"/>
      <c r="AC65" s="845">
        <f t="shared" si="5"/>
        <v>0</v>
      </c>
      <c r="AD65" s="846">
        <f t="shared" si="6"/>
        <v>0</v>
      </c>
      <c r="AE65" s="847">
        <f t="shared" si="7"/>
        <v>0</v>
      </c>
      <c r="AF65" s="855">
        <f t="shared" si="0"/>
        <v>0</v>
      </c>
      <c r="AG65" s="848">
        <f>IF('Input Sheet'!$C$15="Yes",'Input Sheet'!$F$8,0)</f>
        <v>0</v>
      </c>
      <c r="AH65" s="846">
        <f>IF('Input Sheet'!$C$15="Yes",Rates!$E$45,0)</f>
        <v>0</v>
      </c>
      <c r="AI65" s="849">
        <f>IF('Input Sheet'!$C$15="Yes",'Input Sheet'!$F$11,0)</f>
        <v>0</v>
      </c>
      <c r="AJ65" s="850">
        <f>IF('Input Sheet'!$C$15="Yes",'Input Sheet'!$F$7,0)</f>
        <v>0</v>
      </c>
      <c r="AK65" s="856">
        <f t="shared" si="1"/>
        <v>0</v>
      </c>
      <c r="AL65" s="856">
        <f t="shared" si="2"/>
        <v>0</v>
      </c>
      <c r="AM65" s="856">
        <f t="shared" si="8"/>
        <v>0</v>
      </c>
      <c r="AN65" s="856">
        <f t="shared" si="9"/>
        <v>0</v>
      </c>
      <c r="AO65" s="852">
        <f t="shared" si="10"/>
        <v>0</v>
      </c>
      <c r="AP65" s="853">
        <f t="shared" si="11"/>
        <v>0</v>
      </c>
      <c r="AQ65" s="854">
        <f>IFERROR(P65*'Input Sheet'!$F$8/(((AI65)*AK65*2)-AN65),0)</f>
        <v>0</v>
      </c>
      <c r="AR65" s="854">
        <f>IFERROR(($P65-$AF65)*'Input Sheet'!$F$8/(((AI65)*AK65*2)-AN65),0)</f>
        <v>0</v>
      </c>
    </row>
    <row r="66" spans="2:44" s="798" customFormat="1" ht="30" customHeight="1" thickBot="1" x14ac:dyDescent="0.3">
      <c r="B66" s="835"/>
      <c r="C66" s="836"/>
      <c r="D66" s="836"/>
      <c r="E66" s="837"/>
      <c r="F66" s="837"/>
      <c r="G66" s="838"/>
      <c r="H66" s="838"/>
      <c r="I66" s="839"/>
      <c r="J66" s="839"/>
      <c r="K66" s="840"/>
      <c r="L66" s="841"/>
      <c r="M66" s="841"/>
      <c r="N66" s="842"/>
      <c r="O66" s="842"/>
      <c r="P66" s="843"/>
      <c r="Q66" s="843"/>
      <c r="R66" s="843"/>
      <c r="S66" s="844">
        <f t="shared" si="4"/>
        <v>0</v>
      </c>
      <c r="T66" s="838"/>
      <c r="U66" s="842"/>
      <c r="V66" s="843"/>
      <c r="W66" s="843"/>
      <c r="X66" s="843"/>
      <c r="Y66" s="843"/>
      <c r="Z66" s="843"/>
      <c r="AA66" s="837"/>
      <c r="AB66" s="837"/>
      <c r="AC66" s="845">
        <f t="shared" si="5"/>
        <v>0</v>
      </c>
      <c r="AD66" s="846">
        <f t="shared" si="6"/>
        <v>0</v>
      </c>
      <c r="AE66" s="847">
        <f t="shared" si="7"/>
        <v>0</v>
      </c>
      <c r="AF66" s="855">
        <f t="shared" si="0"/>
        <v>0</v>
      </c>
      <c r="AG66" s="848">
        <f>IF('Input Sheet'!$C$15="Yes",'Input Sheet'!$F$8,0)</f>
        <v>0</v>
      </c>
      <c r="AH66" s="846">
        <f>IF('Input Sheet'!$C$15="Yes",Rates!$E$45,0)</f>
        <v>0</v>
      </c>
      <c r="AI66" s="849">
        <f>IF('Input Sheet'!$C$15="Yes",'Input Sheet'!$F$11,0)</f>
        <v>0</v>
      </c>
      <c r="AJ66" s="850">
        <f>IF('Input Sheet'!$C$15="Yes",'Input Sheet'!$F$7,0)</f>
        <v>0</v>
      </c>
      <c r="AK66" s="856">
        <f t="shared" si="1"/>
        <v>0</v>
      </c>
      <c r="AL66" s="856">
        <f t="shared" si="2"/>
        <v>0</v>
      </c>
      <c r="AM66" s="856">
        <f t="shared" si="8"/>
        <v>0</v>
      </c>
      <c r="AN66" s="856">
        <f t="shared" si="9"/>
        <v>0</v>
      </c>
      <c r="AO66" s="852">
        <f t="shared" si="10"/>
        <v>0</v>
      </c>
      <c r="AP66" s="853">
        <f t="shared" si="11"/>
        <v>0</v>
      </c>
      <c r="AQ66" s="854">
        <f>IFERROR(P66*'Input Sheet'!$F$8/(((AI66)*AK66*2)-AN66),0)</f>
        <v>0</v>
      </c>
      <c r="AR66" s="854">
        <f>IFERROR(($P66-$AF66)*'Input Sheet'!$F$8/(((AI66)*AK66*2)-AN66),0)</f>
        <v>0</v>
      </c>
    </row>
    <row r="67" spans="2:44" s="798" customFormat="1" ht="30" customHeight="1" thickBot="1" x14ac:dyDescent="0.3">
      <c r="B67" s="835"/>
      <c r="C67" s="836"/>
      <c r="D67" s="836"/>
      <c r="E67" s="837"/>
      <c r="F67" s="837"/>
      <c r="G67" s="838"/>
      <c r="H67" s="838"/>
      <c r="I67" s="839"/>
      <c r="J67" s="839"/>
      <c r="K67" s="840"/>
      <c r="L67" s="841"/>
      <c r="M67" s="841"/>
      <c r="N67" s="842"/>
      <c r="O67" s="842"/>
      <c r="P67" s="843"/>
      <c r="Q67" s="843"/>
      <c r="R67" s="843"/>
      <c r="S67" s="844">
        <f t="shared" si="4"/>
        <v>0</v>
      </c>
      <c r="T67" s="838"/>
      <c r="U67" s="842"/>
      <c r="V67" s="843"/>
      <c r="W67" s="843"/>
      <c r="X67" s="843"/>
      <c r="Y67" s="843"/>
      <c r="Z67" s="843"/>
      <c r="AA67" s="837"/>
      <c r="AB67" s="837"/>
      <c r="AC67" s="845">
        <f t="shared" si="5"/>
        <v>0</v>
      </c>
      <c r="AD67" s="846">
        <f t="shared" si="6"/>
        <v>0</v>
      </c>
      <c r="AE67" s="847">
        <f t="shared" si="7"/>
        <v>0</v>
      </c>
      <c r="AF67" s="855">
        <f t="shared" si="0"/>
        <v>0</v>
      </c>
      <c r="AG67" s="848">
        <f>IF('Input Sheet'!$C$15="Yes",'Input Sheet'!$F$8,0)</f>
        <v>0</v>
      </c>
      <c r="AH67" s="846">
        <f>IF('Input Sheet'!$C$15="Yes",Rates!$E$45,0)</f>
        <v>0</v>
      </c>
      <c r="AI67" s="849">
        <f>IF('Input Sheet'!$C$15="Yes",'Input Sheet'!$F$11,0)</f>
        <v>0</v>
      </c>
      <c r="AJ67" s="850">
        <f>IF('Input Sheet'!$C$15="Yes",'Input Sheet'!$F$7,0)</f>
        <v>0</v>
      </c>
      <c r="AK67" s="856">
        <f t="shared" si="1"/>
        <v>0</v>
      </c>
      <c r="AL67" s="856">
        <f t="shared" si="2"/>
        <v>0</v>
      </c>
      <c r="AM67" s="856">
        <f t="shared" si="8"/>
        <v>0</v>
      </c>
      <c r="AN67" s="856">
        <f t="shared" si="9"/>
        <v>0</v>
      </c>
      <c r="AO67" s="852">
        <f t="shared" si="10"/>
        <v>0</v>
      </c>
      <c r="AP67" s="853">
        <f t="shared" si="11"/>
        <v>0</v>
      </c>
      <c r="AQ67" s="854">
        <f>IFERROR(P67*'Input Sheet'!$F$8/(((AI67)*AK67*2)-AN67),0)</f>
        <v>0</v>
      </c>
      <c r="AR67" s="854">
        <f>IFERROR(($P67-$AF67)*'Input Sheet'!$F$8/(((AI67)*AK67*2)-AN67),0)</f>
        <v>0</v>
      </c>
    </row>
    <row r="68" spans="2:44" s="798" customFormat="1" ht="30" customHeight="1" thickBot="1" x14ac:dyDescent="0.3">
      <c r="B68" s="835"/>
      <c r="C68" s="836"/>
      <c r="D68" s="836"/>
      <c r="E68" s="837"/>
      <c r="F68" s="837"/>
      <c r="G68" s="838"/>
      <c r="H68" s="838"/>
      <c r="I68" s="839"/>
      <c r="J68" s="839"/>
      <c r="K68" s="840"/>
      <c r="L68" s="841"/>
      <c r="M68" s="841"/>
      <c r="N68" s="842"/>
      <c r="O68" s="842"/>
      <c r="P68" s="843"/>
      <c r="Q68" s="843"/>
      <c r="R68" s="843"/>
      <c r="S68" s="844">
        <f t="shared" si="4"/>
        <v>0</v>
      </c>
      <c r="T68" s="838"/>
      <c r="U68" s="842"/>
      <c r="V68" s="843"/>
      <c r="W68" s="843"/>
      <c r="X68" s="843"/>
      <c r="Y68" s="843"/>
      <c r="Z68" s="843"/>
      <c r="AA68" s="837"/>
      <c r="AB68" s="837"/>
      <c r="AC68" s="845">
        <f t="shared" si="5"/>
        <v>0</v>
      </c>
      <c r="AD68" s="846">
        <f t="shared" si="6"/>
        <v>0</v>
      </c>
      <c r="AE68" s="847">
        <f t="shared" si="7"/>
        <v>0</v>
      </c>
      <c r="AF68" s="855">
        <f t="shared" si="0"/>
        <v>0</v>
      </c>
      <c r="AG68" s="848">
        <f>IF('Input Sheet'!$C$15="Yes",'Input Sheet'!$F$8,0)</f>
        <v>0</v>
      </c>
      <c r="AH68" s="846">
        <f>IF('Input Sheet'!$C$15="Yes",Rates!$E$45,0)</f>
        <v>0</v>
      </c>
      <c r="AI68" s="849">
        <f>IF('Input Sheet'!$C$15="Yes",'Input Sheet'!$F$11,0)</f>
        <v>0</v>
      </c>
      <c r="AJ68" s="850">
        <f>IF('Input Sheet'!$C$15="Yes",'Input Sheet'!$F$7,0)</f>
        <v>0</v>
      </c>
      <c r="AK68" s="856">
        <f t="shared" si="1"/>
        <v>0</v>
      </c>
      <c r="AL68" s="856">
        <f t="shared" si="2"/>
        <v>0</v>
      </c>
      <c r="AM68" s="856">
        <f t="shared" si="8"/>
        <v>0</v>
      </c>
      <c r="AN68" s="856">
        <f t="shared" si="9"/>
        <v>0</v>
      </c>
      <c r="AO68" s="852">
        <f t="shared" si="10"/>
        <v>0</v>
      </c>
      <c r="AP68" s="853">
        <f t="shared" si="11"/>
        <v>0</v>
      </c>
      <c r="AQ68" s="854">
        <f>IFERROR(P68*'Input Sheet'!$F$8/(((AI68)*AK68*2)-AN68),0)</f>
        <v>0</v>
      </c>
      <c r="AR68" s="854">
        <f>IFERROR(($P68-$AF68)*'Input Sheet'!$F$8/(((AI68)*AK68*2)-AN68),0)</f>
        <v>0</v>
      </c>
    </row>
    <row r="69" spans="2:44" s="798" customFormat="1" ht="30" customHeight="1" thickBot="1" x14ac:dyDescent="0.3">
      <c r="B69" s="835"/>
      <c r="C69" s="836"/>
      <c r="D69" s="836"/>
      <c r="E69" s="837"/>
      <c r="F69" s="837"/>
      <c r="G69" s="838"/>
      <c r="H69" s="838"/>
      <c r="I69" s="839"/>
      <c r="J69" s="839"/>
      <c r="K69" s="840"/>
      <c r="L69" s="841"/>
      <c r="M69" s="841"/>
      <c r="N69" s="842"/>
      <c r="O69" s="842"/>
      <c r="P69" s="843"/>
      <c r="Q69" s="843"/>
      <c r="R69" s="843"/>
      <c r="S69" s="844">
        <f t="shared" si="4"/>
        <v>0</v>
      </c>
      <c r="T69" s="838"/>
      <c r="U69" s="842"/>
      <c r="V69" s="843"/>
      <c r="W69" s="843"/>
      <c r="X69" s="843"/>
      <c r="Y69" s="843"/>
      <c r="Z69" s="843"/>
      <c r="AA69" s="837"/>
      <c r="AB69" s="837"/>
      <c r="AC69" s="845">
        <f t="shared" si="5"/>
        <v>0</v>
      </c>
      <c r="AD69" s="846">
        <f t="shared" si="6"/>
        <v>0</v>
      </c>
      <c r="AE69" s="847">
        <f t="shared" si="7"/>
        <v>0</v>
      </c>
      <c r="AF69" s="855">
        <f t="shared" si="0"/>
        <v>0</v>
      </c>
      <c r="AG69" s="848">
        <f>IF('Input Sheet'!$C$15="Yes",'Input Sheet'!$F$8,0)</f>
        <v>0</v>
      </c>
      <c r="AH69" s="846">
        <f>IF('Input Sheet'!$C$15="Yes",Rates!$E$45,0)</f>
        <v>0</v>
      </c>
      <c r="AI69" s="849">
        <f>IF('Input Sheet'!$C$15="Yes",'Input Sheet'!$F$11,0)</f>
        <v>0</v>
      </c>
      <c r="AJ69" s="850">
        <f>IF('Input Sheet'!$C$15="Yes",'Input Sheet'!$F$7,0)</f>
        <v>0</v>
      </c>
      <c r="AK69" s="856">
        <f t="shared" si="1"/>
        <v>0</v>
      </c>
      <c r="AL69" s="856">
        <f t="shared" si="2"/>
        <v>0</v>
      </c>
      <c r="AM69" s="856">
        <f t="shared" si="8"/>
        <v>0</v>
      </c>
      <c r="AN69" s="856">
        <f t="shared" si="9"/>
        <v>0</v>
      </c>
      <c r="AO69" s="852">
        <f t="shared" si="10"/>
        <v>0</v>
      </c>
      <c r="AP69" s="853">
        <f t="shared" si="11"/>
        <v>0</v>
      </c>
      <c r="AQ69" s="854">
        <f>IFERROR(P69*'Input Sheet'!$F$8/(((AI69)*AK69*2)-AN69),0)</f>
        <v>0</v>
      </c>
      <c r="AR69" s="854">
        <f>IFERROR(($P69-$AF69)*'Input Sheet'!$F$8/(((AI69)*AK69*2)-AN69),0)</f>
        <v>0</v>
      </c>
    </row>
    <row r="70" spans="2:44" s="798" customFormat="1" ht="30" customHeight="1" thickBot="1" x14ac:dyDescent="0.3">
      <c r="B70" s="835"/>
      <c r="C70" s="836"/>
      <c r="D70" s="836"/>
      <c r="E70" s="837"/>
      <c r="F70" s="837"/>
      <c r="G70" s="838"/>
      <c r="H70" s="838"/>
      <c r="I70" s="839"/>
      <c r="J70" s="839"/>
      <c r="K70" s="840"/>
      <c r="L70" s="841"/>
      <c r="M70" s="841"/>
      <c r="N70" s="842"/>
      <c r="O70" s="842"/>
      <c r="P70" s="843"/>
      <c r="Q70" s="843"/>
      <c r="R70" s="843"/>
      <c r="S70" s="844">
        <f t="shared" si="4"/>
        <v>0</v>
      </c>
      <c r="T70" s="838"/>
      <c r="U70" s="842"/>
      <c r="V70" s="843"/>
      <c r="W70" s="843"/>
      <c r="X70" s="843"/>
      <c r="Y70" s="843"/>
      <c r="Z70" s="843"/>
      <c r="AA70" s="837"/>
      <c r="AB70" s="837"/>
      <c r="AC70" s="845">
        <f t="shared" si="5"/>
        <v>0</v>
      </c>
      <c r="AD70" s="846">
        <f t="shared" si="6"/>
        <v>0</v>
      </c>
      <c r="AE70" s="847">
        <f t="shared" si="7"/>
        <v>0</v>
      </c>
      <c r="AF70" s="855">
        <f t="shared" si="0"/>
        <v>0</v>
      </c>
      <c r="AG70" s="848">
        <f>IF('Input Sheet'!$C$15="Yes",'Input Sheet'!$F$8,0)</f>
        <v>0</v>
      </c>
      <c r="AH70" s="846">
        <f>IF('Input Sheet'!$C$15="Yes",Rates!$E$45,0)</f>
        <v>0</v>
      </c>
      <c r="AI70" s="849">
        <f>IF('Input Sheet'!$C$15="Yes",'Input Sheet'!$F$11,0)</f>
        <v>0</v>
      </c>
      <c r="AJ70" s="850">
        <f>IF('Input Sheet'!$C$15="Yes",'Input Sheet'!$F$7,0)</f>
        <v>0</v>
      </c>
      <c r="AK70" s="856">
        <f t="shared" si="1"/>
        <v>0</v>
      </c>
      <c r="AL70" s="856">
        <f t="shared" si="2"/>
        <v>0</v>
      </c>
      <c r="AM70" s="856">
        <f t="shared" si="8"/>
        <v>0</v>
      </c>
      <c r="AN70" s="856">
        <f t="shared" si="9"/>
        <v>0</v>
      </c>
      <c r="AO70" s="852">
        <f t="shared" si="10"/>
        <v>0</v>
      </c>
      <c r="AP70" s="853">
        <f t="shared" si="11"/>
        <v>0</v>
      </c>
      <c r="AQ70" s="854">
        <f>IFERROR(P70*'Input Sheet'!$F$8/(((AI70)*AK70*2)-AN70),0)</f>
        <v>0</v>
      </c>
      <c r="AR70" s="854">
        <f>IFERROR(($P70-$AF70)*'Input Sheet'!$F$8/(((AI70)*AK70*2)-AN70),0)</f>
        <v>0</v>
      </c>
    </row>
    <row r="71" spans="2:44" s="798" customFormat="1" ht="30" customHeight="1" thickBot="1" x14ac:dyDescent="0.3">
      <c r="B71" s="835"/>
      <c r="C71" s="836"/>
      <c r="D71" s="836"/>
      <c r="E71" s="837"/>
      <c r="F71" s="837"/>
      <c r="G71" s="838"/>
      <c r="H71" s="838"/>
      <c r="I71" s="839"/>
      <c r="J71" s="839"/>
      <c r="K71" s="840"/>
      <c r="L71" s="841"/>
      <c r="M71" s="841"/>
      <c r="N71" s="842"/>
      <c r="O71" s="842"/>
      <c r="P71" s="843"/>
      <c r="Q71" s="843"/>
      <c r="R71" s="843"/>
      <c r="S71" s="844">
        <f t="shared" si="4"/>
        <v>0</v>
      </c>
      <c r="T71" s="838"/>
      <c r="U71" s="842"/>
      <c r="V71" s="843"/>
      <c r="W71" s="843"/>
      <c r="X71" s="843"/>
      <c r="Y71" s="843"/>
      <c r="Z71" s="843"/>
      <c r="AA71" s="837"/>
      <c r="AB71" s="837"/>
      <c r="AC71" s="845">
        <f t="shared" si="5"/>
        <v>0</v>
      </c>
      <c r="AD71" s="846">
        <f t="shared" si="6"/>
        <v>0</v>
      </c>
      <c r="AE71" s="847">
        <f t="shared" si="7"/>
        <v>0</v>
      </c>
      <c r="AF71" s="855">
        <f t="shared" si="0"/>
        <v>0</v>
      </c>
      <c r="AG71" s="848">
        <f>IF('Input Sheet'!$C$15="Yes",'Input Sheet'!$F$8,0)</f>
        <v>0</v>
      </c>
      <c r="AH71" s="846">
        <f>IF('Input Sheet'!$C$15="Yes",Rates!$E$45,0)</f>
        <v>0</v>
      </c>
      <c r="AI71" s="849">
        <f>IF('Input Sheet'!$C$15="Yes",'Input Sheet'!$F$11,0)</f>
        <v>0</v>
      </c>
      <c r="AJ71" s="850">
        <f>IF('Input Sheet'!$C$15="Yes",'Input Sheet'!$F$7,0)</f>
        <v>0</v>
      </c>
      <c r="AK71" s="856">
        <f t="shared" si="1"/>
        <v>0</v>
      </c>
      <c r="AL71" s="856">
        <f t="shared" si="2"/>
        <v>0</v>
      </c>
      <c r="AM71" s="856">
        <f t="shared" si="8"/>
        <v>0</v>
      </c>
      <c r="AN71" s="856">
        <f t="shared" si="9"/>
        <v>0</v>
      </c>
      <c r="AO71" s="852">
        <f t="shared" si="10"/>
        <v>0</v>
      </c>
      <c r="AP71" s="853">
        <f t="shared" si="11"/>
        <v>0</v>
      </c>
      <c r="AQ71" s="854">
        <f>IFERROR(P71*'Input Sheet'!$F$8/(((AI71)*AK71*2)-AN71),0)</f>
        <v>0</v>
      </c>
      <c r="AR71" s="854">
        <f>IFERROR(($P71-$AF71)*'Input Sheet'!$F$8/(((AI71)*AK71*2)-AN71),0)</f>
        <v>0</v>
      </c>
    </row>
    <row r="72" spans="2:44" s="798" customFormat="1" ht="30" customHeight="1" thickBot="1" x14ac:dyDescent="0.3">
      <c r="B72" s="835"/>
      <c r="C72" s="836"/>
      <c r="D72" s="836"/>
      <c r="E72" s="837"/>
      <c r="F72" s="837"/>
      <c r="G72" s="838"/>
      <c r="H72" s="838"/>
      <c r="I72" s="839"/>
      <c r="J72" s="839"/>
      <c r="K72" s="840"/>
      <c r="L72" s="841"/>
      <c r="M72" s="841"/>
      <c r="N72" s="842"/>
      <c r="O72" s="842"/>
      <c r="P72" s="843"/>
      <c r="Q72" s="843"/>
      <c r="R72" s="843"/>
      <c r="S72" s="844">
        <f t="shared" si="4"/>
        <v>0</v>
      </c>
      <c r="T72" s="838"/>
      <c r="U72" s="842"/>
      <c r="V72" s="843"/>
      <c r="W72" s="843"/>
      <c r="X72" s="843"/>
      <c r="Y72" s="843"/>
      <c r="Z72" s="843"/>
      <c r="AA72" s="837"/>
      <c r="AB72" s="837"/>
      <c r="AC72" s="845">
        <f t="shared" si="5"/>
        <v>0</v>
      </c>
      <c r="AD72" s="846">
        <f t="shared" si="6"/>
        <v>0</v>
      </c>
      <c r="AE72" s="847">
        <f t="shared" si="7"/>
        <v>0</v>
      </c>
      <c r="AF72" s="855">
        <f t="shared" si="0"/>
        <v>0</v>
      </c>
      <c r="AG72" s="848">
        <f>IF('Input Sheet'!$C$15="Yes",'Input Sheet'!$F$8,0)</f>
        <v>0</v>
      </c>
      <c r="AH72" s="846">
        <f>IF('Input Sheet'!$C$15="Yes",Rates!$E$45,0)</f>
        <v>0</v>
      </c>
      <c r="AI72" s="849">
        <f>IF('Input Sheet'!$C$15="Yes",'Input Sheet'!$F$11,0)</f>
        <v>0</v>
      </c>
      <c r="AJ72" s="850">
        <f>IF('Input Sheet'!$C$15="Yes",'Input Sheet'!$F$7,0)</f>
        <v>0</v>
      </c>
      <c r="AK72" s="856">
        <f t="shared" si="1"/>
        <v>0</v>
      </c>
      <c r="AL72" s="856">
        <f t="shared" si="2"/>
        <v>0</v>
      </c>
      <c r="AM72" s="856">
        <f t="shared" si="8"/>
        <v>0</v>
      </c>
      <c r="AN72" s="856">
        <f t="shared" si="9"/>
        <v>0</v>
      </c>
      <c r="AO72" s="852">
        <f t="shared" si="10"/>
        <v>0</v>
      </c>
      <c r="AP72" s="853">
        <f t="shared" si="11"/>
        <v>0</v>
      </c>
      <c r="AQ72" s="854">
        <f>IFERROR(P72*'Input Sheet'!$F$8/(((AI72)*AK72*2)-AN72),0)</f>
        <v>0</v>
      </c>
      <c r="AR72" s="854">
        <f>IFERROR(($P72-$AF72)*'Input Sheet'!$F$8/(((AI72)*AK72*2)-AN72),0)</f>
        <v>0</v>
      </c>
    </row>
    <row r="73" spans="2:44" s="798" customFormat="1" ht="30" customHeight="1" thickBot="1" x14ac:dyDescent="0.3">
      <c r="B73" s="835"/>
      <c r="C73" s="836"/>
      <c r="D73" s="836"/>
      <c r="E73" s="837"/>
      <c r="F73" s="837"/>
      <c r="G73" s="838"/>
      <c r="H73" s="838"/>
      <c r="I73" s="839"/>
      <c r="J73" s="839"/>
      <c r="K73" s="840"/>
      <c r="L73" s="841"/>
      <c r="M73" s="841"/>
      <c r="N73" s="842"/>
      <c r="O73" s="842"/>
      <c r="P73" s="843"/>
      <c r="Q73" s="843"/>
      <c r="R73" s="843"/>
      <c r="S73" s="844">
        <f t="shared" si="4"/>
        <v>0</v>
      </c>
      <c r="T73" s="838"/>
      <c r="U73" s="842"/>
      <c r="V73" s="843"/>
      <c r="W73" s="843"/>
      <c r="X73" s="843"/>
      <c r="Y73" s="843"/>
      <c r="Z73" s="843"/>
      <c r="AA73" s="837"/>
      <c r="AB73" s="837"/>
      <c r="AC73" s="845">
        <f t="shared" si="5"/>
        <v>0</v>
      </c>
      <c r="AD73" s="846">
        <f t="shared" si="6"/>
        <v>0</v>
      </c>
      <c r="AE73" s="847">
        <f t="shared" si="7"/>
        <v>0</v>
      </c>
      <c r="AF73" s="855">
        <f t="shared" ref="AF73:AF136" si="12">SUM($Q73:$W73)</f>
        <v>0</v>
      </c>
      <c r="AG73" s="848">
        <f>IF('Input Sheet'!$C$15="Yes",'Input Sheet'!$F$8,0)</f>
        <v>0</v>
      </c>
      <c r="AH73" s="846">
        <f>IF('Input Sheet'!$C$15="Yes",Rates!$E$45,0)</f>
        <v>0</v>
      </c>
      <c r="AI73" s="849">
        <f>IF('Input Sheet'!$C$15="Yes",'Input Sheet'!$F$11,0)</f>
        <v>0</v>
      </c>
      <c r="AJ73" s="850">
        <f>IF('Input Sheet'!$C$15="Yes",'Input Sheet'!$F$7,0)</f>
        <v>0</v>
      </c>
      <c r="AK73" s="856">
        <f t="shared" ref="AK73:AK136" si="13">L73*S73</f>
        <v>0</v>
      </c>
      <c r="AL73" s="856">
        <f t="shared" ref="AL73:AL136" si="14">(AK73)-(AK73*AH73)-(AK73*AP73*(AJ73/12))</f>
        <v>0</v>
      </c>
      <c r="AM73" s="856">
        <f t="shared" si="8"/>
        <v>0</v>
      </c>
      <c r="AN73" s="856">
        <f t="shared" ref="AN73:AN136" si="15">AK73*AP73*AJ73/12</f>
        <v>0</v>
      </c>
      <c r="AO73" s="852">
        <f t="shared" si="10"/>
        <v>0</v>
      </c>
      <c r="AP73" s="853">
        <f t="shared" si="11"/>
        <v>0</v>
      </c>
      <c r="AQ73" s="854">
        <f>IFERROR(P73*'Input Sheet'!$F$8/(((AI73)*AK73*2)-AN73),0)</f>
        <v>0</v>
      </c>
      <c r="AR73" s="854">
        <f>IFERROR(($P73-$AF73)*'Input Sheet'!$F$8/(((AI73)*AK73*2)-AN73),0)</f>
        <v>0</v>
      </c>
    </row>
    <row r="74" spans="2:44" s="798" customFormat="1" ht="30" customHeight="1" thickBot="1" x14ac:dyDescent="0.3">
      <c r="B74" s="835"/>
      <c r="C74" s="836"/>
      <c r="D74" s="836"/>
      <c r="E74" s="837"/>
      <c r="F74" s="837"/>
      <c r="G74" s="838"/>
      <c r="H74" s="838"/>
      <c r="I74" s="839"/>
      <c r="J74" s="839"/>
      <c r="K74" s="840"/>
      <c r="L74" s="841"/>
      <c r="M74" s="841"/>
      <c r="N74" s="842"/>
      <c r="O74" s="842"/>
      <c r="P74" s="843"/>
      <c r="Q74" s="843"/>
      <c r="R74" s="843"/>
      <c r="S74" s="844">
        <f t="shared" ref="S74:S137" si="16">IFERROR(M74/L74,0)</f>
        <v>0</v>
      </c>
      <c r="T74" s="838"/>
      <c r="U74" s="842"/>
      <c r="V74" s="843"/>
      <c r="W74" s="843"/>
      <c r="X74" s="843"/>
      <c r="Y74" s="843"/>
      <c r="Z74" s="843"/>
      <c r="AA74" s="837"/>
      <c r="AB74" s="837"/>
      <c r="AC74" s="845">
        <f t="shared" ref="AC74:AC137" si="17">IFERROR(L74/K74,0)</f>
        <v>0</v>
      </c>
      <c r="AD74" s="846">
        <f t="shared" ref="AD74:AD137" si="18">IFERROR(P74*12/L74,0)</f>
        <v>0</v>
      </c>
      <c r="AE74" s="847">
        <f t="shared" ref="AE74:AE137" si="19">IFERROR(P74*12/K74,0)</f>
        <v>0</v>
      </c>
      <c r="AF74" s="855">
        <f t="shared" si="12"/>
        <v>0</v>
      </c>
      <c r="AG74" s="848">
        <f>IF('Input Sheet'!$C$15="Yes",'Input Sheet'!$F$8,0)</f>
        <v>0</v>
      </c>
      <c r="AH74" s="846">
        <f>IF('Input Sheet'!$C$15="Yes",Rates!$E$45,0)</f>
        <v>0</v>
      </c>
      <c r="AI74" s="849">
        <f>IF('Input Sheet'!$C$15="Yes",'Input Sheet'!$F$11,0)</f>
        <v>0</v>
      </c>
      <c r="AJ74" s="850">
        <f>IF('Input Sheet'!$C$15="Yes",'Input Sheet'!$F$7,0)</f>
        <v>0</v>
      </c>
      <c r="AK74" s="856">
        <f t="shared" si="13"/>
        <v>0</v>
      </c>
      <c r="AL74" s="856">
        <f t="shared" si="14"/>
        <v>0</v>
      </c>
      <c r="AM74" s="856">
        <f t="shared" ref="AM74:AM137" si="20">(AL74)+(AK74*0.75%)</f>
        <v>0</v>
      </c>
      <c r="AN74" s="856">
        <f t="shared" si="15"/>
        <v>0</v>
      </c>
      <c r="AO74" s="852">
        <f t="shared" ref="AO74:AO137" si="21">IFERROR(AM74/L74,0)</f>
        <v>0</v>
      </c>
      <c r="AP74" s="853">
        <f t="shared" ref="AP74:AP137" si="22">AI74</f>
        <v>0</v>
      </c>
      <c r="AQ74" s="854">
        <f>IFERROR(P74*'Input Sheet'!$F$8/(((AI74)*AK74*2)-AN74),0)</f>
        <v>0</v>
      </c>
      <c r="AR74" s="854">
        <f>IFERROR(($P74-$AF74)*'Input Sheet'!$F$8/(((AI74)*AK74*2)-AN74),0)</f>
        <v>0</v>
      </c>
    </row>
    <row r="75" spans="2:44" s="798" customFormat="1" ht="30" customHeight="1" thickBot="1" x14ac:dyDescent="0.3">
      <c r="B75" s="835"/>
      <c r="C75" s="836"/>
      <c r="D75" s="836"/>
      <c r="E75" s="837"/>
      <c r="F75" s="837"/>
      <c r="G75" s="838"/>
      <c r="H75" s="838"/>
      <c r="I75" s="839"/>
      <c r="J75" s="839"/>
      <c r="K75" s="840"/>
      <c r="L75" s="841"/>
      <c r="M75" s="841"/>
      <c r="N75" s="842"/>
      <c r="O75" s="842"/>
      <c r="P75" s="843"/>
      <c r="Q75" s="843"/>
      <c r="R75" s="843"/>
      <c r="S75" s="844">
        <f t="shared" si="16"/>
        <v>0</v>
      </c>
      <c r="T75" s="838"/>
      <c r="U75" s="842"/>
      <c r="V75" s="843"/>
      <c r="W75" s="843"/>
      <c r="X75" s="843"/>
      <c r="Y75" s="843"/>
      <c r="Z75" s="843"/>
      <c r="AA75" s="837"/>
      <c r="AB75" s="837"/>
      <c r="AC75" s="845">
        <f t="shared" si="17"/>
        <v>0</v>
      </c>
      <c r="AD75" s="846">
        <f t="shared" si="18"/>
        <v>0</v>
      </c>
      <c r="AE75" s="847">
        <f t="shared" si="19"/>
        <v>0</v>
      </c>
      <c r="AF75" s="855">
        <f t="shared" si="12"/>
        <v>0</v>
      </c>
      <c r="AG75" s="848">
        <f>IF('Input Sheet'!$C$15="Yes",'Input Sheet'!$F$8,0)</f>
        <v>0</v>
      </c>
      <c r="AH75" s="846">
        <f>IF('Input Sheet'!$C$15="Yes",Rates!$E$45,0)</f>
        <v>0</v>
      </c>
      <c r="AI75" s="849">
        <f>IF('Input Sheet'!$C$15="Yes",'Input Sheet'!$F$11,0)</f>
        <v>0</v>
      </c>
      <c r="AJ75" s="850">
        <f>IF('Input Sheet'!$C$15="Yes",'Input Sheet'!$F$7,0)</f>
        <v>0</v>
      </c>
      <c r="AK75" s="856">
        <f t="shared" si="13"/>
        <v>0</v>
      </c>
      <c r="AL75" s="856">
        <f t="shared" si="14"/>
        <v>0</v>
      </c>
      <c r="AM75" s="856">
        <f t="shared" si="20"/>
        <v>0</v>
      </c>
      <c r="AN75" s="856">
        <f t="shared" si="15"/>
        <v>0</v>
      </c>
      <c r="AO75" s="852">
        <f t="shared" si="21"/>
        <v>0</v>
      </c>
      <c r="AP75" s="853">
        <f t="shared" si="22"/>
        <v>0</v>
      </c>
      <c r="AQ75" s="854">
        <f>IFERROR(P75*'Input Sheet'!$F$8/(((AI75)*AK75*2)-AN75),0)</f>
        <v>0</v>
      </c>
      <c r="AR75" s="854">
        <f>IFERROR(($P75-$AF75)*'Input Sheet'!$F$8/(((AI75)*AK75*2)-AN75),0)</f>
        <v>0</v>
      </c>
    </row>
    <row r="76" spans="2:44" s="798" customFormat="1" ht="30" customHeight="1" thickBot="1" x14ac:dyDescent="0.3">
      <c r="B76" s="835"/>
      <c r="C76" s="836"/>
      <c r="D76" s="836"/>
      <c r="E76" s="837"/>
      <c r="F76" s="837"/>
      <c r="G76" s="838"/>
      <c r="H76" s="838"/>
      <c r="I76" s="839"/>
      <c r="J76" s="839"/>
      <c r="K76" s="840"/>
      <c r="L76" s="841"/>
      <c r="M76" s="841"/>
      <c r="N76" s="842"/>
      <c r="O76" s="842"/>
      <c r="P76" s="843"/>
      <c r="Q76" s="843"/>
      <c r="R76" s="843"/>
      <c r="S76" s="844">
        <f t="shared" si="16"/>
        <v>0</v>
      </c>
      <c r="T76" s="838"/>
      <c r="U76" s="842"/>
      <c r="V76" s="843"/>
      <c r="W76" s="843"/>
      <c r="X76" s="843"/>
      <c r="Y76" s="843"/>
      <c r="Z76" s="843"/>
      <c r="AA76" s="837"/>
      <c r="AB76" s="837"/>
      <c r="AC76" s="845">
        <f t="shared" si="17"/>
        <v>0</v>
      </c>
      <c r="AD76" s="846">
        <f t="shared" si="18"/>
        <v>0</v>
      </c>
      <c r="AE76" s="847">
        <f t="shared" si="19"/>
        <v>0</v>
      </c>
      <c r="AF76" s="855">
        <f t="shared" si="12"/>
        <v>0</v>
      </c>
      <c r="AG76" s="848">
        <f>IF('Input Sheet'!$C$15="Yes",'Input Sheet'!$F$8,0)</f>
        <v>0</v>
      </c>
      <c r="AH76" s="846">
        <f>IF('Input Sheet'!$C$15="Yes",Rates!$E$45,0)</f>
        <v>0</v>
      </c>
      <c r="AI76" s="849">
        <f>IF('Input Sheet'!$C$15="Yes",'Input Sheet'!$F$11,0)</f>
        <v>0</v>
      </c>
      <c r="AJ76" s="850">
        <f>IF('Input Sheet'!$C$15="Yes",'Input Sheet'!$F$7,0)</f>
        <v>0</v>
      </c>
      <c r="AK76" s="856">
        <f t="shared" si="13"/>
        <v>0</v>
      </c>
      <c r="AL76" s="856">
        <f t="shared" si="14"/>
        <v>0</v>
      </c>
      <c r="AM76" s="856">
        <f t="shared" si="20"/>
        <v>0</v>
      </c>
      <c r="AN76" s="856">
        <f t="shared" si="15"/>
        <v>0</v>
      </c>
      <c r="AO76" s="852">
        <f t="shared" si="21"/>
        <v>0</v>
      </c>
      <c r="AP76" s="853">
        <f t="shared" si="22"/>
        <v>0</v>
      </c>
      <c r="AQ76" s="854">
        <f>IFERROR(P76*'Input Sheet'!$F$8/(((AI76)*AK76*2)-AN76),0)</f>
        <v>0</v>
      </c>
      <c r="AR76" s="854">
        <f>IFERROR(($P76-$AF76)*'Input Sheet'!$F$8/(((AI76)*AK76*2)-AN76),0)</f>
        <v>0</v>
      </c>
    </row>
    <row r="77" spans="2:44" s="798" customFormat="1" ht="30" customHeight="1" thickBot="1" x14ac:dyDescent="0.3">
      <c r="B77" s="835"/>
      <c r="C77" s="836"/>
      <c r="D77" s="836"/>
      <c r="E77" s="837"/>
      <c r="F77" s="837"/>
      <c r="G77" s="838"/>
      <c r="H77" s="838"/>
      <c r="I77" s="839"/>
      <c r="J77" s="839"/>
      <c r="K77" s="840"/>
      <c r="L77" s="841"/>
      <c r="M77" s="841"/>
      <c r="N77" s="842"/>
      <c r="O77" s="842"/>
      <c r="P77" s="843"/>
      <c r="Q77" s="843"/>
      <c r="R77" s="843"/>
      <c r="S77" s="844">
        <f t="shared" si="16"/>
        <v>0</v>
      </c>
      <c r="T77" s="838"/>
      <c r="U77" s="842"/>
      <c r="V77" s="843"/>
      <c r="W77" s="843"/>
      <c r="X77" s="843"/>
      <c r="Y77" s="843"/>
      <c r="Z77" s="843"/>
      <c r="AA77" s="837"/>
      <c r="AB77" s="837"/>
      <c r="AC77" s="845">
        <f t="shared" si="17"/>
        <v>0</v>
      </c>
      <c r="AD77" s="846">
        <f t="shared" si="18"/>
        <v>0</v>
      </c>
      <c r="AE77" s="847">
        <f t="shared" si="19"/>
        <v>0</v>
      </c>
      <c r="AF77" s="855">
        <f t="shared" si="12"/>
        <v>0</v>
      </c>
      <c r="AG77" s="848">
        <f>IF('Input Sheet'!$C$15="Yes",'Input Sheet'!$F$8,0)</f>
        <v>0</v>
      </c>
      <c r="AH77" s="846">
        <f>IF('Input Sheet'!$C$15="Yes",Rates!$E$45,0)</f>
        <v>0</v>
      </c>
      <c r="AI77" s="849">
        <f>IF('Input Sheet'!$C$15="Yes",'Input Sheet'!$F$11,0)</f>
        <v>0</v>
      </c>
      <c r="AJ77" s="850">
        <f>IF('Input Sheet'!$C$15="Yes",'Input Sheet'!$F$7,0)</f>
        <v>0</v>
      </c>
      <c r="AK77" s="856">
        <f t="shared" si="13"/>
        <v>0</v>
      </c>
      <c r="AL77" s="856">
        <f t="shared" si="14"/>
        <v>0</v>
      </c>
      <c r="AM77" s="856">
        <f t="shared" si="20"/>
        <v>0</v>
      </c>
      <c r="AN77" s="856">
        <f t="shared" si="15"/>
        <v>0</v>
      </c>
      <c r="AO77" s="852">
        <f t="shared" si="21"/>
        <v>0</v>
      </c>
      <c r="AP77" s="853">
        <f t="shared" si="22"/>
        <v>0</v>
      </c>
      <c r="AQ77" s="854">
        <f>IFERROR(P77*'Input Sheet'!$F$8/(((AI77)*AK77*2)-AN77),0)</f>
        <v>0</v>
      </c>
      <c r="AR77" s="854">
        <f>IFERROR(($P77-$AF77)*'Input Sheet'!$F$8/(((AI77)*AK77*2)-AN77),0)</f>
        <v>0</v>
      </c>
    </row>
    <row r="78" spans="2:44" s="798" customFormat="1" ht="30" customHeight="1" thickBot="1" x14ac:dyDescent="0.3">
      <c r="B78" s="835"/>
      <c r="C78" s="836"/>
      <c r="D78" s="836"/>
      <c r="E78" s="837"/>
      <c r="F78" s="837"/>
      <c r="G78" s="838"/>
      <c r="H78" s="838"/>
      <c r="I78" s="839"/>
      <c r="J78" s="839"/>
      <c r="K78" s="840"/>
      <c r="L78" s="841"/>
      <c r="M78" s="841"/>
      <c r="N78" s="842"/>
      <c r="O78" s="842"/>
      <c r="P78" s="843"/>
      <c r="Q78" s="843"/>
      <c r="R78" s="843"/>
      <c r="S78" s="844">
        <f t="shared" si="16"/>
        <v>0</v>
      </c>
      <c r="T78" s="838"/>
      <c r="U78" s="842"/>
      <c r="V78" s="843"/>
      <c r="W78" s="843"/>
      <c r="X78" s="843"/>
      <c r="Y78" s="843"/>
      <c r="Z78" s="843"/>
      <c r="AA78" s="837"/>
      <c r="AB78" s="837"/>
      <c r="AC78" s="845">
        <f t="shared" si="17"/>
        <v>0</v>
      </c>
      <c r="AD78" s="846">
        <f t="shared" si="18"/>
        <v>0</v>
      </c>
      <c r="AE78" s="847">
        <f t="shared" si="19"/>
        <v>0</v>
      </c>
      <c r="AF78" s="855">
        <f t="shared" si="12"/>
        <v>0</v>
      </c>
      <c r="AG78" s="848">
        <f>IF('Input Sheet'!$C$15="Yes",'Input Sheet'!$F$8,0)</f>
        <v>0</v>
      </c>
      <c r="AH78" s="846">
        <f>IF('Input Sheet'!$C$15="Yes",Rates!$E$45,0)</f>
        <v>0</v>
      </c>
      <c r="AI78" s="849">
        <f>IF('Input Sheet'!$C$15="Yes",'Input Sheet'!$F$11,0)</f>
        <v>0</v>
      </c>
      <c r="AJ78" s="850">
        <f>IF('Input Sheet'!$C$15="Yes",'Input Sheet'!$F$7,0)</f>
        <v>0</v>
      </c>
      <c r="AK78" s="856">
        <f t="shared" si="13"/>
        <v>0</v>
      </c>
      <c r="AL78" s="856">
        <f t="shared" si="14"/>
        <v>0</v>
      </c>
      <c r="AM78" s="856">
        <f t="shared" si="20"/>
        <v>0</v>
      </c>
      <c r="AN78" s="856">
        <f t="shared" si="15"/>
        <v>0</v>
      </c>
      <c r="AO78" s="852">
        <f t="shared" si="21"/>
        <v>0</v>
      </c>
      <c r="AP78" s="853">
        <f t="shared" si="22"/>
        <v>0</v>
      </c>
      <c r="AQ78" s="854">
        <f>IFERROR(P78*'Input Sheet'!$F$8/(((AI78)*AK78*2)-AN78),0)</f>
        <v>0</v>
      </c>
      <c r="AR78" s="854">
        <f>IFERROR(($P78-$AF78)*'Input Sheet'!$F$8/(((AI78)*AK78*2)-AN78),0)</f>
        <v>0</v>
      </c>
    </row>
    <row r="79" spans="2:44" s="798" customFormat="1" ht="30" customHeight="1" thickBot="1" x14ac:dyDescent="0.3">
      <c r="B79" s="835"/>
      <c r="C79" s="836"/>
      <c r="D79" s="836"/>
      <c r="E79" s="837"/>
      <c r="F79" s="837"/>
      <c r="G79" s="838"/>
      <c r="H79" s="838"/>
      <c r="I79" s="839"/>
      <c r="J79" s="839"/>
      <c r="K79" s="840"/>
      <c r="L79" s="841"/>
      <c r="M79" s="841"/>
      <c r="N79" s="842"/>
      <c r="O79" s="842"/>
      <c r="P79" s="843"/>
      <c r="Q79" s="843"/>
      <c r="R79" s="843"/>
      <c r="S79" s="844">
        <f t="shared" si="16"/>
        <v>0</v>
      </c>
      <c r="T79" s="838"/>
      <c r="U79" s="842"/>
      <c r="V79" s="843"/>
      <c r="W79" s="843"/>
      <c r="X79" s="843"/>
      <c r="Y79" s="843"/>
      <c r="Z79" s="843"/>
      <c r="AA79" s="837"/>
      <c r="AB79" s="837"/>
      <c r="AC79" s="845">
        <f t="shared" si="17"/>
        <v>0</v>
      </c>
      <c r="AD79" s="846">
        <f t="shared" si="18"/>
        <v>0</v>
      </c>
      <c r="AE79" s="847">
        <f t="shared" si="19"/>
        <v>0</v>
      </c>
      <c r="AF79" s="855">
        <f t="shared" si="12"/>
        <v>0</v>
      </c>
      <c r="AG79" s="848">
        <f>IF('Input Sheet'!$C$15="Yes",'Input Sheet'!$F$8,0)</f>
        <v>0</v>
      </c>
      <c r="AH79" s="846">
        <f>IF('Input Sheet'!$C$15="Yes",Rates!$E$45,0)</f>
        <v>0</v>
      </c>
      <c r="AI79" s="849">
        <f>IF('Input Sheet'!$C$15="Yes",'Input Sheet'!$F$11,0)</f>
        <v>0</v>
      </c>
      <c r="AJ79" s="850">
        <f>IF('Input Sheet'!$C$15="Yes",'Input Sheet'!$F$7,0)</f>
        <v>0</v>
      </c>
      <c r="AK79" s="856">
        <f t="shared" si="13"/>
        <v>0</v>
      </c>
      <c r="AL79" s="856">
        <f t="shared" si="14"/>
        <v>0</v>
      </c>
      <c r="AM79" s="856">
        <f t="shared" si="20"/>
        <v>0</v>
      </c>
      <c r="AN79" s="856">
        <f t="shared" si="15"/>
        <v>0</v>
      </c>
      <c r="AO79" s="852">
        <f t="shared" si="21"/>
        <v>0</v>
      </c>
      <c r="AP79" s="853">
        <f t="shared" si="22"/>
        <v>0</v>
      </c>
      <c r="AQ79" s="854">
        <f>IFERROR(P79*'Input Sheet'!$F$8/(((AI79)*AK79*2)-AN79),0)</f>
        <v>0</v>
      </c>
      <c r="AR79" s="854">
        <f>IFERROR(($P79-$AF79)*'Input Sheet'!$F$8/(((AI79)*AK79*2)-AN79),0)</f>
        <v>0</v>
      </c>
    </row>
    <row r="80" spans="2:44" s="798" customFormat="1" ht="30" customHeight="1" thickBot="1" x14ac:dyDescent="0.3">
      <c r="B80" s="835"/>
      <c r="C80" s="836"/>
      <c r="D80" s="836"/>
      <c r="E80" s="837"/>
      <c r="F80" s="837"/>
      <c r="G80" s="838"/>
      <c r="H80" s="838"/>
      <c r="I80" s="839"/>
      <c r="J80" s="839"/>
      <c r="K80" s="840"/>
      <c r="L80" s="841"/>
      <c r="M80" s="841"/>
      <c r="N80" s="842"/>
      <c r="O80" s="842"/>
      <c r="P80" s="843"/>
      <c r="Q80" s="843"/>
      <c r="R80" s="843"/>
      <c r="S80" s="844">
        <f t="shared" si="16"/>
        <v>0</v>
      </c>
      <c r="T80" s="838"/>
      <c r="U80" s="842"/>
      <c r="V80" s="843"/>
      <c r="W80" s="843"/>
      <c r="X80" s="843"/>
      <c r="Y80" s="843"/>
      <c r="Z80" s="843"/>
      <c r="AA80" s="837"/>
      <c r="AB80" s="837"/>
      <c r="AC80" s="845">
        <f t="shared" si="17"/>
        <v>0</v>
      </c>
      <c r="AD80" s="846">
        <f t="shared" si="18"/>
        <v>0</v>
      </c>
      <c r="AE80" s="847">
        <f t="shared" si="19"/>
        <v>0</v>
      </c>
      <c r="AF80" s="855">
        <f t="shared" si="12"/>
        <v>0</v>
      </c>
      <c r="AG80" s="848">
        <f>IF('Input Sheet'!$C$15="Yes",'Input Sheet'!$F$8,0)</f>
        <v>0</v>
      </c>
      <c r="AH80" s="846">
        <f>IF('Input Sheet'!$C$15="Yes",Rates!$E$45,0)</f>
        <v>0</v>
      </c>
      <c r="AI80" s="849">
        <f>IF('Input Sheet'!$C$15="Yes",'Input Sheet'!$F$11,0)</f>
        <v>0</v>
      </c>
      <c r="AJ80" s="850">
        <f>IF('Input Sheet'!$C$15="Yes",'Input Sheet'!$F$7,0)</f>
        <v>0</v>
      </c>
      <c r="AK80" s="856">
        <f t="shared" si="13"/>
        <v>0</v>
      </c>
      <c r="AL80" s="856">
        <f t="shared" si="14"/>
        <v>0</v>
      </c>
      <c r="AM80" s="856">
        <f t="shared" si="20"/>
        <v>0</v>
      </c>
      <c r="AN80" s="856">
        <f t="shared" si="15"/>
        <v>0</v>
      </c>
      <c r="AO80" s="852">
        <f t="shared" si="21"/>
        <v>0</v>
      </c>
      <c r="AP80" s="853">
        <f t="shared" si="22"/>
        <v>0</v>
      </c>
      <c r="AQ80" s="854">
        <f>IFERROR(P80*'Input Sheet'!$F$8/(((AI80)*AK80*2)-AN80),0)</f>
        <v>0</v>
      </c>
      <c r="AR80" s="854">
        <f>IFERROR(($P80-$AF80)*'Input Sheet'!$F$8/(((AI80)*AK80*2)-AN80),0)</f>
        <v>0</v>
      </c>
    </row>
    <row r="81" spans="2:44" s="798" customFormat="1" ht="30" customHeight="1" thickBot="1" x14ac:dyDescent="0.3">
      <c r="B81" s="835"/>
      <c r="C81" s="836"/>
      <c r="D81" s="836"/>
      <c r="E81" s="837"/>
      <c r="F81" s="837"/>
      <c r="G81" s="838"/>
      <c r="H81" s="838"/>
      <c r="I81" s="839"/>
      <c r="J81" s="839"/>
      <c r="K81" s="840"/>
      <c r="L81" s="841"/>
      <c r="M81" s="841"/>
      <c r="N81" s="842"/>
      <c r="O81" s="842"/>
      <c r="P81" s="843"/>
      <c r="Q81" s="843"/>
      <c r="R81" s="843"/>
      <c r="S81" s="844">
        <f t="shared" si="16"/>
        <v>0</v>
      </c>
      <c r="T81" s="838"/>
      <c r="U81" s="842"/>
      <c r="V81" s="843"/>
      <c r="W81" s="843"/>
      <c r="X81" s="843"/>
      <c r="Y81" s="843"/>
      <c r="Z81" s="843"/>
      <c r="AA81" s="837"/>
      <c r="AB81" s="837"/>
      <c r="AC81" s="845">
        <f t="shared" si="17"/>
        <v>0</v>
      </c>
      <c r="AD81" s="846">
        <f t="shared" si="18"/>
        <v>0</v>
      </c>
      <c r="AE81" s="847">
        <f t="shared" si="19"/>
        <v>0</v>
      </c>
      <c r="AF81" s="855">
        <f t="shared" si="12"/>
        <v>0</v>
      </c>
      <c r="AG81" s="848">
        <f>IF('Input Sheet'!$C$15="Yes",'Input Sheet'!$F$8,0)</f>
        <v>0</v>
      </c>
      <c r="AH81" s="846">
        <f>IF('Input Sheet'!$C$15="Yes",Rates!$E$45,0)</f>
        <v>0</v>
      </c>
      <c r="AI81" s="849">
        <f>IF('Input Sheet'!$C$15="Yes",'Input Sheet'!$F$11,0)</f>
        <v>0</v>
      </c>
      <c r="AJ81" s="850">
        <f>IF('Input Sheet'!$C$15="Yes",'Input Sheet'!$F$7,0)</f>
        <v>0</v>
      </c>
      <c r="AK81" s="856">
        <f t="shared" si="13"/>
        <v>0</v>
      </c>
      <c r="AL81" s="856">
        <f t="shared" si="14"/>
        <v>0</v>
      </c>
      <c r="AM81" s="856">
        <f t="shared" si="20"/>
        <v>0</v>
      </c>
      <c r="AN81" s="856">
        <f t="shared" si="15"/>
        <v>0</v>
      </c>
      <c r="AO81" s="852">
        <f t="shared" si="21"/>
        <v>0</v>
      </c>
      <c r="AP81" s="853">
        <f t="shared" si="22"/>
        <v>0</v>
      </c>
      <c r="AQ81" s="854">
        <f>IFERROR(P81*'Input Sheet'!$F$8/(((AI81)*AK81*2)-AN81),0)</f>
        <v>0</v>
      </c>
      <c r="AR81" s="854">
        <f>IFERROR(($P81-$AF81)*'Input Sheet'!$F$8/(((AI81)*AK81*2)-AN81),0)</f>
        <v>0</v>
      </c>
    </row>
    <row r="82" spans="2:44" s="798" customFormat="1" ht="30" customHeight="1" thickBot="1" x14ac:dyDescent="0.3">
      <c r="B82" s="835"/>
      <c r="C82" s="836"/>
      <c r="D82" s="836"/>
      <c r="E82" s="837"/>
      <c r="F82" s="837"/>
      <c r="G82" s="838"/>
      <c r="H82" s="838"/>
      <c r="I82" s="839"/>
      <c r="J82" s="839"/>
      <c r="K82" s="840"/>
      <c r="L82" s="841"/>
      <c r="M82" s="841"/>
      <c r="N82" s="842"/>
      <c r="O82" s="842"/>
      <c r="P82" s="843"/>
      <c r="Q82" s="843"/>
      <c r="R82" s="843"/>
      <c r="S82" s="844">
        <f t="shared" si="16"/>
        <v>0</v>
      </c>
      <c r="T82" s="838"/>
      <c r="U82" s="842"/>
      <c r="V82" s="843"/>
      <c r="W82" s="843"/>
      <c r="X82" s="843"/>
      <c r="Y82" s="843"/>
      <c r="Z82" s="843"/>
      <c r="AA82" s="837"/>
      <c r="AB82" s="837"/>
      <c r="AC82" s="845">
        <f t="shared" si="17"/>
        <v>0</v>
      </c>
      <c r="AD82" s="846">
        <f t="shared" si="18"/>
        <v>0</v>
      </c>
      <c r="AE82" s="847">
        <f t="shared" si="19"/>
        <v>0</v>
      </c>
      <c r="AF82" s="855">
        <f t="shared" si="12"/>
        <v>0</v>
      </c>
      <c r="AG82" s="848">
        <f>IF('Input Sheet'!$C$15="Yes",'Input Sheet'!$F$8,0)</f>
        <v>0</v>
      </c>
      <c r="AH82" s="846">
        <f>IF('Input Sheet'!$C$15="Yes",Rates!$E$45,0)</f>
        <v>0</v>
      </c>
      <c r="AI82" s="849">
        <f>IF('Input Sheet'!$C$15="Yes",'Input Sheet'!$F$11,0)</f>
        <v>0</v>
      </c>
      <c r="AJ82" s="850">
        <f>IF('Input Sheet'!$C$15="Yes",'Input Sheet'!$F$7,0)</f>
        <v>0</v>
      </c>
      <c r="AK82" s="856">
        <f t="shared" si="13"/>
        <v>0</v>
      </c>
      <c r="AL82" s="856">
        <f t="shared" si="14"/>
        <v>0</v>
      </c>
      <c r="AM82" s="856">
        <f t="shared" si="20"/>
        <v>0</v>
      </c>
      <c r="AN82" s="856">
        <f t="shared" si="15"/>
        <v>0</v>
      </c>
      <c r="AO82" s="852">
        <f t="shared" si="21"/>
        <v>0</v>
      </c>
      <c r="AP82" s="853">
        <f t="shared" si="22"/>
        <v>0</v>
      </c>
      <c r="AQ82" s="854">
        <f>IFERROR(P82*'Input Sheet'!$F$8/(((AI82)*AK82*2)-AN82),0)</f>
        <v>0</v>
      </c>
      <c r="AR82" s="854">
        <f>IFERROR(($P82-$AF82)*'Input Sheet'!$F$8/(((AI82)*AK82*2)-AN82),0)</f>
        <v>0</v>
      </c>
    </row>
    <row r="83" spans="2:44" s="798" customFormat="1" ht="30" customHeight="1" thickBot="1" x14ac:dyDescent="0.3">
      <c r="B83" s="835"/>
      <c r="C83" s="836"/>
      <c r="D83" s="836"/>
      <c r="E83" s="837"/>
      <c r="F83" s="837"/>
      <c r="G83" s="838"/>
      <c r="H83" s="838"/>
      <c r="I83" s="839"/>
      <c r="J83" s="839"/>
      <c r="K83" s="840"/>
      <c r="L83" s="841"/>
      <c r="M83" s="841"/>
      <c r="N83" s="842"/>
      <c r="O83" s="842"/>
      <c r="P83" s="843"/>
      <c r="Q83" s="843"/>
      <c r="R83" s="843"/>
      <c r="S83" s="844">
        <f t="shared" si="16"/>
        <v>0</v>
      </c>
      <c r="T83" s="838"/>
      <c r="U83" s="842"/>
      <c r="V83" s="843"/>
      <c r="W83" s="843"/>
      <c r="X83" s="843"/>
      <c r="Y83" s="843"/>
      <c r="Z83" s="843"/>
      <c r="AA83" s="837"/>
      <c r="AB83" s="837"/>
      <c r="AC83" s="845">
        <f t="shared" si="17"/>
        <v>0</v>
      </c>
      <c r="AD83" s="846">
        <f t="shared" si="18"/>
        <v>0</v>
      </c>
      <c r="AE83" s="847">
        <f t="shared" si="19"/>
        <v>0</v>
      </c>
      <c r="AF83" s="855">
        <f t="shared" si="12"/>
        <v>0</v>
      </c>
      <c r="AG83" s="848">
        <f>IF('Input Sheet'!$C$15="Yes",'Input Sheet'!$F$8,0)</f>
        <v>0</v>
      </c>
      <c r="AH83" s="846">
        <f>IF('Input Sheet'!$C$15="Yes",Rates!$E$45,0)</f>
        <v>0</v>
      </c>
      <c r="AI83" s="849">
        <f>IF('Input Sheet'!$C$15="Yes",'Input Sheet'!$F$11,0)</f>
        <v>0</v>
      </c>
      <c r="AJ83" s="850">
        <f>IF('Input Sheet'!$C$15="Yes",'Input Sheet'!$F$7,0)</f>
        <v>0</v>
      </c>
      <c r="AK83" s="856">
        <f t="shared" si="13"/>
        <v>0</v>
      </c>
      <c r="AL83" s="856">
        <f t="shared" si="14"/>
        <v>0</v>
      </c>
      <c r="AM83" s="856">
        <f t="shared" si="20"/>
        <v>0</v>
      </c>
      <c r="AN83" s="856">
        <f t="shared" si="15"/>
        <v>0</v>
      </c>
      <c r="AO83" s="852">
        <f t="shared" si="21"/>
        <v>0</v>
      </c>
      <c r="AP83" s="853">
        <f t="shared" si="22"/>
        <v>0</v>
      </c>
      <c r="AQ83" s="854">
        <f>IFERROR(P83*'Input Sheet'!$F$8/(((AI83)*AK83*2)-AN83),0)</f>
        <v>0</v>
      </c>
      <c r="AR83" s="854">
        <f>IFERROR(($P83-$AF83)*'Input Sheet'!$F$8/(((AI83)*AK83*2)-AN83),0)</f>
        <v>0</v>
      </c>
    </row>
    <row r="84" spans="2:44" s="798" customFormat="1" ht="30" customHeight="1" thickBot="1" x14ac:dyDescent="0.3">
      <c r="B84" s="835"/>
      <c r="C84" s="836"/>
      <c r="D84" s="836"/>
      <c r="E84" s="837"/>
      <c r="F84" s="837"/>
      <c r="G84" s="838"/>
      <c r="H84" s="838"/>
      <c r="I84" s="839"/>
      <c r="J84" s="839"/>
      <c r="K84" s="840"/>
      <c r="L84" s="841"/>
      <c r="M84" s="841"/>
      <c r="N84" s="842"/>
      <c r="O84" s="842"/>
      <c r="P84" s="843"/>
      <c r="Q84" s="843"/>
      <c r="R84" s="843"/>
      <c r="S84" s="844">
        <f t="shared" si="16"/>
        <v>0</v>
      </c>
      <c r="T84" s="838"/>
      <c r="U84" s="842"/>
      <c r="V84" s="843"/>
      <c r="W84" s="843"/>
      <c r="X84" s="843"/>
      <c r="Y84" s="843"/>
      <c r="Z84" s="843"/>
      <c r="AA84" s="837"/>
      <c r="AB84" s="837"/>
      <c r="AC84" s="845">
        <f t="shared" si="17"/>
        <v>0</v>
      </c>
      <c r="AD84" s="846">
        <f t="shared" si="18"/>
        <v>0</v>
      </c>
      <c r="AE84" s="847">
        <f t="shared" si="19"/>
        <v>0</v>
      </c>
      <c r="AF84" s="855">
        <f t="shared" si="12"/>
        <v>0</v>
      </c>
      <c r="AG84" s="848">
        <f>IF('Input Sheet'!$C$15="Yes",'Input Sheet'!$F$8,0)</f>
        <v>0</v>
      </c>
      <c r="AH84" s="846">
        <f>IF('Input Sheet'!$C$15="Yes",Rates!$E$45,0)</f>
        <v>0</v>
      </c>
      <c r="AI84" s="849">
        <f>IF('Input Sheet'!$C$15="Yes",'Input Sheet'!$F$11,0)</f>
        <v>0</v>
      </c>
      <c r="AJ84" s="850">
        <f>IF('Input Sheet'!$C$15="Yes",'Input Sheet'!$F$7,0)</f>
        <v>0</v>
      </c>
      <c r="AK84" s="856">
        <f t="shared" si="13"/>
        <v>0</v>
      </c>
      <c r="AL84" s="856">
        <f t="shared" si="14"/>
        <v>0</v>
      </c>
      <c r="AM84" s="856">
        <f t="shared" si="20"/>
        <v>0</v>
      </c>
      <c r="AN84" s="856">
        <f t="shared" si="15"/>
        <v>0</v>
      </c>
      <c r="AO84" s="852">
        <f t="shared" si="21"/>
        <v>0</v>
      </c>
      <c r="AP84" s="853">
        <f t="shared" si="22"/>
        <v>0</v>
      </c>
      <c r="AQ84" s="854">
        <f>IFERROR(P84*'Input Sheet'!$F$8/(((AI84)*AK84*2)-AN84),0)</f>
        <v>0</v>
      </c>
      <c r="AR84" s="854">
        <f>IFERROR(($P84-$AF84)*'Input Sheet'!$F$8/(((AI84)*AK84*2)-AN84),0)</f>
        <v>0</v>
      </c>
    </row>
    <row r="85" spans="2:44" s="798" customFormat="1" ht="30" customHeight="1" thickBot="1" x14ac:dyDescent="0.3">
      <c r="B85" s="835"/>
      <c r="C85" s="836"/>
      <c r="D85" s="836"/>
      <c r="E85" s="837"/>
      <c r="F85" s="837"/>
      <c r="G85" s="838"/>
      <c r="H85" s="838"/>
      <c r="I85" s="839"/>
      <c r="J85" s="839"/>
      <c r="K85" s="840"/>
      <c r="L85" s="841"/>
      <c r="M85" s="841"/>
      <c r="N85" s="842"/>
      <c r="O85" s="842"/>
      <c r="P85" s="843"/>
      <c r="Q85" s="843"/>
      <c r="R85" s="843"/>
      <c r="S85" s="844">
        <f t="shared" si="16"/>
        <v>0</v>
      </c>
      <c r="T85" s="838"/>
      <c r="U85" s="842"/>
      <c r="V85" s="843"/>
      <c r="W85" s="843"/>
      <c r="X85" s="843"/>
      <c r="Y85" s="843"/>
      <c r="Z85" s="843"/>
      <c r="AA85" s="837"/>
      <c r="AB85" s="837"/>
      <c r="AC85" s="845">
        <f t="shared" si="17"/>
        <v>0</v>
      </c>
      <c r="AD85" s="846">
        <f t="shared" si="18"/>
        <v>0</v>
      </c>
      <c r="AE85" s="847">
        <f t="shared" si="19"/>
        <v>0</v>
      </c>
      <c r="AF85" s="855">
        <f t="shared" si="12"/>
        <v>0</v>
      </c>
      <c r="AG85" s="848">
        <f>IF('Input Sheet'!$C$15="Yes",'Input Sheet'!$F$8,0)</f>
        <v>0</v>
      </c>
      <c r="AH85" s="846">
        <f>IF('Input Sheet'!$C$15="Yes",Rates!$E$45,0)</f>
        <v>0</v>
      </c>
      <c r="AI85" s="849">
        <f>IF('Input Sheet'!$C$15="Yes",'Input Sheet'!$F$11,0)</f>
        <v>0</v>
      </c>
      <c r="AJ85" s="850">
        <f>IF('Input Sheet'!$C$15="Yes",'Input Sheet'!$F$7,0)</f>
        <v>0</v>
      </c>
      <c r="AK85" s="856">
        <f t="shared" si="13"/>
        <v>0</v>
      </c>
      <c r="AL85" s="856">
        <f t="shared" si="14"/>
        <v>0</v>
      </c>
      <c r="AM85" s="856">
        <f t="shared" si="20"/>
        <v>0</v>
      </c>
      <c r="AN85" s="856">
        <f t="shared" si="15"/>
        <v>0</v>
      </c>
      <c r="AO85" s="852">
        <f t="shared" si="21"/>
        <v>0</v>
      </c>
      <c r="AP85" s="853">
        <f t="shared" si="22"/>
        <v>0</v>
      </c>
      <c r="AQ85" s="854">
        <f>IFERROR(P85*'Input Sheet'!$F$8/(((AI85)*AK85*2)-AN85),0)</f>
        <v>0</v>
      </c>
      <c r="AR85" s="854">
        <f>IFERROR(($P85-$AF85)*'Input Sheet'!$F$8/(((AI85)*AK85*2)-AN85),0)</f>
        <v>0</v>
      </c>
    </row>
    <row r="86" spans="2:44" s="798" customFormat="1" ht="30" customHeight="1" thickBot="1" x14ac:dyDescent="0.3">
      <c r="B86" s="835"/>
      <c r="C86" s="836"/>
      <c r="D86" s="836"/>
      <c r="E86" s="837"/>
      <c r="F86" s="837"/>
      <c r="G86" s="838"/>
      <c r="H86" s="838"/>
      <c r="I86" s="839"/>
      <c r="J86" s="839"/>
      <c r="K86" s="840"/>
      <c r="L86" s="841"/>
      <c r="M86" s="841"/>
      <c r="N86" s="842"/>
      <c r="O86" s="842"/>
      <c r="P86" s="843"/>
      <c r="Q86" s="843"/>
      <c r="R86" s="843"/>
      <c r="S86" s="844">
        <f t="shared" si="16"/>
        <v>0</v>
      </c>
      <c r="T86" s="838"/>
      <c r="U86" s="842"/>
      <c r="V86" s="843"/>
      <c r="W86" s="843"/>
      <c r="X86" s="843"/>
      <c r="Y86" s="843"/>
      <c r="Z86" s="843"/>
      <c r="AA86" s="837"/>
      <c r="AB86" s="837"/>
      <c r="AC86" s="845">
        <f t="shared" si="17"/>
        <v>0</v>
      </c>
      <c r="AD86" s="846">
        <f t="shared" si="18"/>
        <v>0</v>
      </c>
      <c r="AE86" s="847">
        <f t="shared" si="19"/>
        <v>0</v>
      </c>
      <c r="AF86" s="855">
        <f t="shared" si="12"/>
        <v>0</v>
      </c>
      <c r="AG86" s="848">
        <f>IF('Input Sheet'!$C$15="Yes",'Input Sheet'!$F$8,0)</f>
        <v>0</v>
      </c>
      <c r="AH86" s="846">
        <f>IF('Input Sheet'!$C$15="Yes",Rates!$E$45,0)</f>
        <v>0</v>
      </c>
      <c r="AI86" s="849">
        <f>IF('Input Sheet'!$C$15="Yes",'Input Sheet'!$F$11,0)</f>
        <v>0</v>
      </c>
      <c r="AJ86" s="850">
        <f>IF('Input Sheet'!$C$15="Yes",'Input Sheet'!$F$7,0)</f>
        <v>0</v>
      </c>
      <c r="AK86" s="856">
        <f t="shared" si="13"/>
        <v>0</v>
      </c>
      <c r="AL86" s="856">
        <f t="shared" si="14"/>
        <v>0</v>
      </c>
      <c r="AM86" s="856">
        <f t="shared" si="20"/>
        <v>0</v>
      </c>
      <c r="AN86" s="856">
        <f t="shared" si="15"/>
        <v>0</v>
      </c>
      <c r="AO86" s="852">
        <f t="shared" si="21"/>
        <v>0</v>
      </c>
      <c r="AP86" s="853">
        <f t="shared" si="22"/>
        <v>0</v>
      </c>
      <c r="AQ86" s="854">
        <f>IFERROR(P86*'Input Sheet'!$F$8/(((AI86)*AK86*2)-AN86),0)</f>
        <v>0</v>
      </c>
      <c r="AR86" s="854">
        <f>IFERROR(($P86-$AF86)*'Input Sheet'!$F$8/(((AI86)*AK86*2)-AN86),0)</f>
        <v>0</v>
      </c>
    </row>
    <row r="87" spans="2:44" s="798" customFormat="1" ht="30" customHeight="1" thickBot="1" x14ac:dyDescent="0.3">
      <c r="B87" s="835"/>
      <c r="C87" s="836"/>
      <c r="D87" s="836"/>
      <c r="E87" s="837"/>
      <c r="F87" s="837"/>
      <c r="G87" s="838"/>
      <c r="H87" s="838"/>
      <c r="I87" s="839"/>
      <c r="J87" s="839"/>
      <c r="K87" s="840"/>
      <c r="L87" s="841"/>
      <c r="M87" s="841"/>
      <c r="N87" s="842"/>
      <c r="O87" s="842"/>
      <c r="P87" s="843"/>
      <c r="Q87" s="843"/>
      <c r="R87" s="843"/>
      <c r="S87" s="844">
        <f t="shared" si="16"/>
        <v>0</v>
      </c>
      <c r="T87" s="838"/>
      <c r="U87" s="842"/>
      <c r="V87" s="843"/>
      <c r="W87" s="843"/>
      <c r="X87" s="843"/>
      <c r="Y87" s="843"/>
      <c r="Z87" s="843"/>
      <c r="AA87" s="837"/>
      <c r="AB87" s="837"/>
      <c r="AC87" s="845">
        <f t="shared" si="17"/>
        <v>0</v>
      </c>
      <c r="AD87" s="846">
        <f t="shared" si="18"/>
        <v>0</v>
      </c>
      <c r="AE87" s="847">
        <f t="shared" si="19"/>
        <v>0</v>
      </c>
      <c r="AF87" s="855">
        <f t="shared" si="12"/>
        <v>0</v>
      </c>
      <c r="AG87" s="848">
        <f>IF('Input Sheet'!$C$15="Yes",'Input Sheet'!$F$8,0)</f>
        <v>0</v>
      </c>
      <c r="AH87" s="846">
        <f>IF('Input Sheet'!$C$15="Yes",Rates!$E$45,0)</f>
        <v>0</v>
      </c>
      <c r="AI87" s="849">
        <f>IF('Input Sheet'!$C$15="Yes",'Input Sheet'!$F$11,0)</f>
        <v>0</v>
      </c>
      <c r="AJ87" s="850">
        <f>IF('Input Sheet'!$C$15="Yes",'Input Sheet'!$F$7,0)</f>
        <v>0</v>
      </c>
      <c r="AK87" s="856">
        <f t="shared" si="13"/>
        <v>0</v>
      </c>
      <c r="AL87" s="856">
        <f t="shared" si="14"/>
        <v>0</v>
      </c>
      <c r="AM87" s="856">
        <f t="shared" si="20"/>
        <v>0</v>
      </c>
      <c r="AN87" s="856">
        <f t="shared" si="15"/>
        <v>0</v>
      </c>
      <c r="AO87" s="852">
        <f t="shared" si="21"/>
        <v>0</v>
      </c>
      <c r="AP87" s="853">
        <f t="shared" si="22"/>
        <v>0</v>
      </c>
      <c r="AQ87" s="854">
        <f>IFERROR(P87*'Input Sheet'!$F$8/(((AI87)*AK87*2)-AN87),0)</f>
        <v>0</v>
      </c>
      <c r="AR87" s="854">
        <f>IFERROR(($P87-$AF87)*'Input Sheet'!$F$8/(((AI87)*AK87*2)-AN87),0)</f>
        <v>0</v>
      </c>
    </row>
    <row r="88" spans="2:44" s="798" customFormat="1" ht="30" customHeight="1" thickBot="1" x14ac:dyDescent="0.3">
      <c r="B88" s="835"/>
      <c r="C88" s="836"/>
      <c r="D88" s="836"/>
      <c r="E88" s="837"/>
      <c r="F88" s="837"/>
      <c r="G88" s="838"/>
      <c r="H88" s="838"/>
      <c r="I88" s="839"/>
      <c r="J88" s="839"/>
      <c r="K88" s="840"/>
      <c r="L88" s="841"/>
      <c r="M88" s="841"/>
      <c r="N88" s="842"/>
      <c r="O88" s="842"/>
      <c r="P88" s="843"/>
      <c r="Q88" s="843"/>
      <c r="R88" s="843"/>
      <c r="S88" s="844">
        <f t="shared" si="16"/>
        <v>0</v>
      </c>
      <c r="T88" s="838"/>
      <c r="U88" s="842"/>
      <c r="V88" s="843"/>
      <c r="W88" s="843"/>
      <c r="X88" s="843"/>
      <c r="Y88" s="843"/>
      <c r="Z88" s="843"/>
      <c r="AA88" s="837"/>
      <c r="AB88" s="837"/>
      <c r="AC88" s="845">
        <f t="shared" si="17"/>
        <v>0</v>
      </c>
      <c r="AD88" s="846">
        <f t="shared" si="18"/>
        <v>0</v>
      </c>
      <c r="AE88" s="847">
        <f t="shared" si="19"/>
        <v>0</v>
      </c>
      <c r="AF88" s="855">
        <f t="shared" si="12"/>
        <v>0</v>
      </c>
      <c r="AG88" s="848">
        <f>IF('Input Sheet'!$C$15="Yes",'Input Sheet'!$F$8,0)</f>
        <v>0</v>
      </c>
      <c r="AH88" s="846">
        <f>IF('Input Sheet'!$C$15="Yes",Rates!$E$45,0)</f>
        <v>0</v>
      </c>
      <c r="AI88" s="849">
        <f>IF('Input Sheet'!$C$15="Yes",'Input Sheet'!$F$11,0)</f>
        <v>0</v>
      </c>
      <c r="AJ88" s="850">
        <f>IF('Input Sheet'!$C$15="Yes",'Input Sheet'!$F$7,0)</f>
        <v>0</v>
      </c>
      <c r="AK88" s="856">
        <f t="shared" si="13"/>
        <v>0</v>
      </c>
      <c r="AL88" s="856">
        <f t="shared" si="14"/>
        <v>0</v>
      </c>
      <c r="AM88" s="856">
        <f t="shared" si="20"/>
        <v>0</v>
      </c>
      <c r="AN88" s="856">
        <f t="shared" si="15"/>
        <v>0</v>
      </c>
      <c r="AO88" s="852">
        <f t="shared" si="21"/>
        <v>0</v>
      </c>
      <c r="AP88" s="853">
        <f t="shared" si="22"/>
        <v>0</v>
      </c>
      <c r="AQ88" s="854">
        <f>IFERROR(P88*'Input Sheet'!$F$8/(((AI88)*AK88*2)-AN88),0)</f>
        <v>0</v>
      </c>
      <c r="AR88" s="854">
        <f>IFERROR(($P88-$AF88)*'Input Sheet'!$F$8/(((AI88)*AK88*2)-AN88),0)</f>
        <v>0</v>
      </c>
    </row>
    <row r="89" spans="2:44" s="798" customFormat="1" ht="30" customHeight="1" thickBot="1" x14ac:dyDescent="0.3">
      <c r="B89" s="835"/>
      <c r="C89" s="836"/>
      <c r="D89" s="836"/>
      <c r="E89" s="837"/>
      <c r="F89" s="837"/>
      <c r="G89" s="838"/>
      <c r="H89" s="838"/>
      <c r="I89" s="839"/>
      <c r="J89" s="839"/>
      <c r="K89" s="840"/>
      <c r="L89" s="841"/>
      <c r="M89" s="841"/>
      <c r="N89" s="842"/>
      <c r="O89" s="842"/>
      <c r="P89" s="843"/>
      <c r="Q89" s="843"/>
      <c r="R89" s="843"/>
      <c r="S89" s="844">
        <f t="shared" si="16"/>
        <v>0</v>
      </c>
      <c r="T89" s="838"/>
      <c r="U89" s="842"/>
      <c r="V89" s="843"/>
      <c r="W89" s="843"/>
      <c r="X89" s="843"/>
      <c r="Y89" s="843"/>
      <c r="Z89" s="843"/>
      <c r="AA89" s="837"/>
      <c r="AB89" s="837"/>
      <c r="AC89" s="845">
        <f t="shared" si="17"/>
        <v>0</v>
      </c>
      <c r="AD89" s="846">
        <f t="shared" si="18"/>
        <v>0</v>
      </c>
      <c r="AE89" s="847">
        <f t="shared" si="19"/>
        <v>0</v>
      </c>
      <c r="AF89" s="855">
        <f t="shared" si="12"/>
        <v>0</v>
      </c>
      <c r="AG89" s="848">
        <f>IF('Input Sheet'!$C$15="Yes",'Input Sheet'!$F$8,0)</f>
        <v>0</v>
      </c>
      <c r="AH89" s="846">
        <f>IF('Input Sheet'!$C$15="Yes",Rates!$E$45,0)</f>
        <v>0</v>
      </c>
      <c r="AI89" s="849">
        <f>IF('Input Sheet'!$C$15="Yes",'Input Sheet'!$F$11,0)</f>
        <v>0</v>
      </c>
      <c r="AJ89" s="850">
        <f>IF('Input Sheet'!$C$15="Yes",'Input Sheet'!$F$7,0)</f>
        <v>0</v>
      </c>
      <c r="AK89" s="856">
        <f t="shared" si="13"/>
        <v>0</v>
      </c>
      <c r="AL89" s="856">
        <f t="shared" si="14"/>
        <v>0</v>
      </c>
      <c r="AM89" s="856">
        <f t="shared" si="20"/>
        <v>0</v>
      </c>
      <c r="AN89" s="856">
        <f t="shared" si="15"/>
        <v>0</v>
      </c>
      <c r="AO89" s="852">
        <f t="shared" si="21"/>
        <v>0</v>
      </c>
      <c r="AP89" s="853">
        <f t="shared" si="22"/>
        <v>0</v>
      </c>
      <c r="AQ89" s="854">
        <f>IFERROR(P89*'Input Sheet'!$F$8/(((AI89)*AK89*2)-AN89),0)</f>
        <v>0</v>
      </c>
      <c r="AR89" s="854">
        <f>IFERROR(($P89-$AF89)*'Input Sheet'!$F$8/(((AI89)*AK89*2)-AN89),0)</f>
        <v>0</v>
      </c>
    </row>
    <row r="90" spans="2:44" s="798" customFormat="1" ht="30" customHeight="1" thickBot="1" x14ac:dyDescent="0.3">
      <c r="B90" s="835"/>
      <c r="C90" s="836"/>
      <c r="D90" s="836"/>
      <c r="E90" s="837"/>
      <c r="F90" s="837"/>
      <c r="G90" s="838"/>
      <c r="H90" s="838"/>
      <c r="I90" s="839"/>
      <c r="J90" s="839"/>
      <c r="K90" s="840"/>
      <c r="L90" s="841"/>
      <c r="M90" s="841"/>
      <c r="N90" s="842"/>
      <c r="O90" s="842"/>
      <c r="P90" s="843"/>
      <c r="Q90" s="843"/>
      <c r="R90" s="843"/>
      <c r="S90" s="844">
        <f t="shared" si="16"/>
        <v>0</v>
      </c>
      <c r="T90" s="838"/>
      <c r="U90" s="842"/>
      <c r="V90" s="843"/>
      <c r="W90" s="843"/>
      <c r="X90" s="843"/>
      <c r="Y90" s="843"/>
      <c r="Z90" s="843"/>
      <c r="AA90" s="837"/>
      <c r="AB90" s="837"/>
      <c r="AC90" s="845">
        <f t="shared" si="17"/>
        <v>0</v>
      </c>
      <c r="AD90" s="846">
        <f t="shared" si="18"/>
        <v>0</v>
      </c>
      <c r="AE90" s="847">
        <f t="shared" si="19"/>
        <v>0</v>
      </c>
      <c r="AF90" s="855">
        <f t="shared" si="12"/>
        <v>0</v>
      </c>
      <c r="AG90" s="848">
        <f>IF('Input Sheet'!$C$15="Yes",'Input Sheet'!$F$8,0)</f>
        <v>0</v>
      </c>
      <c r="AH90" s="846">
        <f>IF('Input Sheet'!$C$15="Yes",Rates!$E$45,0)</f>
        <v>0</v>
      </c>
      <c r="AI90" s="849">
        <f>IF('Input Sheet'!$C$15="Yes",'Input Sheet'!$F$11,0)</f>
        <v>0</v>
      </c>
      <c r="AJ90" s="850">
        <f>IF('Input Sheet'!$C$15="Yes",'Input Sheet'!$F$7,0)</f>
        <v>0</v>
      </c>
      <c r="AK90" s="856">
        <f t="shared" si="13"/>
        <v>0</v>
      </c>
      <c r="AL90" s="856">
        <f t="shared" si="14"/>
        <v>0</v>
      </c>
      <c r="AM90" s="856">
        <f t="shared" si="20"/>
        <v>0</v>
      </c>
      <c r="AN90" s="856">
        <f t="shared" si="15"/>
        <v>0</v>
      </c>
      <c r="AO90" s="852">
        <f t="shared" si="21"/>
        <v>0</v>
      </c>
      <c r="AP90" s="853">
        <f t="shared" si="22"/>
        <v>0</v>
      </c>
      <c r="AQ90" s="854">
        <f>IFERROR(P90*'Input Sheet'!$F$8/(((AI90)*AK90*2)-AN90),0)</f>
        <v>0</v>
      </c>
      <c r="AR90" s="854">
        <f>IFERROR(($P90-$AF90)*'Input Sheet'!$F$8/(((AI90)*AK90*2)-AN90),0)</f>
        <v>0</v>
      </c>
    </row>
    <row r="91" spans="2:44" s="798" customFormat="1" ht="30" customHeight="1" thickBot="1" x14ac:dyDescent="0.3">
      <c r="B91" s="835"/>
      <c r="C91" s="836"/>
      <c r="D91" s="836"/>
      <c r="E91" s="837"/>
      <c r="F91" s="837"/>
      <c r="G91" s="838"/>
      <c r="H91" s="838"/>
      <c r="I91" s="839"/>
      <c r="J91" s="839"/>
      <c r="K91" s="840"/>
      <c r="L91" s="841"/>
      <c r="M91" s="841"/>
      <c r="N91" s="842"/>
      <c r="O91" s="842"/>
      <c r="P91" s="843"/>
      <c r="Q91" s="843"/>
      <c r="R91" s="843"/>
      <c r="S91" s="844">
        <f t="shared" si="16"/>
        <v>0</v>
      </c>
      <c r="T91" s="838"/>
      <c r="U91" s="842"/>
      <c r="V91" s="843"/>
      <c r="W91" s="843"/>
      <c r="X91" s="843"/>
      <c r="Y91" s="843"/>
      <c r="Z91" s="843"/>
      <c r="AA91" s="837"/>
      <c r="AB91" s="837"/>
      <c r="AC91" s="845">
        <f t="shared" si="17"/>
        <v>0</v>
      </c>
      <c r="AD91" s="846">
        <f t="shared" si="18"/>
        <v>0</v>
      </c>
      <c r="AE91" s="847">
        <f t="shared" si="19"/>
        <v>0</v>
      </c>
      <c r="AF91" s="855">
        <f t="shared" si="12"/>
        <v>0</v>
      </c>
      <c r="AG91" s="848">
        <f>IF('Input Sheet'!$C$15="Yes",'Input Sheet'!$F$8,0)</f>
        <v>0</v>
      </c>
      <c r="AH91" s="846">
        <f>IF('Input Sheet'!$C$15="Yes",Rates!$E$45,0)</f>
        <v>0</v>
      </c>
      <c r="AI91" s="849">
        <f>IF('Input Sheet'!$C$15="Yes",'Input Sheet'!$F$11,0)</f>
        <v>0</v>
      </c>
      <c r="AJ91" s="850">
        <f>IF('Input Sheet'!$C$15="Yes",'Input Sheet'!$F$7,0)</f>
        <v>0</v>
      </c>
      <c r="AK91" s="856">
        <f t="shared" si="13"/>
        <v>0</v>
      </c>
      <c r="AL91" s="856">
        <f t="shared" si="14"/>
        <v>0</v>
      </c>
      <c r="AM91" s="856">
        <f t="shared" si="20"/>
        <v>0</v>
      </c>
      <c r="AN91" s="856">
        <f t="shared" si="15"/>
        <v>0</v>
      </c>
      <c r="AO91" s="852">
        <f t="shared" si="21"/>
        <v>0</v>
      </c>
      <c r="AP91" s="853">
        <f t="shared" si="22"/>
        <v>0</v>
      </c>
      <c r="AQ91" s="854">
        <f>IFERROR(P91*'Input Sheet'!$F$8/(((AI91)*AK91*2)-AN91),0)</f>
        <v>0</v>
      </c>
      <c r="AR91" s="854">
        <f>IFERROR(($P91-$AF91)*'Input Sheet'!$F$8/(((AI91)*AK91*2)-AN91),0)</f>
        <v>0</v>
      </c>
    </row>
    <row r="92" spans="2:44" s="798" customFormat="1" ht="30" customHeight="1" thickBot="1" x14ac:dyDescent="0.3">
      <c r="B92" s="835"/>
      <c r="C92" s="836"/>
      <c r="D92" s="836"/>
      <c r="E92" s="837"/>
      <c r="F92" s="837"/>
      <c r="G92" s="838"/>
      <c r="H92" s="838"/>
      <c r="I92" s="839"/>
      <c r="J92" s="839"/>
      <c r="K92" s="840"/>
      <c r="L92" s="841"/>
      <c r="M92" s="841"/>
      <c r="N92" s="842"/>
      <c r="O92" s="842"/>
      <c r="P92" s="843"/>
      <c r="Q92" s="843"/>
      <c r="R92" s="843"/>
      <c r="S92" s="844">
        <f t="shared" si="16"/>
        <v>0</v>
      </c>
      <c r="T92" s="838"/>
      <c r="U92" s="842"/>
      <c r="V92" s="843"/>
      <c r="W92" s="843"/>
      <c r="X92" s="843"/>
      <c r="Y92" s="843"/>
      <c r="Z92" s="843"/>
      <c r="AA92" s="837"/>
      <c r="AB92" s="837"/>
      <c r="AC92" s="845">
        <f t="shared" si="17"/>
        <v>0</v>
      </c>
      <c r="AD92" s="846">
        <f t="shared" si="18"/>
        <v>0</v>
      </c>
      <c r="AE92" s="847">
        <f t="shared" si="19"/>
        <v>0</v>
      </c>
      <c r="AF92" s="855">
        <f t="shared" si="12"/>
        <v>0</v>
      </c>
      <c r="AG92" s="848">
        <f>IF('Input Sheet'!$C$15="Yes",'Input Sheet'!$F$8,0)</f>
        <v>0</v>
      </c>
      <c r="AH92" s="846">
        <f>IF('Input Sheet'!$C$15="Yes",Rates!$E$45,0)</f>
        <v>0</v>
      </c>
      <c r="AI92" s="849">
        <f>IF('Input Sheet'!$C$15="Yes",'Input Sheet'!$F$11,0)</f>
        <v>0</v>
      </c>
      <c r="AJ92" s="850">
        <f>IF('Input Sheet'!$C$15="Yes",'Input Sheet'!$F$7,0)</f>
        <v>0</v>
      </c>
      <c r="AK92" s="856">
        <f t="shared" si="13"/>
        <v>0</v>
      </c>
      <c r="AL92" s="856">
        <f t="shared" si="14"/>
        <v>0</v>
      </c>
      <c r="AM92" s="856">
        <f t="shared" si="20"/>
        <v>0</v>
      </c>
      <c r="AN92" s="856">
        <f t="shared" si="15"/>
        <v>0</v>
      </c>
      <c r="AO92" s="852">
        <f t="shared" si="21"/>
        <v>0</v>
      </c>
      <c r="AP92" s="853">
        <f t="shared" si="22"/>
        <v>0</v>
      </c>
      <c r="AQ92" s="854">
        <f>IFERROR(P92*'Input Sheet'!$F$8/(((AI92)*AK92*2)-AN92),0)</f>
        <v>0</v>
      </c>
      <c r="AR92" s="854">
        <f>IFERROR(($P92-$AF92)*'Input Sheet'!$F$8/(((AI92)*AK92*2)-AN92),0)</f>
        <v>0</v>
      </c>
    </row>
    <row r="93" spans="2:44" s="798" customFormat="1" ht="30" customHeight="1" thickBot="1" x14ac:dyDescent="0.3">
      <c r="B93" s="835"/>
      <c r="C93" s="836"/>
      <c r="D93" s="836"/>
      <c r="E93" s="837"/>
      <c r="F93" s="837"/>
      <c r="G93" s="838"/>
      <c r="H93" s="838"/>
      <c r="I93" s="839"/>
      <c r="J93" s="839"/>
      <c r="K93" s="840"/>
      <c r="L93" s="841"/>
      <c r="M93" s="841"/>
      <c r="N93" s="842"/>
      <c r="O93" s="842"/>
      <c r="P93" s="843"/>
      <c r="Q93" s="843"/>
      <c r="R93" s="843"/>
      <c r="S93" s="844">
        <f t="shared" si="16"/>
        <v>0</v>
      </c>
      <c r="T93" s="838"/>
      <c r="U93" s="842"/>
      <c r="V93" s="843"/>
      <c r="W93" s="843"/>
      <c r="X93" s="843"/>
      <c r="Y93" s="843"/>
      <c r="Z93" s="843"/>
      <c r="AA93" s="837"/>
      <c r="AB93" s="837"/>
      <c r="AC93" s="845">
        <f t="shared" si="17"/>
        <v>0</v>
      </c>
      <c r="AD93" s="846">
        <f t="shared" si="18"/>
        <v>0</v>
      </c>
      <c r="AE93" s="847">
        <f t="shared" si="19"/>
        <v>0</v>
      </c>
      <c r="AF93" s="855">
        <f t="shared" si="12"/>
        <v>0</v>
      </c>
      <c r="AG93" s="848">
        <f>IF('Input Sheet'!$C$15="Yes",'Input Sheet'!$F$8,0)</f>
        <v>0</v>
      </c>
      <c r="AH93" s="846">
        <f>IF('Input Sheet'!$C$15="Yes",Rates!$E$45,0)</f>
        <v>0</v>
      </c>
      <c r="AI93" s="849">
        <f>IF('Input Sheet'!$C$15="Yes",'Input Sheet'!$F$11,0)</f>
        <v>0</v>
      </c>
      <c r="AJ93" s="850">
        <f>IF('Input Sheet'!$C$15="Yes",'Input Sheet'!$F$7,0)</f>
        <v>0</v>
      </c>
      <c r="AK93" s="856">
        <f t="shared" si="13"/>
        <v>0</v>
      </c>
      <c r="AL93" s="856">
        <f t="shared" si="14"/>
        <v>0</v>
      </c>
      <c r="AM93" s="856">
        <f t="shared" si="20"/>
        <v>0</v>
      </c>
      <c r="AN93" s="856">
        <f t="shared" si="15"/>
        <v>0</v>
      </c>
      <c r="AO93" s="852">
        <f t="shared" si="21"/>
        <v>0</v>
      </c>
      <c r="AP93" s="853">
        <f t="shared" si="22"/>
        <v>0</v>
      </c>
      <c r="AQ93" s="854">
        <f>IFERROR(P93*'Input Sheet'!$F$8/(((AI93)*AK93*2)-AN93),0)</f>
        <v>0</v>
      </c>
      <c r="AR93" s="854">
        <f>IFERROR(($P93-$AF93)*'Input Sheet'!$F$8/(((AI93)*AK93*2)-AN93),0)</f>
        <v>0</v>
      </c>
    </row>
    <row r="94" spans="2:44" s="798" customFormat="1" ht="30" customHeight="1" thickBot="1" x14ac:dyDescent="0.3">
      <c r="B94" s="835"/>
      <c r="C94" s="836"/>
      <c r="D94" s="836"/>
      <c r="E94" s="837"/>
      <c r="F94" s="837"/>
      <c r="G94" s="838"/>
      <c r="H94" s="838"/>
      <c r="I94" s="839"/>
      <c r="J94" s="839"/>
      <c r="K94" s="840"/>
      <c r="L94" s="841"/>
      <c r="M94" s="841"/>
      <c r="N94" s="842"/>
      <c r="O94" s="842"/>
      <c r="P94" s="843"/>
      <c r="Q94" s="843"/>
      <c r="R94" s="843"/>
      <c r="S94" s="844">
        <f t="shared" si="16"/>
        <v>0</v>
      </c>
      <c r="T94" s="838"/>
      <c r="U94" s="842"/>
      <c r="V94" s="843"/>
      <c r="W94" s="843"/>
      <c r="X94" s="843"/>
      <c r="Y94" s="843"/>
      <c r="Z94" s="843"/>
      <c r="AA94" s="837"/>
      <c r="AB94" s="837"/>
      <c r="AC94" s="845">
        <f t="shared" si="17"/>
        <v>0</v>
      </c>
      <c r="AD94" s="846">
        <f t="shared" si="18"/>
        <v>0</v>
      </c>
      <c r="AE94" s="847">
        <f t="shared" si="19"/>
        <v>0</v>
      </c>
      <c r="AF94" s="855">
        <f t="shared" si="12"/>
        <v>0</v>
      </c>
      <c r="AG94" s="848">
        <f>IF('Input Sheet'!$C$15="Yes",'Input Sheet'!$F$8,0)</f>
        <v>0</v>
      </c>
      <c r="AH94" s="846">
        <f>IF('Input Sheet'!$C$15="Yes",Rates!$E$45,0)</f>
        <v>0</v>
      </c>
      <c r="AI94" s="849">
        <f>IF('Input Sheet'!$C$15="Yes",'Input Sheet'!$F$11,0)</f>
        <v>0</v>
      </c>
      <c r="AJ94" s="850">
        <f>IF('Input Sheet'!$C$15="Yes",'Input Sheet'!$F$7,0)</f>
        <v>0</v>
      </c>
      <c r="AK94" s="856">
        <f t="shared" si="13"/>
        <v>0</v>
      </c>
      <c r="AL94" s="856">
        <f t="shared" si="14"/>
        <v>0</v>
      </c>
      <c r="AM94" s="856">
        <f t="shared" si="20"/>
        <v>0</v>
      </c>
      <c r="AN94" s="856">
        <f t="shared" si="15"/>
        <v>0</v>
      </c>
      <c r="AO94" s="852">
        <f t="shared" si="21"/>
        <v>0</v>
      </c>
      <c r="AP94" s="853">
        <f t="shared" si="22"/>
        <v>0</v>
      </c>
      <c r="AQ94" s="854">
        <f>IFERROR(P94*'Input Sheet'!$F$8/(((AI94)*AK94*2)-AN94),0)</f>
        <v>0</v>
      </c>
      <c r="AR94" s="854">
        <f>IFERROR(($P94-$AF94)*'Input Sheet'!$F$8/(((AI94)*AK94*2)-AN94),0)</f>
        <v>0</v>
      </c>
    </row>
    <row r="95" spans="2:44" s="798" customFormat="1" ht="30" customHeight="1" thickBot="1" x14ac:dyDescent="0.3">
      <c r="B95" s="835"/>
      <c r="C95" s="836"/>
      <c r="D95" s="836"/>
      <c r="E95" s="837"/>
      <c r="F95" s="837"/>
      <c r="G95" s="838"/>
      <c r="H95" s="838"/>
      <c r="I95" s="839"/>
      <c r="J95" s="839"/>
      <c r="K95" s="840"/>
      <c r="L95" s="841"/>
      <c r="M95" s="841"/>
      <c r="N95" s="842"/>
      <c r="O95" s="842"/>
      <c r="P95" s="843"/>
      <c r="Q95" s="843"/>
      <c r="R95" s="843"/>
      <c r="S95" s="844">
        <f t="shared" si="16"/>
        <v>0</v>
      </c>
      <c r="T95" s="838"/>
      <c r="U95" s="842"/>
      <c r="V95" s="843"/>
      <c r="W95" s="843"/>
      <c r="X95" s="843"/>
      <c r="Y95" s="843"/>
      <c r="Z95" s="843"/>
      <c r="AA95" s="837"/>
      <c r="AB95" s="837"/>
      <c r="AC95" s="845">
        <f t="shared" si="17"/>
        <v>0</v>
      </c>
      <c r="AD95" s="846">
        <f t="shared" si="18"/>
        <v>0</v>
      </c>
      <c r="AE95" s="847">
        <f t="shared" si="19"/>
        <v>0</v>
      </c>
      <c r="AF95" s="855">
        <f t="shared" si="12"/>
        <v>0</v>
      </c>
      <c r="AG95" s="848">
        <f>IF('Input Sheet'!$C$15="Yes",'Input Sheet'!$F$8,0)</f>
        <v>0</v>
      </c>
      <c r="AH95" s="846">
        <f>IF('Input Sheet'!$C$15="Yes",Rates!$E$45,0)</f>
        <v>0</v>
      </c>
      <c r="AI95" s="849">
        <f>IF('Input Sheet'!$C$15="Yes",'Input Sheet'!$F$11,0)</f>
        <v>0</v>
      </c>
      <c r="AJ95" s="850">
        <f>IF('Input Sheet'!$C$15="Yes",'Input Sheet'!$F$7,0)</f>
        <v>0</v>
      </c>
      <c r="AK95" s="856">
        <f t="shared" si="13"/>
        <v>0</v>
      </c>
      <c r="AL95" s="856">
        <f t="shared" si="14"/>
        <v>0</v>
      </c>
      <c r="AM95" s="856">
        <f t="shared" si="20"/>
        <v>0</v>
      </c>
      <c r="AN95" s="856">
        <f t="shared" si="15"/>
        <v>0</v>
      </c>
      <c r="AO95" s="852">
        <f t="shared" si="21"/>
        <v>0</v>
      </c>
      <c r="AP95" s="853">
        <f t="shared" si="22"/>
        <v>0</v>
      </c>
      <c r="AQ95" s="854">
        <f>IFERROR(P95*'Input Sheet'!$F$8/(((AI95)*AK95*2)-AN95),0)</f>
        <v>0</v>
      </c>
      <c r="AR95" s="854">
        <f>IFERROR(($P95-$AF95)*'Input Sheet'!$F$8/(((AI95)*AK95*2)-AN95),0)</f>
        <v>0</v>
      </c>
    </row>
    <row r="96" spans="2:44" s="798" customFormat="1" ht="30" customHeight="1" thickBot="1" x14ac:dyDescent="0.3">
      <c r="B96" s="835"/>
      <c r="C96" s="836"/>
      <c r="D96" s="836"/>
      <c r="E96" s="837"/>
      <c r="F96" s="837"/>
      <c r="G96" s="838"/>
      <c r="H96" s="838"/>
      <c r="I96" s="839"/>
      <c r="J96" s="839"/>
      <c r="K96" s="840"/>
      <c r="L96" s="841"/>
      <c r="M96" s="841"/>
      <c r="N96" s="842"/>
      <c r="O96" s="842"/>
      <c r="P96" s="843"/>
      <c r="Q96" s="843"/>
      <c r="R96" s="843"/>
      <c r="S96" s="844">
        <f t="shared" si="16"/>
        <v>0</v>
      </c>
      <c r="T96" s="838"/>
      <c r="U96" s="842"/>
      <c r="V96" s="843"/>
      <c r="W96" s="843"/>
      <c r="X96" s="843"/>
      <c r="Y96" s="843"/>
      <c r="Z96" s="843"/>
      <c r="AA96" s="837"/>
      <c r="AB96" s="837"/>
      <c r="AC96" s="845">
        <f t="shared" si="17"/>
        <v>0</v>
      </c>
      <c r="AD96" s="846">
        <f t="shared" si="18"/>
        <v>0</v>
      </c>
      <c r="AE96" s="847">
        <f t="shared" si="19"/>
        <v>0</v>
      </c>
      <c r="AF96" s="855">
        <f t="shared" si="12"/>
        <v>0</v>
      </c>
      <c r="AG96" s="848">
        <f>IF('Input Sheet'!$C$15="Yes",'Input Sheet'!$F$8,0)</f>
        <v>0</v>
      </c>
      <c r="AH96" s="846">
        <f>IF('Input Sheet'!$C$15="Yes",Rates!$E$45,0)</f>
        <v>0</v>
      </c>
      <c r="AI96" s="849">
        <f>IF('Input Sheet'!$C$15="Yes",'Input Sheet'!$F$11,0)</f>
        <v>0</v>
      </c>
      <c r="AJ96" s="850">
        <f>IF('Input Sheet'!$C$15="Yes",'Input Sheet'!$F$7,0)</f>
        <v>0</v>
      </c>
      <c r="AK96" s="856">
        <f t="shared" si="13"/>
        <v>0</v>
      </c>
      <c r="AL96" s="856">
        <f t="shared" si="14"/>
        <v>0</v>
      </c>
      <c r="AM96" s="856">
        <f t="shared" si="20"/>
        <v>0</v>
      </c>
      <c r="AN96" s="856">
        <f t="shared" si="15"/>
        <v>0</v>
      </c>
      <c r="AO96" s="852">
        <f t="shared" si="21"/>
        <v>0</v>
      </c>
      <c r="AP96" s="853">
        <f t="shared" si="22"/>
        <v>0</v>
      </c>
      <c r="AQ96" s="854">
        <f>IFERROR(P96*'Input Sheet'!$F$8/(((AI96)*AK96*2)-AN96),0)</f>
        <v>0</v>
      </c>
      <c r="AR96" s="854">
        <f>IFERROR(($P96-$AF96)*'Input Sheet'!$F$8/(((AI96)*AK96*2)-AN96),0)</f>
        <v>0</v>
      </c>
    </row>
    <row r="97" spans="2:44" s="798" customFormat="1" ht="30" customHeight="1" thickBot="1" x14ac:dyDescent="0.3">
      <c r="B97" s="835"/>
      <c r="C97" s="836"/>
      <c r="D97" s="836"/>
      <c r="E97" s="837"/>
      <c r="F97" s="837"/>
      <c r="G97" s="838"/>
      <c r="H97" s="838"/>
      <c r="I97" s="839"/>
      <c r="J97" s="839"/>
      <c r="K97" s="840"/>
      <c r="L97" s="841"/>
      <c r="M97" s="841"/>
      <c r="N97" s="842"/>
      <c r="O97" s="842"/>
      <c r="P97" s="843"/>
      <c r="Q97" s="843"/>
      <c r="R97" s="843"/>
      <c r="S97" s="844">
        <f t="shared" si="16"/>
        <v>0</v>
      </c>
      <c r="T97" s="838"/>
      <c r="U97" s="842"/>
      <c r="V97" s="843"/>
      <c r="W97" s="843"/>
      <c r="X97" s="843"/>
      <c r="Y97" s="843"/>
      <c r="Z97" s="843"/>
      <c r="AA97" s="837"/>
      <c r="AB97" s="837"/>
      <c r="AC97" s="845">
        <f t="shared" si="17"/>
        <v>0</v>
      </c>
      <c r="AD97" s="846">
        <f t="shared" si="18"/>
        <v>0</v>
      </c>
      <c r="AE97" s="847">
        <f t="shared" si="19"/>
        <v>0</v>
      </c>
      <c r="AF97" s="855">
        <f t="shared" si="12"/>
        <v>0</v>
      </c>
      <c r="AG97" s="848">
        <f>IF('Input Sheet'!$C$15="Yes",'Input Sheet'!$F$8,0)</f>
        <v>0</v>
      </c>
      <c r="AH97" s="846">
        <f>IF('Input Sheet'!$C$15="Yes",Rates!$E$45,0)</f>
        <v>0</v>
      </c>
      <c r="AI97" s="849">
        <f>IF('Input Sheet'!$C$15="Yes",'Input Sheet'!$F$11,0)</f>
        <v>0</v>
      </c>
      <c r="AJ97" s="850">
        <f>IF('Input Sheet'!$C$15="Yes",'Input Sheet'!$F$7,0)</f>
        <v>0</v>
      </c>
      <c r="AK97" s="856">
        <f t="shared" si="13"/>
        <v>0</v>
      </c>
      <c r="AL97" s="856">
        <f t="shared" si="14"/>
        <v>0</v>
      </c>
      <c r="AM97" s="856">
        <f t="shared" si="20"/>
        <v>0</v>
      </c>
      <c r="AN97" s="856">
        <f t="shared" si="15"/>
        <v>0</v>
      </c>
      <c r="AO97" s="852">
        <f t="shared" si="21"/>
        <v>0</v>
      </c>
      <c r="AP97" s="853">
        <f t="shared" si="22"/>
        <v>0</v>
      </c>
      <c r="AQ97" s="854">
        <f>IFERROR(P97*'Input Sheet'!$F$8/(((AI97)*AK97*2)-AN97),0)</f>
        <v>0</v>
      </c>
      <c r="AR97" s="854">
        <f>IFERROR(($P97-$AF97)*'Input Sheet'!$F$8/(((AI97)*AK97*2)-AN97),0)</f>
        <v>0</v>
      </c>
    </row>
    <row r="98" spans="2:44" s="798" customFormat="1" ht="30" customHeight="1" thickBot="1" x14ac:dyDescent="0.3">
      <c r="B98" s="835"/>
      <c r="C98" s="836"/>
      <c r="D98" s="836"/>
      <c r="E98" s="837"/>
      <c r="F98" s="837"/>
      <c r="G98" s="838"/>
      <c r="H98" s="838"/>
      <c r="I98" s="839"/>
      <c r="J98" s="839"/>
      <c r="K98" s="840"/>
      <c r="L98" s="841"/>
      <c r="M98" s="841"/>
      <c r="N98" s="842"/>
      <c r="O98" s="842"/>
      <c r="P98" s="843"/>
      <c r="Q98" s="843"/>
      <c r="R98" s="843"/>
      <c r="S98" s="844">
        <f t="shared" si="16"/>
        <v>0</v>
      </c>
      <c r="T98" s="838"/>
      <c r="U98" s="842"/>
      <c r="V98" s="843"/>
      <c r="W98" s="843"/>
      <c r="X98" s="843"/>
      <c r="Y98" s="843"/>
      <c r="Z98" s="843"/>
      <c r="AA98" s="837"/>
      <c r="AB98" s="837"/>
      <c r="AC98" s="845">
        <f t="shared" si="17"/>
        <v>0</v>
      </c>
      <c r="AD98" s="846">
        <f t="shared" si="18"/>
        <v>0</v>
      </c>
      <c r="AE98" s="847">
        <f t="shared" si="19"/>
        <v>0</v>
      </c>
      <c r="AF98" s="855">
        <f t="shared" si="12"/>
        <v>0</v>
      </c>
      <c r="AG98" s="848">
        <f>IF('Input Sheet'!$C$15="Yes",'Input Sheet'!$F$8,0)</f>
        <v>0</v>
      </c>
      <c r="AH98" s="846">
        <f>IF('Input Sheet'!$C$15="Yes",Rates!$E$45,0)</f>
        <v>0</v>
      </c>
      <c r="AI98" s="849">
        <f>IF('Input Sheet'!$C$15="Yes",'Input Sheet'!$F$11,0)</f>
        <v>0</v>
      </c>
      <c r="AJ98" s="850">
        <f>IF('Input Sheet'!$C$15="Yes",'Input Sheet'!$F$7,0)</f>
        <v>0</v>
      </c>
      <c r="AK98" s="856">
        <f t="shared" si="13"/>
        <v>0</v>
      </c>
      <c r="AL98" s="856">
        <f t="shared" si="14"/>
        <v>0</v>
      </c>
      <c r="AM98" s="856">
        <f t="shared" si="20"/>
        <v>0</v>
      </c>
      <c r="AN98" s="856">
        <f t="shared" si="15"/>
        <v>0</v>
      </c>
      <c r="AO98" s="852">
        <f t="shared" si="21"/>
        <v>0</v>
      </c>
      <c r="AP98" s="853">
        <f t="shared" si="22"/>
        <v>0</v>
      </c>
      <c r="AQ98" s="854">
        <f>IFERROR(P98*'Input Sheet'!$F$8/(((AI98)*AK98*2)-AN98),0)</f>
        <v>0</v>
      </c>
      <c r="AR98" s="854">
        <f>IFERROR(($P98-$AF98)*'Input Sheet'!$F$8/(((AI98)*AK98*2)-AN98),0)</f>
        <v>0</v>
      </c>
    </row>
    <row r="99" spans="2:44" s="798" customFormat="1" ht="30" customHeight="1" thickBot="1" x14ac:dyDescent="0.3">
      <c r="B99" s="835"/>
      <c r="C99" s="836"/>
      <c r="D99" s="836"/>
      <c r="E99" s="837"/>
      <c r="F99" s="837"/>
      <c r="G99" s="838"/>
      <c r="H99" s="838"/>
      <c r="I99" s="839"/>
      <c r="J99" s="839"/>
      <c r="K99" s="840"/>
      <c r="L99" s="841"/>
      <c r="M99" s="841"/>
      <c r="N99" s="842"/>
      <c r="O99" s="842"/>
      <c r="P99" s="843"/>
      <c r="Q99" s="843"/>
      <c r="R99" s="843"/>
      <c r="S99" s="844">
        <f t="shared" si="16"/>
        <v>0</v>
      </c>
      <c r="T99" s="838"/>
      <c r="U99" s="842"/>
      <c r="V99" s="843"/>
      <c r="W99" s="843"/>
      <c r="X99" s="843"/>
      <c r="Y99" s="843"/>
      <c r="Z99" s="843"/>
      <c r="AA99" s="837"/>
      <c r="AB99" s="837"/>
      <c r="AC99" s="845">
        <f t="shared" si="17"/>
        <v>0</v>
      </c>
      <c r="AD99" s="846">
        <f t="shared" si="18"/>
        <v>0</v>
      </c>
      <c r="AE99" s="847">
        <f t="shared" si="19"/>
        <v>0</v>
      </c>
      <c r="AF99" s="855">
        <f t="shared" si="12"/>
        <v>0</v>
      </c>
      <c r="AG99" s="848">
        <f>IF('Input Sheet'!$C$15="Yes",'Input Sheet'!$F$8,0)</f>
        <v>0</v>
      </c>
      <c r="AH99" s="846">
        <f>IF('Input Sheet'!$C$15="Yes",Rates!$E$45,0)</f>
        <v>0</v>
      </c>
      <c r="AI99" s="849">
        <f>IF('Input Sheet'!$C$15="Yes",'Input Sheet'!$F$11,0)</f>
        <v>0</v>
      </c>
      <c r="AJ99" s="850">
        <f>IF('Input Sheet'!$C$15="Yes",'Input Sheet'!$F$7,0)</f>
        <v>0</v>
      </c>
      <c r="AK99" s="856">
        <f t="shared" si="13"/>
        <v>0</v>
      </c>
      <c r="AL99" s="856">
        <f t="shared" si="14"/>
        <v>0</v>
      </c>
      <c r="AM99" s="856">
        <f t="shared" si="20"/>
        <v>0</v>
      </c>
      <c r="AN99" s="856">
        <f t="shared" si="15"/>
        <v>0</v>
      </c>
      <c r="AO99" s="852">
        <f t="shared" si="21"/>
        <v>0</v>
      </c>
      <c r="AP99" s="853">
        <f t="shared" si="22"/>
        <v>0</v>
      </c>
      <c r="AQ99" s="854">
        <f>IFERROR(P99*'Input Sheet'!$F$8/(((AI99)*AK99*2)-AN99),0)</f>
        <v>0</v>
      </c>
      <c r="AR99" s="854">
        <f>IFERROR(($P99-$AF99)*'Input Sheet'!$F$8/(((AI99)*AK99*2)-AN99),0)</f>
        <v>0</v>
      </c>
    </row>
    <row r="100" spans="2:44" s="798" customFormat="1" ht="30" customHeight="1" thickBot="1" x14ac:dyDescent="0.3">
      <c r="B100" s="835"/>
      <c r="C100" s="836"/>
      <c r="D100" s="836"/>
      <c r="E100" s="837"/>
      <c r="F100" s="837"/>
      <c r="G100" s="838"/>
      <c r="H100" s="838"/>
      <c r="I100" s="839"/>
      <c r="J100" s="839"/>
      <c r="K100" s="840"/>
      <c r="L100" s="841"/>
      <c r="M100" s="841"/>
      <c r="N100" s="842"/>
      <c r="O100" s="842"/>
      <c r="P100" s="843"/>
      <c r="Q100" s="843"/>
      <c r="R100" s="843"/>
      <c r="S100" s="844">
        <f t="shared" si="16"/>
        <v>0</v>
      </c>
      <c r="T100" s="838"/>
      <c r="U100" s="842"/>
      <c r="V100" s="843"/>
      <c r="W100" s="843"/>
      <c r="X100" s="843"/>
      <c r="Y100" s="843"/>
      <c r="Z100" s="843"/>
      <c r="AA100" s="837"/>
      <c r="AB100" s="837"/>
      <c r="AC100" s="845">
        <f t="shared" si="17"/>
        <v>0</v>
      </c>
      <c r="AD100" s="846">
        <f t="shared" si="18"/>
        <v>0</v>
      </c>
      <c r="AE100" s="847">
        <f t="shared" si="19"/>
        <v>0</v>
      </c>
      <c r="AF100" s="855">
        <f t="shared" si="12"/>
        <v>0</v>
      </c>
      <c r="AG100" s="848">
        <f>IF('Input Sheet'!$C$15="Yes",'Input Sheet'!$F$8,0)</f>
        <v>0</v>
      </c>
      <c r="AH100" s="846">
        <f>IF('Input Sheet'!$C$15="Yes",Rates!$E$45,0)</f>
        <v>0</v>
      </c>
      <c r="AI100" s="849">
        <f>IF('Input Sheet'!$C$15="Yes",'Input Sheet'!$F$11,0)</f>
        <v>0</v>
      </c>
      <c r="AJ100" s="850">
        <f>IF('Input Sheet'!$C$15="Yes",'Input Sheet'!$F$7,0)</f>
        <v>0</v>
      </c>
      <c r="AK100" s="856">
        <f t="shared" si="13"/>
        <v>0</v>
      </c>
      <c r="AL100" s="856">
        <f t="shared" si="14"/>
        <v>0</v>
      </c>
      <c r="AM100" s="856">
        <f t="shared" si="20"/>
        <v>0</v>
      </c>
      <c r="AN100" s="856">
        <f t="shared" si="15"/>
        <v>0</v>
      </c>
      <c r="AO100" s="852">
        <f t="shared" si="21"/>
        <v>0</v>
      </c>
      <c r="AP100" s="853">
        <f t="shared" si="22"/>
        <v>0</v>
      </c>
      <c r="AQ100" s="854">
        <f>IFERROR(P100*'Input Sheet'!$F$8/(((AI100)*AK100*2)-AN100),0)</f>
        <v>0</v>
      </c>
      <c r="AR100" s="854">
        <f>IFERROR(($P100-$AF100)*'Input Sheet'!$F$8/(((AI100)*AK100*2)-AN100),0)</f>
        <v>0</v>
      </c>
    </row>
    <row r="101" spans="2:44" s="798" customFormat="1" ht="30" customHeight="1" thickBot="1" x14ac:dyDescent="0.3">
      <c r="B101" s="835"/>
      <c r="C101" s="836"/>
      <c r="D101" s="836"/>
      <c r="E101" s="837"/>
      <c r="F101" s="837"/>
      <c r="G101" s="838"/>
      <c r="H101" s="838"/>
      <c r="I101" s="839"/>
      <c r="J101" s="839"/>
      <c r="K101" s="840"/>
      <c r="L101" s="841"/>
      <c r="M101" s="841"/>
      <c r="N101" s="842"/>
      <c r="O101" s="842"/>
      <c r="P101" s="843"/>
      <c r="Q101" s="843"/>
      <c r="R101" s="843"/>
      <c r="S101" s="844">
        <f t="shared" si="16"/>
        <v>0</v>
      </c>
      <c r="T101" s="838"/>
      <c r="U101" s="842"/>
      <c r="V101" s="843"/>
      <c r="W101" s="843"/>
      <c r="X101" s="843"/>
      <c r="Y101" s="843"/>
      <c r="Z101" s="843"/>
      <c r="AA101" s="837"/>
      <c r="AB101" s="837"/>
      <c r="AC101" s="845">
        <f t="shared" si="17"/>
        <v>0</v>
      </c>
      <c r="AD101" s="846">
        <f t="shared" si="18"/>
        <v>0</v>
      </c>
      <c r="AE101" s="847">
        <f t="shared" si="19"/>
        <v>0</v>
      </c>
      <c r="AF101" s="855">
        <f t="shared" si="12"/>
        <v>0</v>
      </c>
      <c r="AG101" s="848">
        <f>IF('Input Sheet'!$C$15="Yes",'Input Sheet'!$F$8,0)</f>
        <v>0</v>
      </c>
      <c r="AH101" s="846">
        <f>IF('Input Sheet'!$C$15="Yes",Rates!$E$45,0)</f>
        <v>0</v>
      </c>
      <c r="AI101" s="849">
        <f>IF('Input Sheet'!$C$15="Yes",'Input Sheet'!$F$11,0)</f>
        <v>0</v>
      </c>
      <c r="AJ101" s="850">
        <f>IF('Input Sheet'!$C$15="Yes",'Input Sheet'!$F$7,0)</f>
        <v>0</v>
      </c>
      <c r="AK101" s="856">
        <f t="shared" si="13"/>
        <v>0</v>
      </c>
      <c r="AL101" s="856">
        <f t="shared" si="14"/>
        <v>0</v>
      </c>
      <c r="AM101" s="856">
        <f t="shared" si="20"/>
        <v>0</v>
      </c>
      <c r="AN101" s="856">
        <f t="shared" si="15"/>
        <v>0</v>
      </c>
      <c r="AO101" s="852">
        <f t="shared" si="21"/>
        <v>0</v>
      </c>
      <c r="AP101" s="853">
        <f t="shared" si="22"/>
        <v>0</v>
      </c>
      <c r="AQ101" s="854">
        <f>IFERROR(P101*'Input Sheet'!$F$8/(((AI101)*AK101*2)-AN101),0)</f>
        <v>0</v>
      </c>
      <c r="AR101" s="854">
        <f>IFERROR(($P101-$AF101)*'Input Sheet'!$F$8/(((AI101)*AK101*2)-AN101),0)</f>
        <v>0</v>
      </c>
    </row>
    <row r="102" spans="2:44" s="798" customFormat="1" ht="30" customHeight="1" thickBot="1" x14ac:dyDescent="0.3">
      <c r="B102" s="835"/>
      <c r="C102" s="836"/>
      <c r="D102" s="836"/>
      <c r="E102" s="837"/>
      <c r="F102" s="837"/>
      <c r="G102" s="838"/>
      <c r="H102" s="838"/>
      <c r="I102" s="839"/>
      <c r="J102" s="839"/>
      <c r="K102" s="840"/>
      <c r="L102" s="841"/>
      <c r="M102" s="841"/>
      <c r="N102" s="842"/>
      <c r="O102" s="842"/>
      <c r="P102" s="843"/>
      <c r="Q102" s="843"/>
      <c r="R102" s="843"/>
      <c r="S102" s="844">
        <f t="shared" si="16"/>
        <v>0</v>
      </c>
      <c r="T102" s="838"/>
      <c r="U102" s="842"/>
      <c r="V102" s="843"/>
      <c r="W102" s="843"/>
      <c r="X102" s="843"/>
      <c r="Y102" s="843"/>
      <c r="Z102" s="843"/>
      <c r="AA102" s="837"/>
      <c r="AB102" s="837"/>
      <c r="AC102" s="845">
        <f t="shared" si="17"/>
        <v>0</v>
      </c>
      <c r="AD102" s="846">
        <f t="shared" si="18"/>
        <v>0</v>
      </c>
      <c r="AE102" s="847">
        <f t="shared" si="19"/>
        <v>0</v>
      </c>
      <c r="AF102" s="855">
        <f t="shared" si="12"/>
        <v>0</v>
      </c>
      <c r="AG102" s="848">
        <f>IF('Input Sheet'!$C$15="Yes",'Input Sheet'!$F$8,0)</f>
        <v>0</v>
      </c>
      <c r="AH102" s="846">
        <f>IF('Input Sheet'!$C$15="Yes",Rates!$E$45,0)</f>
        <v>0</v>
      </c>
      <c r="AI102" s="849">
        <f>IF('Input Sheet'!$C$15="Yes",'Input Sheet'!$F$11,0)</f>
        <v>0</v>
      </c>
      <c r="AJ102" s="850">
        <f>IF('Input Sheet'!$C$15="Yes",'Input Sheet'!$F$7,0)</f>
        <v>0</v>
      </c>
      <c r="AK102" s="856">
        <f t="shared" si="13"/>
        <v>0</v>
      </c>
      <c r="AL102" s="856">
        <f t="shared" si="14"/>
        <v>0</v>
      </c>
      <c r="AM102" s="856">
        <f t="shared" si="20"/>
        <v>0</v>
      </c>
      <c r="AN102" s="856">
        <f t="shared" si="15"/>
        <v>0</v>
      </c>
      <c r="AO102" s="852">
        <f t="shared" si="21"/>
        <v>0</v>
      </c>
      <c r="AP102" s="853">
        <f t="shared" si="22"/>
        <v>0</v>
      </c>
      <c r="AQ102" s="854">
        <f>IFERROR(P102*'Input Sheet'!$F$8/(((AI102)*AK102*2)-AN102),0)</f>
        <v>0</v>
      </c>
      <c r="AR102" s="854">
        <f>IFERROR(($P102-$AF102)*'Input Sheet'!$F$8/(((AI102)*AK102*2)-AN102),0)</f>
        <v>0</v>
      </c>
    </row>
    <row r="103" spans="2:44" s="798" customFormat="1" ht="30" customHeight="1" thickBot="1" x14ac:dyDescent="0.3">
      <c r="B103" s="835"/>
      <c r="C103" s="836"/>
      <c r="D103" s="836"/>
      <c r="E103" s="837"/>
      <c r="F103" s="837"/>
      <c r="G103" s="838"/>
      <c r="H103" s="838"/>
      <c r="I103" s="839"/>
      <c r="J103" s="839"/>
      <c r="K103" s="840"/>
      <c r="L103" s="841"/>
      <c r="M103" s="841"/>
      <c r="N103" s="842"/>
      <c r="O103" s="842"/>
      <c r="P103" s="843"/>
      <c r="Q103" s="843"/>
      <c r="R103" s="843"/>
      <c r="S103" s="844">
        <f t="shared" si="16"/>
        <v>0</v>
      </c>
      <c r="T103" s="838"/>
      <c r="U103" s="842"/>
      <c r="V103" s="843"/>
      <c r="W103" s="843"/>
      <c r="X103" s="843"/>
      <c r="Y103" s="843"/>
      <c r="Z103" s="843"/>
      <c r="AA103" s="837"/>
      <c r="AB103" s="837"/>
      <c r="AC103" s="845">
        <f t="shared" si="17"/>
        <v>0</v>
      </c>
      <c r="AD103" s="846">
        <f t="shared" si="18"/>
        <v>0</v>
      </c>
      <c r="AE103" s="847">
        <f t="shared" si="19"/>
        <v>0</v>
      </c>
      <c r="AF103" s="855">
        <f t="shared" si="12"/>
        <v>0</v>
      </c>
      <c r="AG103" s="848">
        <f>IF('Input Sheet'!$C$15="Yes",'Input Sheet'!$F$8,0)</f>
        <v>0</v>
      </c>
      <c r="AH103" s="846">
        <f>IF('Input Sheet'!$C$15="Yes",Rates!$E$45,0)</f>
        <v>0</v>
      </c>
      <c r="AI103" s="849">
        <f>IF('Input Sheet'!$C$15="Yes",'Input Sheet'!$F$11,0)</f>
        <v>0</v>
      </c>
      <c r="AJ103" s="850">
        <f>IF('Input Sheet'!$C$15="Yes",'Input Sheet'!$F$7,0)</f>
        <v>0</v>
      </c>
      <c r="AK103" s="856">
        <f t="shared" si="13"/>
        <v>0</v>
      </c>
      <c r="AL103" s="856">
        <f t="shared" si="14"/>
        <v>0</v>
      </c>
      <c r="AM103" s="856">
        <f t="shared" si="20"/>
        <v>0</v>
      </c>
      <c r="AN103" s="856">
        <f t="shared" si="15"/>
        <v>0</v>
      </c>
      <c r="AO103" s="852">
        <f t="shared" si="21"/>
        <v>0</v>
      </c>
      <c r="AP103" s="853">
        <f t="shared" si="22"/>
        <v>0</v>
      </c>
      <c r="AQ103" s="854">
        <f>IFERROR(P103*'Input Sheet'!$F$8/(((AI103)*AK103*2)-AN103),0)</f>
        <v>0</v>
      </c>
      <c r="AR103" s="854">
        <f>IFERROR(($P103-$AF103)*'Input Sheet'!$F$8/(((AI103)*AK103*2)-AN103),0)</f>
        <v>0</v>
      </c>
    </row>
    <row r="104" spans="2:44" s="798" customFormat="1" ht="30" customHeight="1" thickBot="1" x14ac:dyDescent="0.3">
      <c r="B104" s="835"/>
      <c r="C104" s="836"/>
      <c r="D104" s="836"/>
      <c r="E104" s="837"/>
      <c r="F104" s="837"/>
      <c r="G104" s="838"/>
      <c r="H104" s="838"/>
      <c r="I104" s="839"/>
      <c r="J104" s="839"/>
      <c r="K104" s="840"/>
      <c r="L104" s="841"/>
      <c r="M104" s="841"/>
      <c r="N104" s="842"/>
      <c r="O104" s="842"/>
      <c r="P104" s="843"/>
      <c r="Q104" s="843"/>
      <c r="R104" s="843"/>
      <c r="S104" s="844">
        <f t="shared" si="16"/>
        <v>0</v>
      </c>
      <c r="T104" s="838"/>
      <c r="U104" s="842"/>
      <c r="V104" s="843"/>
      <c r="W104" s="843"/>
      <c r="X104" s="843"/>
      <c r="Y104" s="843"/>
      <c r="Z104" s="843"/>
      <c r="AA104" s="837"/>
      <c r="AB104" s="837"/>
      <c r="AC104" s="845">
        <f t="shared" si="17"/>
        <v>0</v>
      </c>
      <c r="AD104" s="846">
        <f t="shared" si="18"/>
        <v>0</v>
      </c>
      <c r="AE104" s="847">
        <f t="shared" si="19"/>
        <v>0</v>
      </c>
      <c r="AF104" s="855">
        <f t="shared" si="12"/>
        <v>0</v>
      </c>
      <c r="AG104" s="848">
        <f>IF('Input Sheet'!$C$15="Yes",'Input Sheet'!$F$8,0)</f>
        <v>0</v>
      </c>
      <c r="AH104" s="846">
        <f>IF('Input Sheet'!$C$15="Yes",Rates!$E$45,0)</f>
        <v>0</v>
      </c>
      <c r="AI104" s="849">
        <f>IF('Input Sheet'!$C$15="Yes",'Input Sheet'!$F$11,0)</f>
        <v>0</v>
      </c>
      <c r="AJ104" s="850">
        <f>IF('Input Sheet'!$C$15="Yes",'Input Sheet'!$F$7,0)</f>
        <v>0</v>
      </c>
      <c r="AK104" s="856">
        <f t="shared" si="13"/>
        <v>0</v>
      </c>
      <c r="AL104" s="856">
        <f t="shared" si="14"/>
        <v>0</v>
      </c>
      <c r="AM104" s="856">
        <f t="shared" si="20"/>
        <v>0</v>
      </c>
      <c r="AN104" s="856">
        <f t="shared" si="15"/>
        <v>0</v>
      </c>
      <c r="AO104" s="852">
        <f t="shared" si="21"/>
        <v>0</v>
      </c>
      <c r="AP104" s="853">
        <f t="shared" si="22"/>
        <v>0</v>
      </c>
      <c r="AQ104" s="854">
        <f>IFERROR(P104*'Input Sheet'!$F$8/(((AI104)*AK104*2)-AN104),0)</f>
        <v>0</v>
      </c>
      <c r="AR104" s="854">
        <f>IFERROR(($P104-$AF104)*'Input Sheet'!$F$8/(((AI104)*AK104*2)-AN104),0)</f>
        <v>0</v>
      </c>
    </row>
    <row r="105" spans="2:44" s="798" customFormat="1" ht="30" customHeight="1" thickBot="1" x14ac:dyDescent="0.3">
      <c r="B105" s="835"/>
      <c r="C105" s="836"/>
      <c r="D105" s="836"/>
      <c r="E105" s="837"/>
      <c r="F105" s="837"/>
      <c r="G105" s="838"/>
      <c r="H105" s="838"/>
      <c r="I105" s="839"/>
      <c r="J105" s="839"/>
      <c r="K105" s="840"/>
      <c r="L105" s="841"/>
      <c r="M105" s="841"/>
      <c r="N105" s="842"/>
      <c r="O105" s="842"/>
      <c r="P105" s="843"/>
      <c r="Q105" s="843"/>
      <c r="R105" s="843"/>
      <c r="S105" s="844">
        <f t="shared" si="16"/>
        <v>0</v>
      </c>
      <c r="T105" s="838"/>
      <c r="U105" s="842"/>
      <c r="V105" s="843"/>
      <c r="W105" s="843"/>
      <c r="X105" s="843"/>
      <c r="Y105" s="843"/>
      <c r="Z105" s="843"/>
      <c r="AA105" s="837"/>
      <c r="AB105" s="837"/>
      <c r="AC105" s="845">
        <f t="shared" si="17"/>
        <v>0</v>
      </c>
      <c r="AD105" s="846">
        <f t="shared" si="18"/>
        <v>0</v>
      </c>
      <c r="AE105" s="847">
        <f t="shared" si="19"/>
        <v>0</v>
      </c>
      <c r="AF105" s="855">
        <f t="shared" si="12"/>
        <v>0</v>
      </c>
      <c r="AG105" s="848">
        <f>IF('Input Sheet'!$C$15="Yes",'Input Sheet'!$F$8,0)</f>
        <v>0</v>
      </c>
      <c r="AH105" s="846">
        <f>IF('Input Sheet'!$C$15="Yes",Rates!$E$45,0)</f>
        <v>0</v>
      </c>
      <c r="AI105" s="849">
        <f>IF('Input Sheet'!$C$15="Yes",'Input Sheet'!$F$11,0)</f>
        <v>0</v>
      </c>
      <c r="AJ105" s="850">
        <f>IF('Input Sheet'!$C$15="Yes",'Input Sheet'!$F$7,0)</f>
        <v>0</v>
      </c>
      <c r="AK105" s="856">
        <f t="shared" si="13"/>
        <v>0</v>
      </c>
      <c r="AL105" s="856">
        <f t="shared" si="14"/>
        <v>0</v>
      </c>
      <c r="AM105" s="856">
        <f t="shared" si="20"/>
        <v>0</v>
      </c>
      <c r="AN105" s="856">
        <f t="shared" si="15"/>
        <v>0</v>
      </c>
      <c r="AO105" s="852">
        <f t="shared" si="21"/>
        <v>0</v>
      </c>
      <c r="AP105" s="853">
        <f t="shared" si="22"/>
        <v>0</v>
      </c>
      <c r="AQ105" s="854">
        <f>IFERROR(P105*'Input Sheet'!$F$8/(((AI105)*AK105*2)-AN105),0)</f>
        <v>0</v>
      </c>
      <c r="AR105" s="854">
        <f>IFERROR(($P105-$AF105)*'Input Sheet'!$F$8/(((AI105)*AK105*2)-AN105),0)</f>
        <v>0</v>
      </c>
    </row>
    <row r="106" spans="2:44" s="798" customFormat="1" ht="30" customHeight="1" thickBot="1" x14ac:dyDescent="0.3">
      <c r="B106" s="835"/>
      <c r="C106" s="836"/>
      <c r="D106" s="836"/>
      <c r="E106" s="837"/>
      <c r="F106" s="837"/>
      <c r="G106" s="838"/>
      <c r="H106" s="838"/>
      <c r="I106" s="839"/>
      <c r="J106" s="839"/>
      <c r="K106" s="840"/>
      <c r="L106" s="841"/>
      <c r="M106" s="841"/>
      <c r="N106" s="842"/>
      <c r="O106" s="842"/>
      <c r="P106" s="843"/>
      <c r="Q106" s="843"/>
      <c r="R106" s="843"/>
      <c r="S106" s="844">
        <f t="shared" si="16"/>
        <v>0</v>
      </c>
      <c r="T106" s="838"/>
      <c r="U106" s="842"/>
      <c r="V106" s="843"/>
      <c r="W106" s="843"/>
      <c r="X106" s="843"/>
      <c r="Y106" s="843"/>
      <c r="Z106" s="843"/>
      <c r="AA106" s="837"/>
      <c r="AB106" s="837"/>
      <c r="AC106" s="845">
        <f t="shared" si="17"/>
        <v>0</v>
      </c>
      <c r="AD106" s="846">
        <f t="shared" si="18"/>
        <v>0</v>
      </c>
      <c r="AE106" s="847">
        <f t="shared" si="19"/>
        <v>0</v>
      </c>
      <c r="AF106" s="855">
        <f t="shared" si="12"/>
        <v>0</v>
      </c>
      <c r="AG106" s="848">
        <f>IF('Input Sheet'!$C$15="Yes",'Input Sheet'!$F$8,0)</f>
        <v>0</v>
      </c>
      <c r="AH106" s="846">
        <f>IF('Input Sheet'!$C$15="Yes",Rates!$E$45,0)</f>
        <v>0</v>
      </c>
      <c r="AI106" s="849">
        <f>IF('Input Sheet'!$C$15="Yes",'Input Sheet'!$F$11,0)</f>
        <v>0</v>
      </c>
      <c r="AJ106" s="850">
        <f>IF('Input Sheet'!$C$15="Yes",'Input Sheet'!$F$7,0)</f>
        <v>0</v>
      </c>
      <c r="AK106" s="856">
        <f t="shared" si="13"/>
        <v>0</v>
      </c>
      <c r="AL106" s="856">
        <f t="shared" si="14"/>
        <v>0</v>
      </c>
      <c r="AM106" s="856">
        <f t="shared" si="20"/>
        <v>0</v>
      </c>
      <c r="AN106" s="856">
        <f t="shared" si="15"/>
        <v>0</v>
      </c>
      <c r="AO106" s="852">
        <f t="shared" si="21"/>
        <v>0</v>
      </c>
      <c r="AP106" s="853">
        <f t="shared" si="22"/>
        <v>0</v>
      </c>
      <c r="AQ106" s="854">
        <f>IFERROR(P106*'Input Sheet'!$F$8/(((AI106)*AK106*2)-AN106),0)</f>
        <v>0</v>
      </c>
      <c r="AR106" s="854">
        <f>IFERROR(($P106-$AF106)*'Input Sheet'!$F$8/(((AI106)*AK106*2)-AN106),0)</f>
        <v>0</v>
      </c>
    </row>
    <row r="107" spans="2:44" s="798" customFormat="1" ht="30" customHeight="1" thickBot="1" x14ac:dyDescent="0.3">
      <c r="B107" s="835"/>
      <c r="C107" s="836"/>
      <c r="D107" s="836"/>
      <c r="E107" s="837"/>
      <c r="F107" s="837"/>
      <c r="G107" s="838"/>
      <c r="H107" s="838"/>
      <c r="I107" s="839"/>
      <c r="J107" s="839"/>
      <c r="K107" s="840"/>
      <c r="L107" s="841"/>
      <c r="M107" s="841"/>
      <c r="N107" s="842"/>
      <c r="O107" s="842"/>
      <c r="P107" s="843"/>
      <c r="Q107" s="843"/>
      <c r="R107" s="843"/>
      <c r="S107" s="844">
        <f t="shared" si="16"/>
        <v>0</v>
      </c>
      <c r="T107" s="838"/>
      <c r="U107" s="842"/>
      <c r="V107" s="843"/>
      <c r="W107" s="843"/>
      <c r="X107" s="843"/>
      <c r="Y107" s="843"/>
      <c r="Z107" s="843"/>
      <c r="AA107" s="837"/>
      <c r="AB107" s="837"/>
      <c r="AC107" s="845">
        <f t="shared" si="17"/>
        <v>0</v>
      </c>
      <c r="AD107" s="846">
        <f t="shared" si="18"/>
        <v>0</v>
      </c>
      <c r="AE107" s="847">
        <f t="shared" si="19"/>
        <v>0</v>
      </c>
      <c r="AF107" s="855">
        <f t="shared" si="12"/>
        <v>0</v>
      </c>
      <c r="AG107" s="848">
        <f>IF('Input Sheet'!$C$15="Yes",'Input Sheet'!$F$8,0)</f>
        <v>0</v>
      </c>
      <c r="AH107" s="846">
        <f>IF('Input Sheet'!$C$15="Yes",Rates!$E$45,0)</f>
        <v>0</v>
      </c>
      <c r="AI107" s="849">
        <f>IF('Input Sheet'!$C$15="Yes",'Input Sheet'!$F$11,0)</f>
        <v>0</v>
      </c>
      <c r="AJ107" s="850">
        <f>IF('Input Sheet'!$C$15="Yes",'Input Sheet'!$F$7,0)</f>
        <v>0</v>
      </c>
      <c r="AK107" s="856">
        <f t="shared" si="13"/>
        <v>0</v>
      </c>
      <c r="AL107" s="856">
        <f t="shared" si="14"/>
        <v>0</v>
      </c>
      <c r="AM107" s="856">
        <f t="shared" si="20"/>
        <v>0</v>
      </c>
      <c r="AN107" s="856">
        <f t="shared" si="15"/>
        <v>0</v>
      </c>
      <c r="AO107" s="852">
        <f t="shared" si="21"/>
        <v>0</v>
      </c>
      <c r="AP107" s="853">
        <f t="shared" si="22"/>
        <v>0</v>
      </c>
      <c r="AQ107" s="854">
        <f>IFERROR(P107*'Input Sheet'!$F$8/(((AI107)*AK107*2)-AN107),0)</f>
        <v>0</v>
      </c>
      <c r="AR107" s="854">
        <f>IFERROR(($P107-$AF107)*'Input Sheet'!$F$8/(((AI107)*AK107*2)-AN107),0)</f>
        <v>0</v>
      </c>
    </row>
    <row r="108" spans="2:44" s="798" customFormat="1" ht="30" customHeight="1" thickBot="1" x14ac:dyDescent="0.3">
      <c r="B108" s="835"/>
      <c r="C108" s="836"/>
      <c r="D108" s="836"/>
      <c r="E108" s="837"/>
      <c r="F108" s="837"/>
      <c r="G108" s="838"/>
      <c r="H108" s="838"/>
      <c r="I108" s="839"/>
      <c r="J108" s="839"/>
      <c r="K108" s="840"/>
      <c r="L108" s="841"/>
      <c r="M108" s="841"/>
      <c r="N108" s="842"/>
      <c r="O108" s="842"/>
      <c r="P108" s="843"/>
      <c r="Q108" s="843"/>
      <c r="R108" s="843"/>
      <c r="S108" s="844">
        <f t="shared" si="16"/>
        <v>0</v>
      </c>
      <c r="T108" s="838"/>
      <c r="U108" s="842"/>
      <c r="V108" s="843"/>
      <c r="W108" s="843"/>
      <c r="X108" s="843"/>
      <c r="Y108" s="843"/>
      <c r="Z108" s="843"/>
      <c r="AA108" s="837"/>
      <c r="AB108" s="837"/>
      <c r="AC108" s="845">
        <f t="shared" si="17"/>
        <v>0</v>
      </c>
      <c r="AD108" s="846">
        <f t="shared" si="18"/>
        <v>0</v>
      </c>
      <c r="AE108" s="847">
        <f t="shared" si="19"/>
        <v>0</v>
      </c>
      <c r="AF108" s="855">
        <f t="shared" si="12"/>
        <v>0</v>
      </c>
      <c r="AG108" s="848">
        <f>IF('Input Sheet'!$C$15="Yes",'Input Sheet'!$F$8,0)</f>
        <v>0</v>
      </c>
      <c r="AH108" s="846">
        <f>IF('Input Sheet'!$C$15="Yes",Rates!$E$45,0)</f>
        <v>0</v>
      </c>
      <c r="AI108" s="849">
        <f>IF('Input Sheet'!$C$15="Yes",'Input Sheet'!$F$11,0)</f>
        <v>0</v>
      </c>
      <c r="AJ108" s="850">
        <f>IF('Input Sheet'!$C$15="Yes",'Input Sheet'!$F$7,0)</f>
        <v>0</v>
      </c>
      <c r="AK108" s="856">
        <f t="shared" si="13"/>
        <v>0</v>
      </c>
      <c r="AL108" s="856">
        <f t="shared" si="14"/>
        <v>0</v>
      </c>
      <c r="AM108" s="856">
        <f t="shared" si="20"/>
        <v>0</v>
      </c>
      <c r="AN108" s="856">
        <f t="shared" si="15"/>
        <v>0</v>
      </c>
      <c r="AO108" s="852">
        <f t="shared" si="21"/>
        <v>0</v>
      </c>
      <c r="AP108" s="853">
        <f t="shared" si="22"/>
        <v>0</v>
      </c>
      <c r="AQ108" s="854">
        <f>IFERROR(P108*'Input Sheet'!$F$8/(((AI108)*AK108*2)-AN108),0)</f>
        <v>0</v>
      </c>
      <c r="AR108" s="854">
        <f>IFERROR(($P108-$AF108)*'Input Sheet'!$F$8/(((AI108)*AK108*2)-AN108),0)</f>
        <v>0</v>
      </c>
    </row>
    <row r="109" spans="2:44" s="798" customFormat="1" ht="30" customHeight="1" thickBot="1" x14ac:dyDescent="0.3">
      <c r="B109" s="835"/>
      <c r="C109" s="836"/>
      <c r="D109" s="836"/>
      <c r="E109" s="837"/>
      <c r="F109" s="837"/>
      <c r="G109" s="838"/>
      <c r="H109" s="838"/>
      <c r="I109" s="839"/>
      <c r="J109" s="839"/>
      <c r="K109" s="840"/>
      <c r="L109" s="841"/>
      <c r="M109" s="841"/>
      <c r="N109" s="842"/>
      <c r="O109" s="842"/>
      <c r="P109" s="843"/>
      <c r="Q109" s="843"/>
      <c r="R109" s="843"/>
      <c r="S109" s="844">
        <f t="shared" si="16"/>
        <v>0</v>
      </c>
      <c r="T109" s="838"/>
      <c r="U109" s="842"/>
      <c r="V109" s="843"/>
      <c r="W109" s="843"/>
      <c r="X109" s="843"/>
      <c r="Y109" s="843"/>
      <c r="Z109" s="843"/>
      <c r="AA109" s="837"/>
      <c r="AB109" s="837"/>
      <c r="AC109" s="845">
        <f t="shared" si="17"/>
        <v>0</v>
      </c>
      <c r="AD109" s="846">
        <f t="shared" si="18"/>
        <v>0</v>
      </c>
      <c r="AE109" s="847">
        <f t="shared" si="19"/>
        <v>0</v>
      </c>
      <c r="AF109" s="855">
        <f t="shared" si="12"/>
        <v>0</v>
      </c>
      <c r="AG109" s="848">
        <f>IF('Input Sheet'!$C$15="Yes",'Input Sheet'!$F$8,0)</f>
        <v>0</v>
      </c>
      <c r="AH109" s="846">
        <f>IF('Input Sheet'!$C$15="Yes",Rates!$E$45,0)</f>
        <v>0</v>
      </c>
      <c r="AI109" s="849">
        <f>IF('Input Sheet'!$C$15="Yes",'Input Sheet'!$F$11,0)</f>
        <v>0</v>
      </c>
      <c r="AJ109" s="850">
        <f>IF('Input Sheet'!$C$15="Yes",'Input Sheet'!$F$7,0)</f>
        <v>0</v>
      </c>
      <c r="AK109" s="856">
        <f t="shared" si="13"/>
        <v>0</v>
      </c>
      <c r="AL109" s="856">
        <f t="shared" si="14"/>
        <v>0</v>
      </c>
      <c r="AM109" s="856">
        <f t="shared" si="20"/>
        <v>0</v>
      </c>
      <c r="AN109" s="856">
        <f t="shared" si="15"/>
        <v>0</v>
      </c>
      <c r="AO109" s="852">
        <f t="shared" si="21"/>
        <v>0</v>
      </c>
      <c r="AP109" s="853">
        <f t="shared" si="22"/>
        <v>0</v>
      </c>
      <c r="AQ109" s="854">
        <f>IFERROR(P109*'Input Sheet'!$F$8/(((AI109)*AK109*2)-AN109),0)</f>
        <v>0</v>
      </c>
      <c r="AR109" s="854">
        <f>IFERROR(($P109-$AF109)*'Input Sheet'!$F$8/(((AI109)*AK109*2)-AN109),0)</f>
        <v>0</v>
      </c>
    </row>
    <row r="110" spans="2:44" s="798" customFormat="1" ht="30" customHeight="1" thickBot="1" x14ac:dyDescent="0.3">
      <c r="B110" s="835"/>
      <c r="C110" s="836"/>
      <c r="D110" s="836"/>
      <c r="E110" s="837"/>
      <c r="F110" s="837"/>
      <c r="G110" s="838"/>
      <c r="H110" s="838"/>
      <c r="I110" s="839"/>
      <c r="J110" s="839"/>
      <c r="K110" s="840"/>
      <c r="L110" s="841"/>
      <c r="M110" s="841"/>
      <c r="N110" s="842"/>
      <c r="O110" s="842"/>
      <c r="P110" s="843"/>
      <c r="Q110" s="843"/>
      <c r="R110" s="843"/>
      <c r="S110" s="844">
        <f t="shared" si="16"/>
        <v>0</v>
      </c>
      <c r="T110" s="838"/>
      <c r="U110" s="842"/>
      <c r="V110" s="843"/>
      <c r="W110" s="843"/>
      <c r="X110" s="843"/>
      <c r="Y110" s="843"/>
      <c r="Z110" s="843"/>
      <c r="AA110" s="837"/>
      <c r="AB110" s="837"/>
      <c r="AC110" s="845">
        <f t="shared" si="17"/>
        <v>0</v>
      </c>
      <c r="AD110" s="846">
        <f t="shared" si="18"/>
        <v>0</v>
      </c>
      <c r="AE110" s="847">
        <f t="shared" si="19"/>
        <v>0</v>
      </c>
      <c r="AF110" s="855">
        <f t="shared" si="12"/>
        <v>0</v>
      </c>
      <c r="AG110" s="848">
        <f>IF('Input Sheet'!$C$15="Yes",'Input Sheet'!$F$8,0)</f>
        <v>0</v>
      </c>
      <c r="AH110" s="846">
        <f>IF('Input Sheet'!$C$15="Yes",Rates!$E$45,0)</f>
        <v>0</v>
      </c>
      <c r="AI110" s="849">
        <f>IF('Input Sheet'!$C$15="Yes",'Input Sheet'!$F$11,0)</f>
        <v>0</v>
      </c>
      <c r="AJ110" s="850">
        <f>IF('Input Sheet'!$C$15="Yes",'Input Sheet'!$F$7,0)</f>
        <v>0</v>
      </c>
      <c r="AK110" s="856">
        <f t="shared" si="13"/>
        <v>0</v>
      </c>
      <c r="AL110" s="856">
        <f t="shared" si="14"/>
        <v>0</v>
      </c>
      <c r="AM110" s="856">
        <f t="shared" si="20"/>
        <v>0</v>
      </c>
      <c r="AN110" s="856">
        <f t="shared" si="15"/>
        <v>0</v>
      </c>
      <c r="AO110" s="852">
        <f t="shared" si="21"/>
        <v>0</v>
      </c>
      <c r="AP110" s="853">
        <f t="shared" si="22"/>
        <v>0</v>
      </c>
      <c r="AQ110" s="854">
        <f>IFERROR(P110*'Input Sheet'!$F$8/(((AI110)*AK110*2)-AN110),0)</f>
        <v>0</v>
      </c>
      <c r="AR110" s="854">
        <f>IFERROR(($P110-$AF110)*'Input Sheet'!$F$8/(((AI110)*AK110*2)-AN110),0)</f>
        <v>0</v>
      </c>
    </row>
    <row r="111" spans="2:44" s="798" customFormat="1" ht="30" customHeight="1" thickBot="1" x14ac:dyDescent="0.3">
      <c r="B111" s="835"/>
      <c r="C111" s="836"/>
      <c r="D111" s="836"/>
      <c r="E111" s="837"/>
      <c r="F111" s="837"/>
      <c r="G111" s="838"/>
      <c r="H111" s="838"/>
      <c r="I111" s="839"/>
      <c r="J111" s="839"/>
      <c r="K111" s="840"/>
      <c r="L111" s="841"/>
      <c r="M111" s="841"/>
      <c r="N111" s="842"/>
      <c r="O111" s="842"/>
      <c r="P111" s="843"/>
      <c r="Q111" s="843"/>
      <c r="R111" s="843"/>
      <c r="S111" s="844">
        <f t="shared" si="16"/>
        <v>0</v>
      </c>
      <c r="T111" s="838"/>
      <c r="U111" s="842"/>
      <c r="V111" s="843"/>
      <c r="W111" s="843"/>
      <c r="X111" s="843"/>
      <c r="Y111" s="843"/>
      <c r="Z111" s="843"/>
      <c r="AA111" s="837"/>
      <c r="AB111" s="837"/>
      <c r="AC111" s="845">
        <f t="shared" si="17"/>
        <v>0</v>
      </c>
      <c r="AD111" s="846">
        <f t="shared" si="18"/>
        <v>0</v>
      </c>
      <c r="AE111" s="847">
        <f t="shared" si="19"/>
        <v>0</v>
      </c>
      <c r="AF111" s="855">
        <f t="shared" si="12"/>
        <v>0</v>
      </c>
      <c r="AG111" s="848">
        <f>IF('Input Sheet'!$C$15="Yes",'Input Sheet'!$F$8,0)</f>
        <v>0</v>
      </c>
      <c r="AH111" s="846">
        <f>IF('Input Sheet'!$C$15="Yes",Rates!$E$45,0)</f>
        <v>0</v>
      </c>
      <c r="AI111" s="849">
        <f>IF('Input Sheet'!$C$15="Yes",'Input Sheet'!$F$11,0)</f>
        <v>0</v>
      </c>
      <c r="AJ111" s="850">
        <f>IF('Input Sheet'!$C$15="Yes",'Input Sheet'!$F$7,0)</f>
        <v>0</v>
      </c>
      <c r="AK111" s="856">
        <f t="shared" si="13"/>
        <v>0</v>
      </c>
      <c r="AL111" s="856">
        <f t="shared" si="14"/>
        <v>0</v>
      </c>
      <c r="AM111" s="856">
        <f t="shared" si="20"/>
        <v>0</v>
      </c>
      <c r="AN111" s="856">
        <f t="shared" si="15"/>
        <v>0</v>
      </c>
      <c r="AO111" s="852">
        <f t="shared" si="21"/>
        <v>0</v>
      </c>
      <c r="AP111" s="853">
        <f t="shared" si="22"/>
        <v>0</v>
      </c>
      <c r="AQ111" s="854">
        <f>IFERROR(P111*'Input Sheet'!$F$8/(((AI111)*AK111*2)-AN111),0)</f>
        <v>0</v>
      </c>
      <c r="AR111" s="854">
        <f>IFERROR(($P111-$AF111)*'Input Sheet'!$F$8/(((AI111)*AK111*2)-AN111),0)</f>
        <v>0</v>
      </c>
    </row>
    <row r="112" spans="2:44" s="798" customFormat="1" ht="30" customHeight="1" thickBot="1" x14ac:dyDescent="0.3">
      <c r="B112" s="835"/>
      <c r="C112" s="836"/>
      <c r="D112" s="836"/>
      <c r="E112" s="837"/>
      <c r="F112" s="837"/>
      <c r="G112" s="838"/>
      <c r="H112" s="838"/>
      <c r="I112" s="839"/>
      <c r="J112" s="839"/>
      <c r="K112" s="840"/>
      <c r="L112" s="841"/>
      <c r="M112" s="841"/>
      <c r="N112" s="842"/>
      <c r="O112" s="842"/>
      <c r="P112" s="843"/>
      <c r="Q112" s="843"/>
      <c r="R112" s="843"/>
      <c r="S112" s="844">
        <f t="shared" si="16"/>
        <v>0</v>
      </c>
      <c r="T112" s="838"/>
      <c r="U112" s="842"/>
      <c r="V112" s="843"/>
      <c r="W112" s="843"/>
      <c r="X112" s="843"/>
      <c r="Y112" s="843"/>
      <c r="Z112" s="843"/>
      <c r="AA112" s="837"/>
      <c r="AB112" s="837"/>
      <c r="AC112" s="845">
        <f t="shared" si="17"/>
        <v>0</v>
      </c>
      <c r="AD112" s="846">
        <f t="shared" si="18"/>
        <v>0</v>
      </c>
      <c r="AE112" s="847">
        <f t="shared" si="19"/>
        <v>0</v>
      </c>
      <c r="AF112" s="855">
        <f t="shared" si="12"/>
        <v>0</v>
      </c>
      <c r="AG112" s="848">
        <f>IF('Input Sheet'!$C$15="Yes",'Input Sheet'!$F$8,0)</f>
        <v>0</v>
      </c>
      <c r="AH112" s="846">
        <f>IF('Input Sheet'!$C$15="Yes",Rates!$E$45,0)</f>
        <v>0</v>
      </c>
      <c r="AI112" s="849">
        <f>IF('Input Sheet'!$C$15="Yes",'Input Sheet'!$F$11,0)</f>
        <v>0</v>
      </c>
      <c r="AJ112" s="850">
        <f>IF('Input Sheet'!$C$15="Yes",'Input Sheet'!$F$7,0)</f>
        <v>0</v>
      </c>
      <c r="AK112" s="856">
        <f t="shared" si="13"/>
        <v>0</v>
      </c>
      <c r="AL112" s="856">
        <f t="shared" si="14"/>
        <v>0</v>
      </c>
      <c r="AM112" s="856">
        <f t="shared" si="20"/>
        <v>0</v>
      </c>
      <c r="AN112" s="856">
        <f t="shared" si="15"/>
        <v>0</v>
      </c>
      <c r="AO112" s="852">
        <f t="shared" si="21"/>
        <v>0</v>
      </c>
      <c r="AP112" s="853">
        <f t="shared" si="22"/>
        <v>0</v>
      </c>
      <c r="AQ112" s="854">
        <f>IFERROR(P112*'Input Sheet'!$F$8/(((AI112)*AK112*2)-AN112),0)</f>
        <v>0</v>
      </c>
      <c r="AR112" s="854">
        <f>IFERROR(($P112-$AF112)*'Input Sheet'!$F$8/(((AI112)*AK112*2)-AN112),0)</f>
        <v>0</v>
      </c>
    </row>
    <row r="113" spans="2:44" s="798" customFormat="1" ht="30" customHeight="1" thickBot="1" x14ac:dyDescent="0.3">
      <c r="B113" s="835"/>
      <c r="C113" s="836"/>
      <c r="D113" s="836"/>
      <c r="E113" s="837"/>
      <c r="F113" s="837"/>
      <c r="G113" s="838"/>
      <c r="H113" s="838"/>
      <c r="I113" s="839"/>
      <c r="J113" s="839"/>
      <c r="K113" s="840"/>
      <c r="L113" s="841"/>
      <c r="M113" s="841"/>
      <c r="N113" s="842"/>
      <c r="O113" s="842"/>
      <c r="P113" s="843"/>
      <c r="Q113" s="843"/>
      <c r="R113" s="843"/>
      <c r="S113" s="844">
        <f t="shared" si="16"/>
        <v>0</v>
      </c>
      <c r="T113" s="838"/>
      <c r="U113" s="842"/>
      <c r="V113" s="843"/>
      <c r="W113" s="843"/>
      <c r="X113" s="843"/>
      <c r="Y113" s="843"/>
      <c r="Z113" s="843"/>
      <c r="AA113" s="837"/>
      <c r="AB113" s="837"/>
      <c r="AC113" s="845">
        <f t="shared" si="17"/>
        <v>0</v>
      </c>
      <c r="AD113" s="846">
        <f t="shared" si="18"/>
        <v>0</v>
      </c>
      <c r="AE113" s="847">
        <f t="shared" si="19"/>
        <v>0</v>
      </c>
      <c r="AF113" s="855">
        <f t="shared" si="12"/>
        <v>0</v>
      </c>
      <c r="AG113" s="848">
        <f>IF('Input Sheet'!$C$15="Yes",'Input Sheet'!$F$8,0)</f>
        <v>0</v>
      </c>
      <c r="AH113" s="846">
        <f>IF('Input Sheet'!$C$15="Yes",Rates!$E$45,0)</f>
        <v>0</v>
      </c>
      <c r="AI113" s="849">
        <f>IF('Input Sheet'!$C$15="Yes",'Input Sheet'!$F$11,0)</f>
        <v>0</v>
      </c>
      <c r="AJ113" s="850">
        <f>IF('Input Sheet'!$C$15="Yes",'Input Sheet'!$F$7,0)</f>
        <v>0</v>
      </c>
      <c r="AK113" s="856">
        <f t="shared" si="13"/>
        <v>0</v>
      </c>
      <c r="AL113" s="856">
        <f t="shared" si="14"/>
        <v>0</v>
      </c>
      <c r="AM113" s="856">
        <f t="shared" si="20"/>
        <v>0</v>
      </c>
      <c r="AN113" s="856">
        <f t="shared" si="15"/>
        <v>0</v>
      </c>
      <c r="AO113" s="852">
        <f t="shared" si="21"/>
        <v>0</v>
      </c>
      <c r="AP113" s="853">
        <f t="shared" si="22"/>
        <v>0</v>
      </c>
      <c r="AQ113" s="854">
        <f>IFERROR(P113*'Input Sheet'!$F$8/(((AI113)*AK113*2)-AN113),0)</f>
        <v>0</v>
      </c>
      <c r="AR113" s="854">
        <f>IFERROR(($P113-$AF113)*'Input Sheet'!$F$8/(((AI113)*AK113*2)-AN113),0)</f>
        <v>0</v>
      </c>
    </row>
    <row r="114" spans="2:44" s="798" customFormat="1" ht="30" customHeight="1" thickBot="1" x14ac:dyDescent="0.3">
      <c r="B114" s="835"/>
      <c r="C114" s="836"/>
      <c r="D114" s="836"/>
      <c r="E114" s="837"/>
      <c r="F114" s="837"/>
      <c r="G114" s="838"/>
      <c r="H114" s="838"/>
      <c r="I114" s="839"/>
      <c r="J114" s="839"/>
      <c r="K114" s="840"/>
      <c r="L114" s="841"/>
      <c r="M114" s="841"/>
      <c r="N114" s="842"/>
      <c r="O114" s="842"/>
      <c r="P114" s="843"/>
      <c r="Q114" s="843"/>
      <c r="R114" s="843"/>
      <c r="S114" s="844">
        <f t="shared" si="16"/>
        <v>0</v>
      </c>
      <c r="T114" s="838"/>
      <c r="U114" s="842"/>
      <c r="V114" s="843"/>
      <c r="W114" s="843"/>
      <c r="X114" s="843"/>
      <c r="Y114" s="843"/>
      <c r="Z114" s="843"/>
      <c r="AA114" s="837"/>
      <c r="AB114" s="837"/>
      <c r="AC114" s="845">
        <f t="shared" si="17"/>
        <v>0</v>
      </c>
      <c r="AD114" s="846">
        <f t="shared" si="18"/>
        <v>0</v>
      </c>
      <c r="AE114" s="847">
        <f t="shared" si="19"/>
        <v>0</v>
      </c>
      <c r="AF114" s="855">
        <f t="shared" si="12"/>
        <v>0</v>
      </c>
      <c r="AG114" s="848">
        <f>IF('Input Sheet'!$C$15="Yes",'Input Sheet'!$F$8,0)</f>
        <v>0</v>
      </c>
      <c r="AH114" s="846">
        <f>IF('Input Sheet'!$C$15="Yes",Rates!$E$45,0)</f>
        <v>0</v>
      </c>
      <c r="AI114" s="849">
        <f>IF('Input Sheet'!$C$15="Yes",'Input Sheet'!$F$11,0)</f>
        <v>0</v>
      </c>
      <c r="AJ114" s="850">
        <f>IF('Input Sheet'!$C$15="Yes",'Input Sheet'!$F$7,0)</f>
        <v>0</v>
      </c>
      <c r="AK114" s="856">
        <f t="shared" si="13"/>
        <v>0</v>
      </c>
      <c r="AL114" s="856">
        <f t="shared" si="14"/>
        <v>0</v>
      </c>
      <c r="AM114" s="856">
        <f t="shared" si="20"/>
        <v>0</v>
      </c>
      <c r="AN114" s="856">
        <f t="shared" si="15"/>
        <v>0</v>
      </c>
      <c r="AO114" s="852">
        <f t="shared" si="21"/>
        <v>0</v>
      </c>
      <c r="AP114" s="853">
        <f t="shared" si="22"/>
        <v>0</v>
      </c>
      <c r="AQ114" s="854">
        <f>IFERROR(P114*'Input Sheet'!$F$8/(((AI114)*AK114*2)-AN114),0)</f>
        <v>0</v>
      </c>
      <c r="AR114" s="854">
        <f>IFERROR(($P114-$AF114)*'Input Sheet'!$F$8/(((AI114)*AK114*2)-AN114),0)</f>
        <v>0</v>
      </c>
    </row>
    <row r="115" spans="2:44" s="798" customFormat="1" ht="30" customHeight="1" thickBot="1" x14ac:dyDescent="0.3">
      <c r="B115" s="835"/>
      <c r="C115" s="836"/>
      <c r="D115" s="836"/>
      <c r="E115" s="837"/>
      <c r="F115" s="837"/>
      <c r="G115" s="838"/>
      <c r="H115" s="838"/>
      <c r="I115" s="839"/>
      <c r="J115" s="839"/>
      <c r="K115" s="840"/>
      <c r="L115" s="841"/>
      <c r="M115" s="841"/>
      <c r="N115" s="842"/>
      <c r="O115" s="842"/>
      <c r="P115" s="843"/>
      <c r="Q115" s="843"/>
      <c r="R115" s="843"/>
      <c r="S115" s="844">
        <f t="shared" si="16"/>
        <v>0</v>
      </c>
      <c r="T115" s="838"/>
      <c r="U115" s="842"/>
      <c r="V115" s="843"/>
      <c r="W115" s="843"/>
      <c r="X115" s="843"/>
      <c r="Y115" s="843"/>
      <c r="Z115" s="843"/>
      <c r="AA115" s="837"/>
      <c r="AB115" s="837"/>
      <c r="AC115" s="845">
        <f t="shared" si="17"/>
        <v>0</v>
      </c>
      <c r="AD115" s="846">
        <f t="shared" si="18"/>
        <v>0</v>
      </c>
      <c r="AE115" s="847">
        <f t="shared" si="19"/>
        <v>0</v>
      </c>
      <c r="AF115" s="855">
        <f t="shared" si="12"/>
        <v>0</v>
      </c>
      <c r="AG115" s="848">
        <f>IF('Input Sheet'!$C$15="Yes",'Input Sheet'!$F$8,0)</f>
        <v>0</v>
      </c>
      <c r="AH115" s="846">
        <f>IF('Input Sheet'!$C$15="Yes",Rates!$E$45,0)</f>
        <v>0</v>
      </c>
      <c r="AI115" s="849">
        <f>IF('Input Sheet'!$C$15="Yes",'Input Sheet'!$F$11,0)</f>
        <v>0</v>
      </c>
      <c r="AJ115" s="850">
        <f>IF('Input Sheet'!$C$15="Yes",'Input Sheet'!$F$7,0)</f>
        <v>0</v>
      </c>
      <c r="AK115" s="856">
        <f t="shared" si="13"/>
        <v>0</v>
      </c>
      <c r="AL115" s="856">
        <f t="shared" si="14"/>
        <v>0</v>
      </c>
      <c r="AM115" s="856">
        <f t="shared" si="20"/>
        <v>0</v>
      </c>
      <c r="AN115" s="856">
        <f t="shared" si="15"/>
        <v>0</v>
      </c>
      <c r="AO115" s="852">
        <f t="shared" si="21"/>
        <v>0</v>
      </c>
      <c r="AP115" s="853">
        <f t="shared" si="22"/>
        <v>0</v>
      </c>
      <c r="AQ115" s="854">
        <f>IFERROR(P115*'Input Sheet'!$F$8/(((AI115)*AK115*2)-AN115),0)</f>
        <v>0</v>
      </c>
      <c r="AR115" s="854">
        <f>IFERROR(($P115-$AF115)*'Input Sheet'!$F$8/(((AI115)*AK115*2)-AN115),0)</f>
        <v>0</v>
      </c>
    </row>
    <row r="116" spans="2:44" s="798" customFormat="1" ht="30" customHeight="1" thickBot="1" x14ac:dyDescent="0.3">
      <c r="B116" s="835"/>
      <c r="C116" s="836"/>
      <c r="D116" s="836"/>
      <c r="E116" s="837"/>
      <c r="F116" s="837"/>
      <c r="G116" s="838"/>
      <c r="H116" s="838"/>
      <c r="I116" s="839"/>
      <c r="J116" s="839"/>
      <c r="K116" s="840"/>
      <c r="L116" s="841"/>
      <c r="M116" s="841"/>
      <c r="N116" s="842"/>
      <c r="O116" s="842"/>
      <c r="P116" s="843"/>
      <c r="Q116" s="843"/>
      <c r="R116" s="843"/>
      <c r="S116" s="844">
        <f t="shared" si="16"/>
        <v>0</v>
      </c>
      <c r="T116" s="838"/>
      <c r="U116" s="842"/>
      <c r="V116" s="843"/>
      <c r="W116" s="843"/>
      <c r="X116" s="843"/>
      <c r="Y116" s="843"/>
      <c r="Z116" s="843"/>
      <c r="AA116" s="837"/>
      <c r="AB116" s="837"/>
      <c r="AC116" s="845">
        <f t="shared" si="17"/>
        <v>0</v>
      </c>
      <c r="AD116" s="846">
        <f t="shared" si="18"/>
        <v>0</v>
      </c>
      <c r="AE116" s="847">
        <f t="shared" si="19"/>
        <v>0</v>
      </c>
      <c r="AF116" s="855">
        <f t="shared" si="12"/>
        <v>0</v>
      </c>
      <c r="AG116" s="848">
        <f>IF('Input Sheet'!$C$15="Yes",'Input Sheet'!$F$8,0)</f>
        <v>0</v>
      </c>
      <c r="AH116" s="846">
        <f>IF('Input Sheet'!$C$15="Yes",Rates!$E$45,0)</f>
        <v>0</v>
      </c>
      <c r="AI116" s="849">
        <f>IF('Input Sheet'!$C$15="Yes",'Input Sheet'!$F$11,0)</f>
        <v>0</v>
      </c>
      <c r="AJ116" s="850">
        <f>IF('Input Sheet'!$C$15="Yes",'Input Sheet'!$F$7,0)</f>
        <v>0</v>
      </c>
      <c r="AK116" s="856">
        <f t="shared" si="13"/>
        <v>0</v>
      </c>
      <c r="AL116" s="856">
        <f t="shared" si="14"/>
        <v>0</v>
      </c>
      <c r="AM116" s="856">
        <f t="shared" si="20"/>
        <v>0</v>
      </c>
      <c r="AN116" s="856">
        <f t="shared" si="15"/>
        <v>0</v>
      </c>
      <c r="AO116" s="852">
        <f t="shared" si="21"/>
        <v>0</v>
      </c>
      <c r="AP116" s="853">
        <f t="shared" si="22"/>
        <v>0</v>
      </c>
      <c r="AQ116" s="854">
        <f>IFERROR(P116*'Input Sheet'!$F$8/(((AI116)*AK116*2)-AN116),0)</f>
        <v>0</v>
      </c>
      <c r="AR116" s="854">
        <f>IFERROR(($P116-$AF116)*'Input Sheet'!$F$8/(((AI116)*AK116*2)-AN116),0)</f>
        <v>0</v>
      </c>
    </row>
    <row r="117" spans="2:44" s="798" customFormat="1" ht="30" customHeight="1" thickBot="1" x14ac:dyDescent="0.3">
      <c r="B117" s="835"/>
      <c r="C117" s="836"/>
      <c r="D117" s="836"/>
      <c r="E117" s="837"/>
      <c r="F117" s="837"/>
      <c r="G117" s="838"/>
      <c r="H117" s="838"/>
      <c r="I117" s="839"/>
      <c r="J117" s="839"/>
      <c r="K117" s="840"/>
      <c r="L117" s="841"/>
      <c r="M117" s="841"/>
      <c r="N117" s="842"/>
      <c r="O117" s="842"/>
      <c r="P117" s="843"/>
      <c r="Q117" s="843"/>
      <c r="R117" s="843"/>
      <c r="S117" s="844">
        <f t="shared" si="16"/>
        <v>0</v>
      </c>
      <c r="T117" s="838"/>
      <c r="U117" s="842"/>
      <c r="V117" s="843"/>
      <c r="W117" s="843"/>
      <c r="X117" s="843"/>
      <c r="Y117" s="843"/>
      <c r="Z117" s="843"/>
      <c r="AA117" s="837"/>
      <c r="AB117" s="837"/>
      <c r="AC117" s="845">
        <f t="shared" si="17"/>
        <v>0</v>
      </c>
      <c r="AD117" s="846">
        <f t="shared" si="18"/>
        <v>0</v>
      </c>
      <c r="AE117" s="847">
        <f t="shared" si="19"/>
        <v>0</v>
      </c>
      <c r="AF117" s="855">
        <f t="shared" si="12"/>
        <v>0</v>
      </c>
      <c r="AG117" s="848">
        <f>IF('Input Sheet'!$C$15="Yes",'Input Sheet'!$F$8,0)</f>
        <v>0</v>
      </c>
      <c r="AH117" s="846">
        <f>IF('Input Sheet'!$C$15="Yes",Rates!$E$45,0)</f>
        <v>0</v>
      </c>
      <c r="AI117" s="849">
        <f>IF('Input Sheet'!$C$15="Yes",'Input Sheet'!$F$11,0)</f>
        <v>0</v>
      </c>
      <c r="AJ117" s="850">
        <f>IF('Input Sheet'!$C$15="Yes",'Input Sheet'!$F$7,0)</f>
        <v>0</v>
      </c>
      <c r="AK117" s="856">
        <f t="shared" si="13"/>
        <v>0</v>
      </c>
      <c r="AL117" s="856">
        <f t="shared" si="14"/>
        <v>0</v>
      </c>
      <c r="AM117" s="856">
        <f t="shared" si="20"/>
        <v>0</v>
      </c>
      <c r="AN117" s="856">
        <f t="shared" si="15"/>
        <v>0</v>
      </c>
      <c r="AO117" s="852">
        <f t="shared" si="21"/>
        <v>0</v>
      </c>
      <c r="AP117" s="853">
        <f t="shared" si="22"/>
        <v>0</v>
      </c>
      <c r="AQ117" s="854">
        <f>IFERROR(P117*'Input Sheet'!$F$8/(((AI117)*AK117*2)-AN117),0)</f>
        <v>0</v>
      </c>
      <c r="AR117" s="854">
        <f>IFERROR(($P117-$AF117)*'Input Sheet'!$F$8/(((AI117)*AK117*2)-AN117),0)</f>
        <v>0</v>
      </c>
    </row>
    <row r="118" spans="2:44" s="798" customFormat="1" ht="30" customHeight="1" thickBot="1" x14ac:dyDescent="0.3">
      <c r="B118" s="835"/>
      <c r="C118" s="836"/>
      <c r="D118" s="836"/>
      <c r="E118" s="837"/>
      <c r="F118" s="837"/>
      <c r="G118" s="838"/>
      <c r="H118" s="838"/>
      <c r="I118" s="839"/>
      <c r="J118" s="839"/>
      <c r="K118" s="840"/>
      <c r="L118" s="841"/>
      <c r="M118" s="841"/>
      <c r="N118" s="842"/>
      <c r="O118" s="842"/>
      <c r="P118" s="843"/>
      <c r="Q118" s="843"/>
      <c r="R118" s="843"/>
      <c r="S118" s="844">
        <f t="shared" si="16"/>
        <v>0</v>
      </c>
      <c r="T118" s="838"/>
      <c r="U118" s="842"/>
      <c r="V118" s="843"/>
      <c r="W118" s="843"/>
      <c r="X118" s="843"/>
      <c r="Y118" s="843"/>
      <c r="Z118" s="843"/>
      <c r="AA118" s="837"/>
      <c r="AB118" s="837"/>
      <c r="AC118" s="845">
        <f t="shared" si="17"/>
        <v>0</v>
      </c>
      <c r="AD118" s="846">
        <f t="shared" si="18"/>
        <v>0</v>
      </c>
      <c r="AE118" s="847">
        <f t="shared" si="19"/>
        <v>0</v>
      </c>
      <c r="AF118" s="855">
        <f t="shared" si="12"/>
        <v>0</v>
      </c>
      <c r="AG118" s="848">
        <f>IF('Input Sheet'!$C$15="Yes",'Input Sheet'!$F$8,0)</f>
        <v>0</v>
      </c>
      <c r="AH118" s="846">
        <f>IF('Input Sheet'!$C$15="Yes",Rates!$E$45,0)</f>
        <v>0</v>
      </c>
      <c r="AI118" s="849">
        <f>IF('Input Sheet'!$C$15="Yes",'Input Sheet'!$F$11,0)</f>
        <v>0</v>
      </c>
      <c r="AJ118" s="850">
        <f>IF('Input Sheet'!$C$15="Yes",'Input Sheet'!$F$7,0)</f>
        <v>0</v>
      </c>
      <c r="AK118" s="856">
        <f t="shared" si="13"/>
        <v>0</v>
      </c>
      <c r="AL118" s="856">
        <f t="shared" si="14"/>
        <v>0</v>
      </c>
      <c r="AM118" s="856">
        <f t="shared" si="20"/>
        <v>0</v>
      </c>
      <c r="AN118" s="856">
        <f t="shared" si="15"/>
        <v>0</v>
      </c>
      <c r="AO118" s="852">
        <f t="shared" si="21"/>
        <v>0</v>
      </c>
      <c r="AP118" s="853">
        <f t="shared" si="22"/>
        <v>0</v>
      </c>
      <c r="AQ118" s="854">
        <f>IFERROR(P118*'Input Sheet'!$F$8/(((AI118)*AK118*2)-AN118),0)</f>
        <v>0</v>
      </c>
      <c r="AR118" s="854">
        <f>IFERROR(($P118-$AF118)*'Input Sheet'!$F$8/(((AI118)*AK118*2)-AN118),0)</f>
        <v>0</v>
      </c>
    </row>
    <row r="119" spans="2:44" s="798" customFormat="1" ht="30" customHeight="1" thickBot="1" x14ac:dyDescent="0.3">
      <c r="B119" s="835"/>
      <c r="C119" s="836"/>
      <c r="D119" s="836"/>
      <c r="E119" s="837"/>
      <c r="F119" s="837"/>
      <c r="G119" s="838"/>
      <c r="H119" s="838"/>
      <c r="I119" s="839"/>
      <c r="J119" s="839"/>
      <c r="K119" s="840"/>
      <c r="L119" s="841"/>
      <c r="M119" s="841"/>
      <c r="N119" s="842"/>
      <c r="O119" s="842"/>
      <c r="P119" s="843"/>
      <c r="Q119" s="843"/>
      <c r="R119" s="843"/>
      <c r="S119" s="844">
        <f t="shared" si="16"/>
        <v>0</v>
      </c>
      <c r="T119" s="838"/>
      <c r="U119" s="842"/>
      <c r="V119" s="843"/>
      <c r="W119" s="843"/>
      <c r="X119" s="843"/>
      <c r="Y119" s="843"/>
      <c r="Z119" s="843"/>
      <c r="AA119" s="837"/>
      <c r="AB119" s="837"/>
      <c r="AC119" s="845">
        <f t="shared" si="17"/>
        <v>0</v>
      </c>
      <c r="AD119" s="846">
        <f t="shared" si="18"/>
        <v>0</v>
      </c>
      <c r="AE119" s="847">
        <f t="shared" si="19"/>
        <v>0</v>
      </c>
      <c r="AF119" s="855">
        <f t="shared" si="12"/>
        <v>0</v>
      </c>
      <c r="AG119" s="848">
        <f>IF('Input Sheet'!$C$15="Yes",'Input Sheet'!$F$8,0)</f>
        <v>0</v>
      </c>
      <c r="AH119" s="846">
        <f>IF('Input Sheet'!$C$15="Yes",Rates!$E$45,0)</f>
        <v>0</v>
      </c>
      <c r="AI119" s="849">
        <f>IF('Input Sheet'!$C$15="Yes",'Input Sheet'!$F$11,0)</f>
        <v>0</v>
      </c>
      <c r="AJ119" s="850">
        <f>IF('Input Sheet'!$C$15="Yes",'Input Sheet'!$F$7,0)</f>
        <v>0</v>
      </c>
      <c r="AK119" s="856">
        <f t="shared" si="13"/>
        <v>0</v>
      </c>
      <c r="AL119" s="856">
        <f t="shared" si="14"/>
        <v>0</v>
      </c>
      <c r="AM119" s="856">
        <f t="shared" si="20"/>
        <v>0</v>
      </c>
      <c r="AN119" s="856">
        <f t="shared" si="15"/>
        <v>0</v>
      </c>
      <c r="AO119" s="852">
        <f t="shared" si="21"/>
        <v>0</v>
      </c>
      <c r="AP119" s="853">
        <f t="shared" si="22"/>
        <v>0</v>
      </c>
      <c r="AQ119" s="854">
        <f>IFERROR(P119*'Input Sheet'!$F$8/(((AI119)*AK119*2)-AN119),0)</f>
        <v>0</v>
      </c>
      <c r="AR119" s="854">
        <f>IFERROR(($P119-$AF119)*'Input Sheet'!$F$8/(((AI119)*AK119*2)-AN119),0)</f>
        <v>0</v>
      </c>
    </row>
    <row r="120" spans="2:44" s="798" customFormat="1" ht="30" customHeight="1" thickBot="1" x14ac:dyDescent="0.3">
      <c r="B120" s="835"/>
      <c r="C120" s="836"/>
      <c r="D120" s="836"/>
      <c r="E120" s="837"/>
      <c r="F120" s="837"/>
      <c r="G120" s="838"/>
      <c r="H120" s="838"/>
      <c r="I120" s="839"/>
      <c r="J120" s="839"/>
      <c r="K120" s="840"/>
      <c r="L120" s="841"/>
      <c r="M120" s="841"/>
      <c r="N120" s="842"/>
      <c r="O120" s="842"/>
      <c r="P120" s="843"/>
      <c r="Q120" s="843"/>
      <c r="R120" s="843"/>
      <c r="S120" s="844">
        <f t="shared" si="16"/>
        <v>0</v>
      </c>
      <c r="T120" s="838"/>
      <c r="U120" s="842"/>
      <c r="V120" s="843"/>
      <c r="W120" s="843"/>
      <c r="X120" s="843"/>
      <c r="Y120" s="843"/>
      <c r="Z120" s="843"/>
      <c r="AA120" s="837"/>
      <c r="AB120" s="837"/>
      <c r="AC120" s="845">
        <f t="shared" si="17"/>
        <v>0</v>
      </c>
      <c r="AD120" s="846">
        <f t="shared" si="18"/>
        <v>0</v>
      </c>
      <c r="AE120" s="847">
        <f t="shared" si="19"/>
        <v>0</v>
      </c>
      <c r="AF120" s="855">
        <f t="shared" si="12"/>
        <v>0</v>
      </c>
      <c r="AG120" s="848">
        <f>IF('Input Sheet'!$C$15="Yes",'Input Sheet'!$F$8,0)</f>
        <v>0</v>
      </c>
      <c r="AH120" s="846">
        <f>IF('Input Sheet'!$C$15="Yes",Rates!$E$45,0)</f>
        <v>0</v>
      </c>
      <c r="AI120" s="849">
        <f>IF('Input Sheet'!$C$15="Yes",'Input Sheet'!$F$11,0)</f>
        <v>0</v>
      </c>
      <c r="AJ120" s="850">
        <f>IF('Input Sheet'!$C$15="Yes",'Input Sheet'!$F$7,0)</f>
        <v>0</v>
      </c>
      <c r="AK120" s="856">
        <f t="shared" si="13"/>
        <v>0</v>
      </c>
      <c r="AL120" s="856">
        <f t="shared" si="14"/>
        <v>0</v>
      </c>
      <c r="AM120" s="856">
        <f t="shared" si="20"/>
        <v>0</v>
      </c>
      <c r="AN120" s="856">
        <f t="shared" si="15"/>
        <v>0</v>
      </c>
      <c r="AO120" s="852">
        <f t="shared" si="21"/>
        <v>0</v>
      </c>
      <c r="AP120" s="853">
        <f t="shared" si="22"/>
        <v>0</v>
      </c>
      <c r="AQ120" s="854">
        <f>IFERROR(P120*'Input Sheet'!$F$8/(((AI120)*AK120*2)-AN120),0)</f>
        <v>0</v>
      </c>
      <c r="AR120" s="854">
        <f>IFERROR(($P120-$AF120)*'Input Sheet'!$F$8/(((AI120)*AK120*2)-AN120),0)</f>
        <v>0</v>
      </c>
    </row>
    <row r="121" spans="2:44" s="798" customFormat="1" ht="30" customHeight="1" thickBot="1" x14ac:dyDescent="0.3">
      <c r="B121" s="835"/>
      <c r="C121" s="836"/>
      <c r="D121" s="836"/>
      <c r="E121" s="837"/>
      <c r="F121" s="837"/>
      <c r="G121" s="838"/>
      <c r="H121" s="838"/>
      <c r="I121" s="839"/>
      <c r="J121" s="839"/>
      <c r="K121" s="840"/>
      <c r="L121" s="841"/>
      <c r="M121" s="841"/>
      <c r="N121" s="842"/>
      <c r="O121" s="842"/>
      <c r="P121" s="843"/>
      <c r="Q121" s="843"/>
      <c r="R121" s="843"/>
      <c r="S121" s="844">
        <f t="shared" si="16"/>
        <v>0</v>
      </c>
      <c r="T121" s="838"/>
      <c r="U121" s="842"/>
      <c r="V121" s="843"/>
      <c r="W121" s="843"/>
      <c r="X121" s="843"/>
      <c r="Y121" s="843"/>
      <c r="Z121" s="843"/>
      <c r="AA121" s="837"/>
      <c r="AB121" s="837"/>
      <c r="AC121" s="845">
        <f t="shared" si="17"/>
        <v>0</v>
      </c>
      <c r="AD121" s="846">
        <f t="shared" si="18"/>
        <v>0</v>
      </c>
      <c r="AE121" s="847">
        <f t="shared" si="19"/>
        <v>0</v>
      </c>
      <c r="AF121" s="855">
        <f t="shared" si="12"/>
        <v>0</v>
      </c>
      <c r="AG121" s="848">
        <f>IF('Input Sheet'!$C$15="Yes",'Input Sheet'!$F$8,0)</f>
        <v>0</v>
      </c>
      <c r="AH121" s="846">
        <f>IF('Input Sheet'!$C$15="Yes",Rates!$E$45,0)</f>
        <v>0</v>
      </c>
      <c r="AI121" s="849">
        <f>IF('Input Sheet'!$C$15="Yes",'Input Sheet'!$F$11,0)</f>
        <v>0</v>
      </c>
      <c r="AJ121" s="850">
        <f>IF('Input Sheet'!$C$15="Yes",'Input Sheet'!$F$7,0)</f>
        <v>0</v>
      </c>
      <c r="AK121" s="856">
        <f t="shared" si="13"/>
        <v>0</v>
      </c>
      <c r="AL121" s="856">
        <f t="shared" si="14"/>
        <v>0</v>
      </c>
      <c r="AM121" s="856">
        <f t="shared" si="20"/>
        <v>0</v>
      </c>
      <c r="AN121" s="856">
        <f t="shared" si="15"/>
        <v>0</v>
      </c>
      <c r="AO121" s="852">
        <f t="shared" si="21"/>
        <v>0</v>
      </c>
      <c r="AP121" s="853">
        <f t="shared" si="22"/>
        <v>0</v>
      </c>
      <c r="AQ121" s="854">
        <f>IFERROR(P121*'Input Sheet'!$F$8/(((AI121)*AK121*2)-AN121),0)</f>
        <v>0</v>
      </c>
      <c r="AR121" s="854">
        <f>IFERROR(($P121-$AF121)*'Input Sheet'!$F$8/(((AI121)*AK121*2)-AN121),0)</f>
        <v>0</v>
      </c>
    </row>
    <row r="122" spans="2:44" s="798" customFormat="1" ht="30" customHeight="1" thickBot="1" x14ac:dyDescent="0.3">
      <c r="B122" s="835"/>
      <c r="C122" s="836"/>
      <c r="D122" s="836"/>
      <c r="E122" s="837"/>
      <c r="F122" s="837"/>
      <c r="G122" s="838"/>
      <c r="H122" s="838"/>
      <c r="I122" s="839"/>
      <c r="J122" s="839"/>
      <c r="K122" s="840"/>
      <c r="L122" s="841"/>
      <c r="M122" s="841"/>
      <c r="N122" s="842"/>
      <c r="O122" s="842"/>
      <c r="P122" s="843"/>
      <c r="Q122" s="843"/>
      <c r="R122" s="843"/>
      <c r="S122" s="844">
        <f t="shared" si="16"/>
        <v>0</v>
      </c>
      <c r="T122" s="838"/>
      <c r="U122" s="842"/>
      <c r="V122" s="843"/>
      <c r="W122" s="843"/>
      <c r="X122" s="843"/>
      <c r="Y122" s="843"/>
      <c r="Z122" s="843"/>
      <c r="AA122" s="837"/>
      <c r="AB122" s="837"/>
      <c r="AC122" s="845">
        <f t="shared" si="17"/>
        <v>0</v>
      </c>
      <c r="AD122" s="846">
        <f t="shared" si="18"/>
        <v>0</v>
      </c>
      <c r="AE122" s="847">
        <f t="shared" si="19"/>
        <v>0</v>
      </c>
      <c r="AF122" s="855">
        <f t="shared" si="12"/>
        <v>0</v>
      </c>
      <c r="AG122" s="848">
        <f>IF('Input Sheet'!$C$15="Yes",'Input Sheet'!$F$8,0)</f>
        <v>0</v>
      </c>
      <c r="AH122" s="846">
        <f>IF('Input Sheet'!$C$15="Yes",Rates!$E$45,0)</f>
        <v>0</v>
      </c>
      <c r="AI122" s="849">
        <f>IF('Input Sheet'!$C$15="Yes",'Input Sheet'!$F$11,0)</f>
        <v>0</v>
      </c>
      <c r="AJ122" s="850">
        <f>IF('Input Sheet'!$C$15="Yes",'Input Sheet'!$F$7,0)</f>
        <v>0</v>
      </c>
      <c r="AK122" s="856">
        <f t="shared" si="13"/>
        <v>0</v>
      </c>
      <c r="AL122" s="856">
        <f t="shared" si="14"/>
        <v>0</v>
      </c>
      <c r="AM122" s="856">
        <f t="shared" si="20"/>
        <v>0</v>
      </c>
      <c r="AN122" s="856">
        <f t="shared" si="15"/>
        <v>0</v>
      </c>
      <c r="AO122" s="852">
        <f t="shared" si="21"/>
        <v>0</v>
      </c>
      <c r="AP122" s="853">
        <f t="shared" si="22"/>
        <v>0</v>
      </c>
      <c r="AQ122" s="854">
        <f>IFERROR(P122*'Input Sheet'!$F$8/(((AI122)*AK122*2)-AN122),0)</f>
        <v>0</v>
      </c>
      <c r="AR122" s="854">
        <f>IFERROR(($P122-$AF122)*'Input Sheet'!$F$8/(((AI122)*AK122*2)-AN122),0)</f>
        <v>0</v>
      </c>
    </row>
    <row r="123" spans="2:44" s="798" customFormat="1" ht="30" customHeight="1" thickBot="1" x14ac:dyDescent="0.3">
      <c r="B123" s="835"/>
      <c r="C123" s="836"/>
      <c r="D123" s="836"/>
      <c r="E123" s="837"/>
      <c r="F123" s="837"/>
      <c r="G123" s="838"/>
      <c r="H123" s="838"/>
      <c r="I123" s="839"/>
      <c r="J123" s="839"/>
      <c r="K123" s="840"/>
      <c r="L123" s="841"/>
      <c r="M123" s="841"/>
      <c r="N123" s="842"/>
      <c r="O123" s="842"/>
      <c r="P123" s="843"/>
      <c r="Q123" s="843"/>
      <c r="R123" s="843"/>
      <c r="S123" s="844">
        <f t="shared" si="16"/>
        <v>0</v>
      </c>
      <c r="T123" s="838"/>
      <c r="U123" s="842"/>
      <c r="V123" s="843"/>
      <c r="W123" s="843"/>
      <c r="X123" s="843"/>
      <c r="Y123" s="843"/>
      <c r="Z123" s="843"/>
      <c r="AA123" s="837"/>
      <c r="AB123" s="837"/>
      <c r="AC123" s="845">
        <f t="shared" si="17"/>
        <v>0</v>
      </c>
      <c r="AD123" s="846">
        <f t="shared" si="18"/>
        <v>0</v>
      </c>
      <c r="AE123" s="847">
        <f t="shared" si="19"/>
        <v>0</v>
      </c>
      <c r="AF123" s="855">
        <f t="shared" si="12"/>
        <v>0</v>
      </c>
      <c r="AG123" s="848">
        <f>IF('Input Sheet'!$C$15="Yes",'Input Sheet'!$F$8,0)</f>
        <v>0</v>
      </c>
      <c r="AH123" s="846">
        <f>IF('Input Sheet'!$C$15="Yes",Rates!$E$45,0)</f>
        <v>0</v>
      </c>
      <c r="AI123" s="849">
        <f>IF('Input Sheet'!$C$15="Yes",'Input Sheet'!$F$11,0)</f>
        <v>0</v>
      </c>
      <c r="AJ123" s="850">
        <f>IF('Input Sheet'!$C$15="Yes",'Input Sheet'!$F$7,0)</f>
        <v>0</v>
      </c>
      <c r="AK123" s="856">
        <f t="shared" si="13"/>
        <v>0</v>
      </c>
      <c r="AL123" s="856">
        <f t="shared" si="14"/>
        <v>0</v>
      </c>
      <c r="AM123" s="856">
        <f t="shared" si="20"/>
        <v>0</v>
      </c>
      <c r="AN123" s="856">
        <f t="shared" si="15"/>
        <v>0</v>
      </c>
      <c r="AO123" s="852">
        <f t="shared" si="21"/>
        <v>0</v>
      </c>
      <c r="AP123" s="853">
        <f t="shared" si="22"/>
        <v>0</v>
      </c>
      <c r="AQ123" s="854">
        <f>IFERROR(P123*'Input Sheet'!$F$8/(((AI123)*AK123*2)-AN123),0)</f>
        <v>0</v>
      </c>
      <c r="AR123" s="854">
        <f>IFERROR(($P123-$AF123)*'Input Sheet'!$F$8/(((AI123)*AK123*2)-AN123),0)</f>
        <v>0</v>
      </c>
    </row>
    <row r="124" spans="2:44" s="798" customFormat="1" ht="30" customHeight="1" thickBot="1" x14ac:dyDescent="0.3">
      <c r="B124" s="835"/>
      <c r="C124" s="836"/>
      <c r="D124" s="836"/>
      <c r="E124" s="837"/>
      <c r="F124" s="837"/>
      <c r="G124" s="838"/>
      <c r="H124" s="838"/>
      <c r="I124" s="839"/>
      <c r="J124" s="839"/>
      <c r="K124" s="840"/>
      <c r="L124" s="841"/>
      <c r="M124" s="841"/>
      <c r="N124" s="842"/>
      <c r="O124" s="842"/>
      <c r="P124" s="843"/>
      <c r="Q124" s="843"/>
      <c r="R124" s="843"/>
      <c r="S124" s="844">
        <f t="shared" si="16"/>
        <v>0</v>
      </c>
      <c r="T124" s="838"/>
      <c r="U124" s="842"/>
      <c r="V124" s="843"/>
      <c r="W124" s="843"/>
      <c r="X124" s="843"/>
      <c r="Y124" s="843"/>
      <c r="Z124" s="843"/>
      <c r="AA124" s="837"/>
      <c r="AB124" s="837"/>
      <c r="AC124" s="845">
        <f t="shared" si="17"/>
        <v>0</v>
      </c>
      <c r="AD124" s="846">
        <f t="shared" si="18"/>
        <v>0</v>
      </c>
      <c r="AE124" s="847">
        <f t="shared" si="19"/>
        <v>0</v>
      </c>
      <c r="AF124" s="855">
        <f t="shared" si="12"/>
        <v>0</v>
      </c>
      <c r="AG124" s="848">
        <f>IF('Input Sheet'!$C$15="Yes",'Input Sheet'!$F$8,0)</f>
        <v>0</v>
      </c>
      <c r="AH124" s="846">
        <f>IF('Input Sheet'!$C$15="Yes",Rates!$E$45,0)</f>
        <v>0</v>
      </c>
      <c r="AI124" s="849">
        <f>IF('Input Sheet'!$C$15="Yes",'Input Sheet'!$F$11,0)</f>
        <v>0</v>
      </c>
      <c r="AJ124" s="850">
        <f>IF('Input Sheet'!$C$15="Yes",'Input Sheet'!$F$7,0)</f>
        <v>0</v>
      </c>
      <c r="AK124" s="856">
        <f t="shared" si="13"/>
        <v>0</v>
      </c>
      <c r="AL124" s="856">
        <f t="shared" si="14"/>
        <v>0</v>
      </c>
      <c r="AM124" s="856">
        <f t="shared" si="20"/>
        <v>0</v>
      </c>
      <c r="AN124" s="856">
        <f t="shared" si="15"/>
        <v>0</v>
      </c>
      <c r="AO124" s="852">
        <f t="shared" si="21"/>
        <v>0</v>
      </c>
      <c r="AP124" s="853">
        <f t="shared" si="22"/>
        <v>0</v>
      </c>
      <c r="AQ124" s="854">
        <f>IFERROR(P124*'Input Sheet'!$F$8/(((AI124)*AK124*2)-AN124),0)</f>
        <v>0</v>
      </c>
      <c r="AR124" s="854">
        <f>IFERROR(($P124-$AF124)*'Input Sheet'!$F$8/(((AI124)*AK124*2)-AN124),0)</f>
        <v>0</v>
      </c>
    </row>
    <row r="125" spans="2:44" s="798" customFormat="1" ht="30" customHeight="1" thickBot="1" x14ac:dyDescent="0.3">
      <c r="B125" s="835"/>
      <c r="C125" s="836"/>
      <c r="D125" s="836"/>
      <c r="E125" s="837"/>
      <c r="F125" s="837"/>
      <c r="G125" s="838"/>
      <c r="H125" s="838"/>
      <c r="I125" s="839"/>
      <c r="J125" s="839"/>
      <c r="K125" s="840"/>
      <c r="L125" s="841"/>
      <c r="M125" s="841"/>
      <c r="N125" s="842"/>
      <c r="O125" s="842"/>
      <c r="P125" s="843"/>
      <c r="Q125" s="843"/>
      <c r="R125" s="843"/>
      <c r="S125" s="844">
        <f t="shared" si="16"/>
        <v>0</v>
      </c>
      <c r="T125" s="838"/>
      <c r="U125" s="842"/>
      <c r="V125" s="843"/>
      <c r="W125" s="843"/>
      <c r="X125" s="843"/>
      <c r="Y125" s="843"/>
      <c r="Z125" s="843"/>
      <c r="AA125" s="837"/>
      <c r="AB125" s="837"/>
      <c r="AC125" s="845">
        <f t="shared" si="17"/>
        <v>0</v>
      </c>
      <c r="AD125" s="846">
        <f t="shared" si="18"/>
        <v>0</v>
      </c>
      <c r="AE125" s="847">
        <f t="shared" si="19"/>
        <v>0</v>
      </c>
      <c r="AF125" s="855">
        <f t="shared" si="12"/>
        <v>0</v>
      </c>
      <c r="AG125" s="848">
        <f>IF('Input Sheet'!$C$15="Yes",'Input Sheet'!$F$8,0)</f>
        <v>0</v>
      </c>
      <c r="AH125" s="846">
        <f>IF('Input Sheet'!$C$15="Yes",Rates!$E$45,0)</f>
        <v>0</v>
      </c>
      <c r="AI125" s="849">
        <f>IF('Input Sheet'!$C$15="Yes",'Input Sheet'!$F$11,0)</f>
        <v>0</v>
      </c>
      <c r="AJ125" s="850">
        <f>IF('Input Sheet'!$C$15="Yes",'Input Sheet'!$F$7,0)</f>
        <v>0</v>
      </c>
      <c r="AK125" s="856">
        <f t="shared" si="13"/>
        <v>0</v>
      </c>
      <c r="AL125" s="856">
        <f t="shared" si="14"/>
        <v>0</v>
      </c>
      <c r="AM125" s="856">
        <f t="shared" si="20"/>
        <v>0</v>
      </c>
      <c r="AN125" s="856">
        <f t="shared" si="15"/>
        <v>0</v>
      </c>
      <c r="AO125" s="852">
        <f t="shared" si="21"/>
        <v>0</v>
      </c>
      <c r="AP125" s="853">
        <f t="shared" si="22"/>
        <v>0</v>
      </c>
      <c r="AQ125" s="854">
        <f>IFERROR(P125*'Input Sheet'!$F$8/(((AI125)*AK125*2)-AN125),0)</f>
        <v>0</v>
      </c>
      <c r="AR125" s="854">
        <f>IFERROR(($P125-$AF125)*'Input Sheet'!$F$8/(((AI125)*AK125*2)-AN125),0)</f>
        <v>0</v>
      </c>
    </row>
    <row r="126" spans="2:44" s="798" customFormat="1" ht="30" customHeight="1" thickBot="1" x14ac:dyDescent="0.3">
      <c r="B126" s="835"/>
      <c r="C126" s="836"/>
      <c r="D126" s="836"/>
      <c r="E126" s="837"/>
      <c r="F126" s="837"/>
      <c r="G126" s="838"/>
      <c r="H126" s="838"/>
      <c r="I126" s="839"/>
      <c r="J126" s="839"/>
      <c r="K126" s="840"/>
      <c r="L126" s="841"/>
      <c r="M126" s="841"/>
      <c r="N126" s="842"/>
      <c r="O126" s="842"/>
      <c r="P126" s="843"/>
      <c r="Q126" s="843"/>
      <c r="R126" s="843"/>
      <c r="S126" s="844">
        <f t="shared" si="16"/>
        <v>0</v>
      </c>
      <c r="T126" s="838"/>
      <c r="U126" s="842"/>
      <c r="V126" s="843"/>
      <c r="W126" s="843"/>
      <c r="X126" s="843"/>
      <c r="Y126" s="843"/>
      <c r="Z126" s="843"/>
      <c r="AA126" s="837"/>
      <c r="AB126" s="837"/>
      <c r="AC126" s="845">
        <f t="shared" si="17"/>
        <v>0</v>
      </c>
      <c r="AD126" s="846">
        <f t="shared" si="18"/>
        <v>0</v>
      </c>
      <c r="AE126" s="847">
        <f t="shared" si="19"/>
        <v>0</v>
      </c>
      <c r="AF126" s="855">
        <f t="shared" si="12"/>
        <v>0</v>
      </c>
      <c r="AG126" s="848">
        <f>IF('Input Sheet'!$C$15="Yes",'Input Sheet'!$F$8,0)</f>
        <v>0</v>
      </c>
      <c r="AH126" s="846">
        <f>IF('Input Sheet'!$C$15="Yes",Rates!$E$45,0)</f>
        <v>0</v>
      </c>
      <c r="AI126" s="849">
        <f>IF('Input Sheet'!$C$15="Yes",'Input Sheet'!$F$11,0)</f>
        <v>0</v>
      </c>
      <c r="AJ126" s="850">
        <f>IF('Input Sheet'!$C$15="Yes",'Input Sheet'!$F$7,0)</f>
        <v>0</v>
      </c>
      <c r="AK126" s="856">
        <f t="shared" si="13"/>
        <v>0</v>
      </c>
      <c r="AL126" s="856">
        <f t="shared" si="14"/>
        <v>0</v>
      </c>
      <c r="AM126" s="856">
        <f t="shared" si="20"/>
        <v>0</v>
      </c>
      <c r="AN126" s="856">
        <f t="shared" si="15"/>
        <v>0</v>
      </c>
      <c r="AO126" s="852">
        <f t="shared" si="21"/>
        <v>0</v>
      </c>
      <c r="AP126" s="853">
        <f t="shared" si="22"/>
        <v>0</v>
      </c>
      <c r="AQ126" s="854">
        <f>IFERROR(P126*'Input Sheet'!$F$8/(((AI126)*AK126*2)-AN126),0)</f>
        <v>0</v>
      </c>
      <c r="AR126" s="854">
        <f>IFERROR(($P126-$AF126)*'Input Sheet'!$F$8/(((AI126)*AK126*2)-AN126),0)</f>
        <v>0</v>
      </c>
    </row>
    <row r="127" spans="2:44" s="798" customFormat="1" ht="30" customHeight="1" thickBot="1" x14ac:dyDescent="0.3">
      <c r="B127" s="835"/>
      <c r="C127" s="836"/>
      <c r="D127" s="836"/>
      <c r="E127" s="837"/>
      <c r="F127" s="837"/>
      <c r="G127" s="838"/>
      <c r="H127" s="838"/>
      <c r="I127" s="839"/>
      <c r="J127" s="839"/>
      <c r="K127" s="840"/>
      <c r="L127" s="841"/>
      <c r="M127" s="841"/>
      <c r="N127" s="842"/>
      <c r="O127" s="842"/>
      <c r="P127" s="843"/>
      <c r="Q127" s="843"/>
      <c r="R127" s="843"/>
      <c r="S127" s="844">
        <f t="shared" si="16"/>
        <v>0</v>
      </c>
      <c r="T127" s="838"/>
      <c r="U127" s="842"/>
      <c r="V127" s="843"/>
      <c r="W127" s="843"/>
      <c r="X127" s="843"/>
      <c r="Y127" s="843"/>
      <c r="Z127" s="843"/>
      <c r="AA127" s="837"/>
      <c r="AB127" s="837"/>
      <c r="AC127" s="845">
        <f t="shared" si="17"/>
        <v>0</v>
      </c>
      <c r="AD127" s="846">
        <f t="shared" si="18"/>
        <v>0</v>
      </c>
      <c r="AE127" s="847">
        <f t="shared" si="19"/>
        <v>0</v>
      </c>
      <c r="AF127" s="855">
        <f t="shared" si="12"/>
        <v>0</v>
      </c>
      <c r="AG127" s="848">
        <f>IF('Input Sheet'!$C$15="Yes",'Input Sheet'!$F$8,0)</f>
        <v>0</v>
      </c>
      <c r="AH127" s="846">
        <f>IF('Input Sheet'!$C$15="Yes",Rates!$E$45,0)</f>
        <v>0</v>
      </c>
      <c r="AI127" s="849">
        <f>IF('Input Sheet'!$C$15="Yes",'Input Sheet'!$F$11,0)</f>
        <v>0</v>
      </c>
      <c r="AJ127" s="850">
        <f>IF('Input Sheet'!$C$15="Yes",'Input Sheet'!$F$7,0)</f>
        <v>0</v>
      </c>
      <c r="AK127" s="856">
        <f t="shared" si="13"/>
        <v>0</v>
      </c>
      <c r="AL127" s="856">
        <f t="shared" si="14"/>
        <v>0</v>
      </c>
      <c r="AM127" s="856">
        <f t="shared" si="20"/>
        <v>0</v>
      </c>
      <c r="AN127" s="856">
        <f t="shared" si="15"/>
        <v>0</v>
      </c>
      <c r="AO127" s="852">
        <f t="shared" si="21"/>
        <v>0</v>
      </c>
      <c r="AP127" s="853">
        <f t="shared" si="22"/>
        <v>0</v>
      </c>
      <c r="AQ127" s="854">
        <f>IFERROR(P127*'Input Sheet'!$F$8/(((AI127)*AK127*2)-AN127),0)</f>
        <v>0</v>
      </c>
      <c r="AR127" s="854">
        <f>IFERROR(($P127-$AF127)*'Input Sheet'!$F$8/(((AI127)*AK127*2)-AN127),0)</f>
        <v>0</v>
      </c>
    </row>
    <row r="128" spans="2:44" s="798" customFormat="1" ht="30" customHeight="1" thickBot="1" x14ac:dyDescent="0.3">
      <c r="B128" s="835"/>
      <c r="C128" s="836"/>
      <c r="D128" s="836"/>
      <c r="E128" s="837"/>
      <c r="F128" s="837"/>
      <c r="G128" s="838"/>
      <c r="H128" s="838"/>
      <c r="I128" s="839"/>
      <c r="J128" s="839"/>
      <c r="K128" s="840"/>
      <c r="L128" s="841"/>
      <c r="M128" s="841"/>
      <c r="N128" s="842"/>
      <c r="O128" s="842"/>
      <c r="P128" s="843"/>
      <c r="Q128" s="843"/>
      <c r="R128" s="843"/>
      <c r="S128" s="844">
        <f t="shared" si="16"/>
        <v>0</v>
      </c>
      <c r="T128" s="838"/>
      <c r="U128" s="842"/>
      <c r="V128" s="843"/>
      <c r="W128" s="843"/>
      <c r="X128" s="843"/>
      <c r="Y128" s="843"/>
      <c r="Z128" s="843"/>
      <c r="AA128" s="837"/>
      <c r="AB128" s="837"/>
      <c r="AC128" s="845">
        <f t="shared" si="17"/>
        <v>0</v>
      </c>
      <c r="AD128" s="846">
        <f t="shared" si="18"/>
        <v>0</v>
      </c>
      <c r="AE128" s="847">
        <f t="shared" si="19"/>
        <v>0</v>
      </c>
      <c r="AF128" s="855">
        <f t="shared" si="12"/>
        <v>0</v>
      </c>
      <c r="AG128" s="848">
        <f>IF('Input Sheet'!$C$15="Yes",'Input Sheet'!$F$8,0)</f>
        <v>0</v>
      </c>
      <c r="AH128" s="846">
        <f>IF('Input Sheet'!$C$15="Yes",Rates!$E$45,0)</f>
        <v>0</v>
      </c>
      <c r="AI128" s="849">
        <f>IF('Input Sheet'!$C$15="Yes",'Input Sheet'!$F$11,0)</f>
        <v>0</v>
      </c>
      <c r="AJ128" s="850">
        <f>IF('Input Sheet'!$C$15="Yes",'Input Sheet'!$F$7,0)</f>
        <v>0</v>
      </c>
      <c r="AK128" s="856">
        <f t="shared" si="13"/>
        <v>0</v>
      </c>
      <c r="AL128" s="856">
        <f t="shared" si="14"/>
        <v>0</v>
      </c>
      <c r="AM128" s="856">
        <f t="shared" si="20"/>
        <v>0</v>
      </c>
      <c r="AN128" s="856">
        <f t="shared" si="15"/>
        <v>0</v>
      </c>
      <c r="AO128" s="852">
        <f t="shared" si="21"/>
        <v>0</v>
      </c>
      <c r="AP128" s="853">
        <f t="shared" si="22"/>
        <v>0</v>
      </c>
      <c r="AQ128" s="854">
        <f>IFERROR(P128*'Input Sheet'!$F$8/(((AI128)*AK128*2)-AN128),0)</f>
        <v>0</v>
      </c>
      <c r="AR128" s="854">
        <f>IFERROR(($P128-$AF128)*'Input Sheet'!$F$8/(((AI128)*AK128*2)-AN128),0)</f>
        <v>0</v>
      </c>
    </row>
    <row r="129" spans="2:44" s="798" customFormat="1" ht="30" customHeight="1" thickBot="1" x14ac:dyDescent="0.3">
      <c r="B129" s="835"/>
      <c r="C129" s="836"/>
      <c r="D129" s="836"/>
      <c r="E129" s="837"/>
      <c r="F129" s="837"/>
      <c r="G129" s="838"/>
      <c r="H129" s="838"/>
      <c r="I129" s="839"/>
      <c r="J129" s="839"/>
      <c r="K129" s="840"/>
      <c r="L129" s="841"/>
      <c r="M129" s="841"/>
      <c r="N129" s="842"/>
      <c r="O129" s="842"/>
      <c r="P129" s="843"/>
      <c r="Q129" s="843"/>
      <c r="R129" s="843"/>
      <c r="S129" s="844">
        <f t="shared" si="16"/>
        <v>0</v>
      </c>
      <c r="T129" s="838"/>
      <c r="U129" s="842"/>
      <c r="V129" s="843"/>
      <c r="W129" s="843"/>
      <c r="X129" s="843"/>
      <c r="Y129" s="843"/>
      <c r="Z129" s="843"/>
      <c r="AA129" s="837"/>
      <c r="AB129" s="837"/>
      <c r="AC129" s="845">
        <f t="shared" si="17"/>
        <v>0</v>
      </c>
      <c r="AD129" s="846">
        <f t="shared" si="18"/>
        <v>0</v>
      </c>
      <c r="AE129" s="847">
        <f t="shared" si="19"/>
        <v>0</v>
      </c>
      <c r="AF129" s="855">
        <f t="shared" si="12"/>
        <v>0</v>
      </c>
      <c r="AG129" s="848">
        <f>IF('Input Sheet'!$C$15="Yes",'Input Sheet'!$F$8,0)</f>
        <v>0</v>
      </c>
      <c r="AH129" s="846">
        <f>IF('Input Sheet'!$C$15="Yes",Rates!$E$45,0)</f>
        <v>0</v>
      </c>
      <c r="AI129" s="849">
        <f>IF('Input Sheet'!$C$15="Yes",'Input Sheet'!$F$11,0)</f>
        <v>0</v>
      </c>
      <c r="AJ129" s="850">
        <f>IF('Input Sheet'!$C$15="Yes",'Input Sheet'!$F$7,0)</f>
        <v>0</v>
      </c>
      <c r="AK129" s="856">
        <f t="shared" si="13"/>
        <v>0</v>
      </c>
      <c r="AL129" s="856">
        <f t="shared" si="14"/>
        <v>0</v>
      </c>
      <c r="AM129" s="856">
        <f t="shared" si="20"/>
        <v>0</v>
      </c>
      <c r="AN129" s="856">
        <f t="shared" si="15"/>
        <v>0</v>
      </c>
      <c r="AO129" s="852">
        <f t="shared" si="21"/>
        <v>0</v>
      </c>
      <c r="AP129" s="853">
        <f t="shared" si="22"/>
        <v>0</v>
      </c>
      <c r="AQ129" s="854">
        <f>IFERROR(P129*'Input Sheet'!$F$8/(((AI129)*AK129*2)-AN129),0)</f>
        <v>0</v>
      </c>
      <c r="AR129" s="854">
        <f>IFERROR(($P129-$AF129)*'Input Sheet'!$F$8/(((AI129)*AK129*2)-AN129),0)</f>
        <v>0</v>
      </c>
    </row>
    <row r="130" spans="2:44" s="798" customFormat="1" ht="30" customHeight="1" thickBot="1" x14ac:dyDescent="0.3">
      <c r="B130" s="835"/>
      <c r="C130" s="836"/>
      <c r="D130" s="836"/>
      <c r="E130" s="837"/>
      <c r="F130" s="837"/>
      <c r="G130" s="838"/>
      <c r="H130" s="838"/>
      <c r="I130" s="839"/>
      <c r="J130" s="839"/>
      <c r="K130" s="840"/>
      <c r="L130" s="841"/>
      <c r="M130" s="841"/>
      <c r="N130" s="842"/>
      <c r="O130" s="842"/>
      <c r="P130" s="843"/>
      <c r="Q130" s="843"/>
      <c r="R130" s="843"/>
      <c r="S130" s="844">
        <f t="shared" si="16"/>
        <v>0</v>
      </c>
      <c r="T130" s="838"/>
      <c r="U130" s="842"/>
      <c r="V130" s="843"/>
      <c r="W130" s="843"/>
      <c r="X130" s="843"/>
      <c r="Y130" s="843"/>
      <c r="Z130" s="843"/>
      <c r="AA130" s="837"/>
      <c r="AB130" s="837"/>
      <c r="AC130" s="845">
        <f t="shared" si="17"/>
        <v>0</v>
      </c>
      <c r="AD130" s="846">
        <f t="shared" si="18"/>
        <v>0</v>
      </c>
      <c r="AE130" s="847">
        <f t="shared" si="19"/>
        <v>0</v>
      </c>
      <c r="AF130" s="855">
        <f t="shared" si="12"/>
        <v>0</v>
      </c>
      <c r="AG130" s="848">
        <f>IF('Input Sheet'!$C$15="Yes",'Input Sheet'!$F$8,0)</f>
        <v>0</v>
      </c>
      <c r="AH130" s="846">
        <f>IF('Input Sheet'!$C$15="Yes",Rates!$E$45,0)</f>
        <v>0</v>
      </c>
      <c r="AI130" s="849">
        <f>IF('Input Sheet'!$C$15="Yes",'Input Sheet'!$F$11,0)</f>
        <v>0</v>
      </c>
      <c r="AJ130" s="850">
        <f>IF('Input Sheet'!$C$15="Yes",'Input Sheet'!$F$7,0)</f>
        <v>0</v>
      </c>
      <c r="AK130" s="856">
        <f t="shared" si="13"/>
        <v>0</v>
      </c>
      <c r="AL130" s="856">
        <f t="shared" si="14"/>
        <v>0</v>
      </c>
      <c r="AM130" s="856">
        <f t="shared" si="20"/>
        <v>0</v>
      </c>
      <c r="AN130" s="856">
        <f t="shared" si="15"/>
        <v>0</v>
      </c>
      <c r="AO130" s="852">
        <f t="shared" si="21"/>
        <v>0</v>
      </c>
      <c r="AP130" s="853">
        <f t="shared" si="22"/>
        <v>0</v>
      </c>
      <c r="AQ130" s="854">
        <f>IFERROR(P130*'Input Sheet'!$F$8/(((AI130)*AK130*2)-AN130),0)</f>
        <v>0</v>
      </c>
      <c r="AR130" s="854">
        <f>IFERROR(($P130-$AF130)*'Input Sheet'!$F$8/(((AI130)*AK130*2)-AN130),0)</f>
        <v>0</v>
      </c>
    </row>
    <row r="131" spans="2:44" s="798" customFormat="1" ht="30" customHeight="1" thickBot="1" x14ac:dyDescent="0.3">
      <c r="B131" s="835"/>
      <c r="C131" s="836"/>
      <c r="D131" s="836"/>
      <c r="E131" s="837"/>
      <c r="F131" s="837"/>
      <c r="G131" s="838"/>
      <c r="H131" s="838"/>
      <c r="I131" s="839"/>
      <c r="J131" s="839"/>
      <c r="K131" s="840"/>
      <c r="L131" s="841"/>
      <c r="M131" s="841"/>
      <c r="N131" s="842"/>
      <c r="O131" s="842"/>
      <c r="P131" s="843"/>
      <c r="Q131" s="843"/>
      <c r="R131" s="843"/>
      <c r="S131" s="844">
        <f t="shared" si="16"/>
        <v>0</v>
      </c>
      <c r="T131" s="838"/>
      <c r="U131" s="842"/>
      <c r="V131" s="843"/>
      <c r="W131" s="843"/>
      <c r="X131" s="843"/>
      <c r="Y131" s="843"/>
      <c r="Z131" s="843"/>
      <c r="AA131" s="837"/>
      <c r="AB131" s="837"/>
      <c r="AC131" s="845">
        <f t="shared" si="17"/>
        <v>0</v>
      </c>
      <c r="AD131" s="846">
        <f t="shared" si="18"/>
        <v>0</v>
      </c>
      <c r="AE131" s="847">
        <f t="shared" si="19"/>
        <v>0</v>
      </c>
      <c r="AF131" s="855">
        <f t="shared" si="12"/>
        <v>0</v>
      </c>
      <c r="AG131" s="848">
        <f>IF('Input Sheet'!$C$15="Yes",'Input Sheet'!$F$8,0)</f>
        <v>0</v>
      </c>
      <c r="AH131" s="846">
        <f>IF('Input Sheet'!$C$15="Yes",Rates!$E$45,0)</f>
        <v>0</v>
      </c>
      <c r="AI131" s="849">
        <f>IF('Input Sheet'!$C$15="Yes",'Input Sheet'!$F$11,0)</f>
        <v>0</v>
      </c>
      <c r="AJ131" s="850">
        <f>IF('Input Sheet'!$C$15="Yes",'Input Sheet'!$F$7,0)</f>
        <v>0</v>
      </c>
      <c r="AK131" s="856">
        <f t="shared" si="13"/>
        <v>0</v>
      </c>
      <c r="AL131" s="856">
        <f t="shared" si="14"/>
        <v>0</v>
      </c>
      <c r="AM131" s="856">
        <f t="shared" si="20"/>
        <v>0</v>
      </c>
      <c r="AN131" s="856">
        <f t="shared" si="15"/>
        <v>0</v>
      </c>
      <c r="AO131" s="852">
        <f t="shared" si="21"/>
        <v>0</v>
      </c>
      <c r="AP131" s="853">
        <f t="shared" si="22"/>
        <v>0</v>
      </c>
      <c r="AQ131" s="854">
        <f>IFERROR(P131*'Input Sheet'!$F$8/(((AI131)*AK131*2)-AN131),0)</f>
        <v>0</v>
      </c>
      <c r="AR131" s="854">
        <f>IFERROR(($P131-$AF131)*'Input Sheet'!$F$8/(((AI131)*AK131*2)-AN131),0)</f>
        <v>0</v>
      </c>
    </row>
    <row r="132" spans="2:44" s="798" customFormat="1" ht="30" customHeight="1" thickBot="1" x14ac:dyDescent="0.3">
      <c r="B132" s="835"/>
      <c r="C132" s="836"/>
      <c r="D132" s="836"/>
      <c r="E132" s="837"/>
      <c r="F132" s="837"/>
      <c r="G132" s="838"/>
      <c r="H132" s="838"/>
      <c r="I132" s="839"/>
      <c r="J132" s="839"/>
      <c r="K132" s="840"/>
      <c r="L132" s="841"/>
      <c r="M132" s="841"/>
      <c r="N132" s="842"/>
      <c r="O132" s="842"/>
      <c r="P132" s="843"/>
      <c r="Q132" s="843"/>
      <c r="R132" s="843"/>
      <c r="S132" s="844">
        <f t="shared" si="16"/>
        <v>0</v>
      </c>
      <c r="T132" s="838"/>
      <c r="U132" s="842"/>
      <c r="V132" s="843"/>
      <c r="W132" s="843"/>
      <c r="X132" s="843"/>
      <c r="Y132" s="843"/>
      <c r="Z132" s="843"/>
      <c r="AA132" s="837"/>
      <c r="AB132" s="837"/>
      <c r="AC132" s="845">
        <f t="shared" si="17"/>
        <v>0</v>
      </c>
      <c r="AD132" s="846">
        <f t="shared" si="18"/>
        <v>0</v>
      </c>
      <c r="AE132" s="847">
        <f t="shared" si="19"/>
        <v>0</v>
      </c>
      <c r="AF132" s="855">
        <f t="shared" si="12"/>
        <v>0</v>
      </c>
      <c r="AG132" s="848">
        <f>IF('Input Sheet'!$C$15="Yes",'Input Sheet'!$F$8,0)</f>
        <v>0</v>
      </c>
      <c r="AH132" s="846">
        <f>IF('Input Sheet'!$C$15="Yes",Rates!$E$45,0)</f>
        <v>0</v>
      </c>
      <c r="AI132" s="849">
        <f>IF('Input Sheet'!$C$15="Yes",'Input Sheet'!$F$11,0)</f>
        <v>0</v>
      </c>
      <c r="AJ132" s="850">
        <f>IF('Input Sheet'!$C$15="Yes",'Input Sheet'!$F$7,0)</f>
        <v>0</v>
      </c>
      <c r="AK132" s="856">
        <f t="shared" si="13"/>
        <v>0</v>
      </c>
      <c r="AL132" s="856">
        <f t="shared" si="14"/>
        <v>0</v>
      </c>
      <c r="AM132" s="856">
        <f t="shared" si="20"/>
        <v>0</v>
      </c>
      <c r="AN132" s="856">
        <f t="shared" si="15"/>
        <v>0</v>
      </c>
      <c r="AO132" s="852">
        <f t="shared" si="21"/>
        <v>0</v>
      </c>
      <c r="AP132" s="853">
        <f t="shared" si="22"/>
        <v>0</v>
      </c>
      <c r="AQ132" s="854">
        <f>IFERROR(P132*'Input Sheet'!$F$8/(((AI132)*AK132*2)-AN132),0)</f>
        <v>0</v>
      </c>
      <c r="AR132" s="854">
        <f>IFERROR(($P132-$AF132)*'Input Sheet'!$F$8/(((AI132)*AK132*2)-AN132),0)</f>
        <v>0</v>
      </c>
    </row>
    <row r="133" spans="2:44" s="798" customFormat="1" ht="30" customHeight="1" thickBot="1" x14ac:dyDescent="0.3">
      <c r="B133" s="835"/>
      <c r="C133" s="836"/>
      <c r="D133" s="836"/>
      <c r="E133" s="837"/>
      <c r="F133" s="837"/>
      <c r="G133" s="838"/>
      <c r="H133" s="838"/>
      <c r="I133" s="839"/>
      <c r="J133" s="839"/>
      <c r="K133" s="840"/>
      <c r="L133" s="841"/>
      <c r="M133" s="841"/>
      <c r="N133" s="842"/>
      <c r="O133" s="842"/>
      <c r="P133" s="843"/>
      <c r="Q133" s="843"/>
      <c r="R133" s="843"/>
      <c r="S133" s="844">
        <f t="shared" si="16"/>
        <v>0</v>
      </c>
      <c r="T133" s="838"/>
      <c r="U133" s="842"/>
      <c r="V133" s="843"/>
      <c r="W133" s="843"/>
      <c r="X133" s="843"/>
      <c r="Y133" s="843"/>
      <c r="Z133" s="843"/>
      <c r="AA133" s="837"/>
      <c r="AB133" s="837"/>
      <c r="AC133" s="845">
        <f t="shared" si="17"/>
        <v>0</v>
      </c>
      <c r="AD133" s="846">
        <f t="shared" si="18"/>
        <v>0</v>
      </c>
      <c r="AE133" s="847">
        <f t="shared" si="19"/>
        <v>0</v>
      </c>
      <c r="AF133" s="855">
        <f t="shared" si="12"/>
        <v>0</v>
      </c>
      <c r="AG133" s="848">
        <f>IF('Input Sheet'!$C$15="Yes",'Input Sheet'!$F$8,0)</f>
        <v>0</v>
      </c>
      <c r="AH133" s="846">
        <f>IF('Input Sheet'!$C$15="Yes",Rates!$E$45,0)</f>
        <v>0</v>
      </c>
      <c r="AI133" s="849">
        <f>IF('Input Sheet'!$C$15="Yes",'Input Sheet'!$F$11,0)</f>
        <v>0</v>
      </c>
      <c r="AJ133" s="850">
        <f>IF('Input Sheet'!$C$15="Yes",'Input Sheet'!$F$7,0)</f>
        <v>0</v>
      </c>
      <c r="AK133" s="856">
        <f t="shared" si="13"/>
        <v>0</v>
      </c>
      <c r="AL133" s="856">
        <f t="shared" si="14"/>
        <v>0</v>
      </c>
      <c r="AM133" s="856">
        <f t="shared" si="20"/>
        <v>0</v>
      </c>
      <c r="AN133" s="856">
        <f t="shared" si="15"/>
        <v>0</v>
      </c>
      <c r="AO133" s="852">
        <f t="shared" si="21"/>
        <v>0</v>
      </c>
      <c r="AP133" s="853">
        <f t="shared" si="22"/>
        <v>0</v>
      </c>
      <c r="AQ133" s="854">
        <f>IFERROR(P133*'Input Sheet'!$F$8/(((AI133)*AK133*2)-AN133),0)</f>
        <v>0</v>
      </c>
      <c r="AR133" s="854">
        <f>IFERROR(($P133-$AF133)*'Input Sheet'!$F$8/(((AI133)*AK133*2)-AN133),0)</f>
        <v>0</v>
      </c>
    </row>
    <row r="134" spans="2:44" s="798" customFormat="1" ht="30" customHeight="1" thickBot="1" x14ac:dyDescent="0.3">
      <c r="B134" s="835"/>
      <c r="C134" s="836"/>
      <c r="D134" s="836"/>
      <c r="E134" s="837"/>
      <c r="F134" s="837"/>
      <c r="G134" s="838"/>
      <c r="H134" s="838"/>
      <c r="I134" s="839"/>
      <c r="J134" s="839"/>
      <c r="K134" s="840"/>
      <c r="L134" s="841"/>
      <c r="M134" s="841"/>
      <c r="N134" s="842"/>
      <c r="O134" s="842"/>
      <c r="P134" s="843"/>
      <c r="Q134" s="843"/>
      <c r="R134" s="843"/>
      <c r="S134" s="844">
        <f t="shared" si="16"/>
        <v>0</v>
      </c>
      <c r="T134" s="838"/>
      <c r="U134" s="842"/>
      <c r="V134" s="843"/>
      <c r="W134" s="843"/>
      <c r="X134" s="843"/>
      <c r="Y134" s="843"/>
      <c r="Z134" s="843"/>
      <c r="AA134" s="837"/>
      <c r="AB134" s="837"/>
      <c r="AC134" s="845">
        <f t="shared" si="17"/>
        <v>0</v>
      </c>
      <c r="AD134" s="846">
        <f t="shared" si="18"/>
        <v>0</v>
      </c>
      <c r="AE134" s="847">
        <f t="shared" si="19"/>
        <v>0</v>
      </c>
      <c r="AF134" s="855">
        <f t="shared" si="12"/>
        <v>0</v>
      </c>
      <c r="AG134" s="848">
        <f>IF('Input Sheet'!$C$15="Yes",'Input Sheet'!$F$8,0)</f>
        <v>0</v>
      </c>
      <c r="AH134" s="846">
        <f>IF('Input Sheet'!$C$15="Yes",Rates!$E$45,0)</f>
        <v>0</v>
      </c>
      <c r="AI134" s="849">
        <f>IF('Input Sheet'!$C$15="Yes",'Input Sheet'!$F$11,0)</f>
        <v>0</v>
      </c>
      <c r="AJ134" s="850">
        <f>IF('Input Sheet'!$C$15="Yes",'Input Sheet'!$F$7,0)</f>
        <v>0</v>
      </c>
      <c r="AK134" s="856">
        <f t="shared" si="13"/>
        <v>0</v>
      </c>
      <c r="AL134" s="856">
        <f t="shared" si="14"/>
        <v>0</v>
      </c>
      <c r="AM134" s="856">
        <f t="shared" si="20"/>
        <v>0</v>
      </c>
      <c r="AN134" s="856">
        <f t="shared" si="15"/>
        <v>0</v>
      </c>
      <c r="AO134" s="852">
        <f t="shared" si="21"/>
        <v>0</v>
      </c>
      <c r="AP134" s="853">
        <f t="shared" si="22"/>
        <v>0</v>
      </c>
      <c r="AQ134" s="854">
        <f>IFERROR(P134*'Input Sheet'!$F$8/(((AI134)*AK134*2)-AN134),0)</f>
        <v>0</v>
      </c>
      <c r="AR134" s="854">
        <f>IFERROR(($P134-$AF134)*'Input Sheet'!$F$8/(((AI134)*AK134*2)-AN134),0)</f>
        <v>0</v>
      </c>
    </row>
    <row r="135" spans="2:44" s="798" customFormat="1" ht="30" customHeight="1" thickBot="1" x14ac:dyDescent="0.3">
      <c r="B135" s="835"/>
      <c r="C135" s="836"/>
      <c r="D135" s="836"/>
      <c r="E135" s="837"/>
      <c r="F135" s="837"/>
      <c r="G135" s="838"/>
      <c r="H135" s="838"/>
      <c r="I135" s="839"/>
      <c r="J135" s="839"/>
      <c r="K135" s="840"/>
      <c r="L135" s="841"/>
      <c r="M135" s="841"/>
      <c r="N135" s="842"/>
      <c r="O135" s="842"/>
      <c r="P135" s="843"/>
      <c r="Q135" s="843"/>
      <c r="R135" s="843"/>
      <c r="S135" s="844">
        <f t="shared" si="16"/>
        <v>0</v>
      </c>
      <c r="T135" s="838"/>
      <c r="U135" s="842"/>
      <c r="V135" s="843"/>
      <c r="W135" s="843"/>
      <c r="X135" s="843"/>
      <c r="Y135" s="843"/>
      <c r="Z135" s="843"/>
      <c r="AA135" s="837"/>
      <c r="AB135" s="837"/>
      <c r="AC135" s="845">
        <f t="shared" si="17"/>
        <v>0</v>
      </c>
      <c r="AD135" s="846">
        <f t="shared" si="18"/>
        <v>0</v>
      </c>
      <c r="AE135" s="847">
        <f t="shared" si="19"/>
        <v>0</v>
      </c>
      <c r="AF135" s="855">
        <f t="shared" si="12"/>
        <v>0</v>
      </c>
      <c r="AG135" s="848">
        <f>IF('Input Sheet'!$C$15="Yes",'Input Sheet'!$F$8,0)</f>
        <v>0</v>
      </c>
      <c r="AH135" s="846">
        <f>IF('Input Sheet'!$C$15="Yes",Rates!$E$45,0)</f>
        <v>0</v>
      </c>
      <c r="AI135" s="849">
        <f>IF('Input Sheet'!$C$15="Yes",'Input Sheet'!$F$11,0)</f>
        <v>0</v>
      </c>
      <c r="AJ135" s="850">
        <f>IF('Input Sheet'!$C$15="Yes",'Input Sheet'!$F$7,0)</f>
        <v>0</v>
      </c>
      <c r="AK135" s="856">
        <f t="shared" si="13"/>
        <v>0</v>
      </c>
      <c r="AL135" s="856">
        <f t="shared" si="14"/>
        <v>0</v>
      </c>
      <c r="AM135" s="856">
        <f t="shared" si="20"/>
        <v>0</v>
      </c>
      <c r="AN135" s="856">
        <f t="shared" si="15"/>
        <v>0</v>
      </c>
      <c r="AO135" s="852">
        <f t="shared" si="21"/>
        <v>0</v>
      </c>
      <c r="AP135" s="853">
        <f t="shared" si="22"/>
        <v>0</v>
      </c>
      <c r="AQ135" s="854">
        <f>IFERROR(P135*'Input Sheet'!$F$8/(((AI135)*AK135*2)-AN135),0)</f>
        <v>0</v>
      </c>
      <c r="AR135" s="854">
        <f>IFERROR(($P135-$AF135)*'Input Sheet'!$F$8/(((AI135)*AK135*2)-AN135),0)</f>
        <v>0</v>
      </c>
    </row>
    <row r="136" spans="2:44" s="798" customFormat="1" ht="30" customHeight="1" thickBot="1" x14ac:dyDescent="0.3">
      <c r="B136" s="835"/>
      <c r="C136" s="836"/>
      <c r="D136" s="836"/>
      <c r="E136" s="837"/>
      <c r="F136" s="837"/>
      <c r="G136" s="838"/>
      <c r="H136" s="838"/>
      <c r="I136" s="839"/>
      <c r="J136" s="839"/>
      <c r="K136" s="840"/>
      <c r="L136" s="841"/>
      <c r="M136" s="841"/>
      <c r="N136" s="842"/>
      <c r="O136" s="842"/>
      <c r="P136" s="843"/>
      <c r="Q136" s="843"/>
      <c r="R136" s="843"/>
      <c r="S136" s="844">
        <f t="shared" si="16"/>
        <v>0</v>
      </c>
      <c r="T136" s="838"/>
      <c r="U136" s="842"/>
      <c r="V136" s="843"/>
      <c r="W136" s="843"/>
      <c r="X136" s="843"/>
      <c r="Y136" s="843"/>
      <c r="Z136" s="843"/>
      <c r="AA136" s="837"/>
      <c r="AB136" s="837"/>
      <c r="AC136" s="845">
        <f t="shared" si="17"/>
        <v>0</v>
      </c>
      <c r="AD136" s="846">
        <f t="shared" si="18"/>
        <v>0</v>
      </c>
      <c r="AE136" s="847">
        <f t="shared" si="19"/>
        <v>0</v>
      </c>
      <c r="AF136" s="855">
        <f t="shared" si="12"/>
        <v>0</v>
      </c>
      <c r="AG136" s="848">
        <f>IF('Input Sheet'!$C$15="Yes",'Input Sheet'!$F$8,0)</f>
        <v>0</v>
      </c>
      <c r="AH136" s="846">
        <f>IF('Input Sheet'!$C$15="Yes",Rates!$E$45,0)</f>
        <v>0</v>
      </c>
      <c r="AI136" s="849">
        <f>IF('Input Sheet'!$C$15="Yes",'Input Sheet'!$F$11,0)</f>
        <v>0</v>
      </c>
      <c r="AJ136" s="850">
        <f>IF('Input Sheet'!$C$15="Yes",'Input Sheet'!$F$7,0)</f>
        <v>0</v>
      </c>
      <c r="AK136" s="856">
        <f t="shared" si="13"/>
        <v>0</v>
      </c>
      <c r="AL136" s="856">
        <f t="shared" si="14"/>
        <v>0</v>
      </c>
      <c r="AM136" s="856">
        <f t="shared" si="20"/>
        <v>0</v>
      </c>
      <c r="AN136" s="856">
        <f t="shared" si="15"/>
        <v>0</v>
      </c>
      <c r="AO136" s="852">
        <f t="shared" si="21"/>
        <v>0</v>
      </c>
      <c r="AP136" s="853">
        <f t="shared" si="22"/>
        <v>0</v>
      </c>
      <c r="AQ136" s="854">
        <f>IFERROR(P136*'Input Sheet'!$F$8/(((AI136)*AK136*2)-AN136),0)</f>
        <v>0</v>
      </c>
      <c r="AR136" s="854">
        <f>IFERROR(($P136-$AF136)*'Input Sheet'!$F$8/(((AI136)*AK136*2)-AN136),0)</f>
        <v>0</v>
      </c>
    </row>
    <row r="137" spans="2:44" s="798" customFormat="1" ht="30" customHeight="1" thickBot="1" x14ac:dyDescent="0.3">
      <c r="B137" s="835"/>
      <c r="C137" s="836"/>
      <c r="D137" s="836"/>
      <c r="E137" s="837"/>
      <c r="F137" s="837"/>
      <c r="G137" s="838"/>
      <c r="H137" s="838"/>
      <c r="I137" s="839"/>
      <c r="J137" s="839"/>
      <c r="K137" s="840"/>
      <c r="L137" s="841"/>
      <c r="M137" s="841"/>
      <c r="N137" s="842"/>
      <c r="O137" s="842"/>
      <c r="P137" s="843"/>
      <c r="Q137" s="843"/>
      <c r="R137" s="843"/>
      <c r="S137" s="844">
        <f t="shared" si="16"/>
        <v>0</v>
      </c>
      <c r="T137" s="838"/>
      <c r="U137" s="842"/>
      <c r="V137" s="843"/>
      <c r="W137" s="843"/>
      <c r="X137" s="843"/>
      <c r="Y137" s="843"/>
      <c r="Z137" s="843"/>
      <c r="AA137" s="837"/>
      <c r="AB137" s="837"/>
      <c r="AC137" s="845">
        <f t="shared" si="17"/>
        <v>0</v>
      </c>
      <c r="AD137" s="846">
        <f t="shared" si="18"/>
        <v>0</v>
      </c>
      <c r="AE137" s="847">
        <f t="shared" si="19"/>
        <v>0</v>
      </c>
      <c r="AF137" s="855">
        <f t="shared" ref="AF137:AF200" si="23">SUM($Q137:$W137)</f>
        <v>0</v>
      </c>
      <c r="AG137" s="848">
        <f>IF('Input Sheet'!$C$15="Yes",'Input Sheet'!$F$8,0)</f>
        <v>0</v>
      </c>
      <c r="AH137" s="846">
        <f>IF('Input Sheet'!$C$15="Yes",Rates!$E$45,0)</f>
        <v>0</v>
      </c>
      <c r="AI137" s="849">
        <f>IF('Input Sheet'!$C$15="Yes",'Input Sheet'!$F$11,0)</f>
        <v>0</v>
      </c>
      <c r="AJ137" s="850">
        <f>IF('Input Sheet'!$C$15="Yes",'Input Sheet'!$F$7,0)</f>
        <v>0</v>
      </c>
      <c r="AK137" s="856">
        <f t="shared" ref="AK137:AK200" si="24">L137*S137</f>
        <v>0</v>
      </c>
      <c r="AL137" s="856">
        <f t="shared" ref="AL137:AL200" si="25">(AK137)-(AK137*AH137)-(AK137*AP137*(AJ137/12))</f>
        <v>0</v>
      </c>
      <c r="AM137" s="856">
        <f t="shared" si="20"/>
        <v>0</v>
      </c>
      <c r="AN137" s="856">
        <f t="shared" ref="AN137:AN200" si="26">AK137*AP137*AJ137/12</f>
        <v>0</v>
      </c>
      <c r="AO137" s="852">
        <f t="shared" si="21"/>
        <v>0</v>
      </c>
      <c r="AP137" s="853">
        <f t="shared" si="22"/>
        <v>0</v>
      </c>
      <c r="AQ137" s="854">
        <f>IFERROR(P137*'Input Sheet'!$F$8/(((AI137)*AK137*2)-AN137),0)</f>
        <v>0</v>
      </c>
      <c r="AR137" s="854">
        <f>IFERROR(($P137-$AF137)*'Input Sheet'!$F$8/(((AI137)*AK137*2)-AN137),0)</f>
        <v>0</v>
      </c>
    </row>
    <row r="138" spans="2:44" s="798" customFormat="1" ht="30" customHeight="1" thickBot="1" x14ac:dyDescent="0.3">
      <c r="B138" s="835"/>
      <c r="C138" s="836"/>
      <c r="D138" s="836"/>
      <c r="E138" s="837"/>
      <c r="F138" s="837"/>
      <c r="G138" s="838"/>
      <c r="H138" s="838"/>
      <c r="I138" s="839"/>
      <c r="J138" s="839"/>
      <c r="K138" s="840"/>
      <c r="L138" s="841"/>
      <c r="M138" s="841"/>
      <c r="N138" s="842"/>
      <c r="O138" s="842"/>
      <c r="P138" s="843"/>
      <c r="Q138" s="843"/>
      <c r="R138" s="843"/>
      <c r="S138" s="844">
        <f t="shared" ref="S138:S201" si="27">IFERROR(M138/L138,0)</f>
        <v>0</v>
      </c>
      <c r="T138" s="838"/>
      <c r="U138" s="842"/>
      <c r="V138" s="843"/>
      <c r="W138" s="843"/>
      <c r="X138" s="843"/>
      <c r="Y138" s="843"/>
      <c r="Z138" s="843"/>
      <c r="AA138" s="837"/>
      <c r="AB138" s="837"/>
      <c r="AC138" s="845">
        <f t="shared" ref="AC138:AC201" si="28">IFERROR(L138/K138,0)</f>
        <v>0</v>
      </c>
      <c r="AD138" s="846">
        <f t="shared" ref="AD138:AD201" si="29">IFERROR(P138*12/L138,0)</f>
        <v>0</v>
      </c>
      <c r="AE138" s="847">
        <f t="shared" ref="AE138:AE201" si="30">IFERROR(P138*12/K138,0)</f>
        <v>0</v>
      </c>
      <c r="AF138" s="855">
        <f t="shared" si="23"/>
        <v>0</v>
      </c>
      <c r="AG138" s="848">
        <f>IF('Input Sheet'!$C$15="Yes",'Input Sheet'!$F$8,0)</f>
        <v>0</v>
      </c>
      <c r="AH138" s="846">
        <f>IF('Input Sheet'!$C$15="Yes",Rates!$E$45,0)</f>
        <v>0</v>
      </c>
      <c r="AI138" s="849">
        <f>IF('Input Sheet'!$C$15="Yes",'Input Sheet'!$F$11,0)</f>
        <v>0</v>
      </c>
      <c r="AJ138" s="850">
        <f>IF('Input Sheet'!$C$15="Yes",'Input Sheet'!$F$7,0)</f>
        <v>0</v>
      </c>
      <c r="AK138" s="856">
        <f t="shared" si="24"/>
        <v>0</v>
      </c>
      <c r="AL138" s="856">
        <f t="shared" si="25"/>
        <v>0</v>
      </c>
      <c r="AM138" s="856">
        <f t="shared" ref="AM138:AM201" si="31">(AL138)+(AK138*0.75%)</f>
        <v>0</v>
      </c>
      <c r="AN138" s="856">
        <f t="shared" si="26"/>
        <v>0</v>
      </c>
      <c r="AO138" s="852">
        <f t="shared" ref="AO138:AO201" si="32">IFERROR(AM138/L138,0)</f>
        <v>0</v>
      </c>
      <c r="AP138" s="853">
        <f t="shared" ref="AP138:AP201" si="33">AI138</f>
        <v>0</v>
      </c>
      <c r="AQ138" s="854">
        <f>IFERROR(P138*'Input Sheet'!$F$8/(((AI138)*AK138*2)-AN138),0)</f>
        <v>0</v>
      </c>
      <c r="AR138" s="854">
        <f>IFERROR(($P138-$AF138)*'Input Sheet'!$F$8/(((AI138)*AK138*2)-AN138),0)</f>
        <v>0</v>
      </c>
    </row>
    <row r="139" spans="2:44" s="798" customFormat="1" ht="30" customHeight="1" thickBot="1" x14ac:dyDescent="0.3">
      <c r="B139" s="835"/>
      <c r="C139" s="836"/>
      <c r="D139" s="836"/>
      <c r="E139" s="837"/>
      <c r="F139" s="837"/>
      <c r="G139" s="838"/>
      <c r="H139" s="838"/>
      <c r="I139" s="839"/>
      <c r="J139" s="839"/>
      <c r="K139" s="840"/>
      <c r="L139" s="841"/>
      <c r="M139" s="841"/>
      <c r="N139" s="842"/>
      <c r="O139" s="842"/>
      <c r="P139" s="843"/>
      <c r="Q139" s="843"/>
      <c r="R139" s="843"/>
      <c r="S139" s="844">
        <f t="shared" si="27"/>
        <v>0</v>
      </c>
      <c r="T139" s="838"/>
      <c r="U139" s="842"/>
      <c r="V139" s="843"/>
      <c r="W139" s="843"/>
      <c r="X139" s="843"/>
      <c r="Y139" s="843"/>
      <c r="Z139" s="843"/>
      <c r="AA139" s="837"/>
      <c r="AB139" s="837"/>
      <c r="AC139" s="845">
        <f t="shared" si="28"/>
        <v>0</v>
      </c>
      <c r="AD139" s="846">
        <f t="shared" si="29"/>
        <v>0</v>
      </c>
      <c r="AE139" s="847">
        <f t="shared" si="30"/>
        <v>0</v>
      </c>
      <c r="AF139" s="855">
        <f t="shared" si="23"/>
        <v>0</v>
      </c>
      <c r="AG139" s="848">
        <f>IF('Input Sheet'!$C$15="Yes",'Input Sheet'!$F$8,0)</f>
        <v>0</v>
      </c>
      <c r="AH139" s="846">
        <f>IF('Input Sheet'!$C$15="Yes",Rates!$E$45,0)</f>
        <v>0</v>
      </c>
      <c r="AI139" s="849">
        <f>IF('Input Sheet'!$C$15="Yes",'Input Sheet'!$F$11,0)</f>
        <v>0</v>
      </c>
      <c r="AJ139" s="850">
        <f>IF('Input Sheet'!$C$15="Yes",'Input Sheet'!$F$7,0)</f>
        <v>0</v>
      </c>
      <c r="AK139" s="856">
        <f t="shared" si="24"/>
        <v>0</v>
      </c>
      <c r="AL139" s="856">
        <f t="shared" si="25"/>
        <v>0</v>
      </c>
      <c r="AM139" s="856">
        <f t="shared" si="31"/>
        <v>0</v>
      </c>
      <c r="AN139" s="856">
        <f t="shared" si="26"/>
        <v>0</v>
      </c>
      <c r="AO139" s="852">
        <f t="shared" si="32"/>
        <v>0</v>
      </c>
      <c r="AP139" s="853">
        <f t="shared" si="33"/>
        <v>0</v>
      </c>
      <c r="AQ139" s="854">
        <f>IFERROR(P139*'Input Sheet'!$F$8/(((AI139)*AK139*2)-AN139),0)</f>
        <v>0</v>
      </c>
      <c r="AR139" s="854">
        <f>IFERROR(($P139-$AF139)*'Input Sheet'!$F$8/(((AI139)*AK139*2)-AN139),0)</f>
        <v>0</v>
      </c>
    </row>
    <row r="140" spans="2:44" s="798" customFormat="1" ht="30" customHeight="1" thickBot="1" x14ac:dyDescent="0.3">
      <c r="B140" s="835"/>
      <c r="C140" s="836"/>
      <c r="D140" s="836"/>
      <c r="E140" s="837"/>
      <c r="F140" s="837"/>
      <c r="G140" s="838"/>
      <c r="H140" s="838"/>
      <c r="I140" s="839"/>
      <c r="J140" s="839"/>
      <c r="K140" s="840"/>
      <c r="L140" s="841"/>
      <c r="M140" s="841"/>
      <c r="N140" s="842"/>
      <c r="O140" s="842"/>
      <c r="P140" s="843"/>
      <c r="Q140" s="843"/>
      <c r="R140" s="843"/>
      <c r="S140" s="844">
        <f t="shared" si="27"/>
        <v>0</v>
      </c>
      <c r="T140" s="838"/>
      <c r="U140" s="842"/>
      <c r="V140" s="843"/>
      <c r="W140" s="843"/>
      <c r="X140" s="843"/>
      <c r="Y140" s="843"/>
      <c r="Z140" s="843"/>
      <c r="AA140" s="837"/>
      <c r="AB140" s="837"/>
      <c r="AC140" s="845">
        <f t="shared" si="28"/>
        <v>0</v>
      </c>
      <c r="AD140" s="846">
        <f t="shared" si="29"/>
        <v>0</v>
      </c>
      <c r="AE140" s="847">
        <f t="shared" si="30"/>
        <v>0</v>
      </c>
      <c r="AF140" s="855">
        <f t="shared" si="23"/>
        <v>0</v>
      </c>
      <c r="AG140" s="848">
        <f>IF('Input Sheet'!$C$15="Yes",'Input Sheet'!$F$8,0)</f>
        <v>0</v>
      </c>
      <c r="AH140" s="846">
        <f>IF('Input Sheet'!$C$15="Yes",Rates!$E$45,0)</f>
        <v>0</v>
      </c>
      <c r="AI140" s="849">
        <f>IF('Input Sheet'!$C$15="Yes",'Input Sheet'!$F$11,0)</f>
        <v>0</v>
      </c>
      <c r="AJ140" s="850">
        <f>IF('Input Sheet'!$C$15="Yes",'Input Sheet'!$F$7,0)</f>
        <v>0</v>
      </c>
      <c r="AK140" s="856">
        <f t="shared" si="24"/>
        <v>0</v>
      </c>
      <c r="AL140" s="856">
        <f t="shared" si="25"/>
        <v>0</v>
      </c>
      <c r="AM140" s="856">
        <f t="shared" si="31"/>
        <v>0</v>
      </c>
      <c r="AN140" s="856">
        <f t="shared" si="26"/>
        <v>0</v>
      </c>
      <c r="AO140" s="852">
        <f t="shared" si="32"/>
        <v>0</v>
      </c>
      <c r="AP140" s="853">
        <f t="shared" si="33"/>
        <v>0</v>
      </c>
      <c r="AQ140" s="854">
        <f>IFERROR(P140*'Input Sheet'!$F$8/(((AI140)*AK140*2)-AN140),0)</f>
        <v>0</v>
      </c>
      <c r="AR140" s="854">
        <f>IFERROR(($P140-$AF140)*'Input Sheet'!$F$8/(((AI140)*AK140*2)-AN140),0)</f>
        <v>0</v>
      </c>
    </row>
    <row r="141" spans="2:44" s="798" customFormat="1" ht="30" customHeight="1" thickBot="1" x14ac:dyDescent="0.3">
      <c r="B141" s="835"/>
      <c r="C141" s="836"/>
      <c r="D141" s="836"/>
      <c r="E141" s="837"/>
      <c r="F141" s="837"/>
      <c r="G141" s="838"/>
      <c r="H141" s="838"/>
      <c r="I141" s="839"/>
      <c r="J141" s="839"/>
      <c r="K141" s="840"/>
      <c r="L141" s="841"/>
      <c r="M141" s="841"/>
      <c r="N141" s="842"/>
      <c r="O141" s="842"/>
      <c r="P141" s="843"/>
      <c r="Q141" s="843"/>
      <c r="R141" s="843"/>
      <c r="S141" s="844">
        <f t="shared" si="27"/>
        <v>0</v>
      </c>
      <c r="T141" s="838"/>
      <c r="U141" s="842"/>
      <c r="V141" s="843"/>
      <c r="W141" s="843"/>
      <c r="X141" s="843"/>
      <c r="Y141" s="843"/>
      <c r="Z141" s="843"/>
      <c r="AA141" s="837"/>
      <c r="AB141" s="837"/>
      <c r="AC141" s="845">
        <f t="shared" si="28"/>
        <v>0</v>
      </c>
      <c r="AD141" s="846">
        <f t="shared" si="29"/>
        <v>0</v>
      </c>
      <c r="AE141" s="847">
        <f t="shared" si="30"/>
        <v>0</v>
      </c>
      <c r="AF141" s="855">
        <f t="shared" si="23"/>
        <v>0</v>
      </c>
      <c r="AG141" s="848">
        <f>IF('Input Sheet'!$C$15="Yes",'Input Sheet'!$F$8,0)</f>
        <v>0</v>
      </c>
      <c r="AH141" s="846">
        <f>IF('Input Sheet'!$C$15="Yes",Rates!$E$45,0)</f>
        <v>0</v>
      </c>
      <c r="AI141" s="849">
        <f>IF('Input Sheet'!$C$15="Yes",'Input Sheet'!$F$11,0)</f>
        <v>0</v>
      </c>
      <c r="AJ141" s="850">
        <f>IF('Input Sheet'!$C$15="Yes",'Input Sheet'!$F$7,0)</f>
        <v>0</v>
      </c>
      <c r="AK141" s="856">
        <f t="shared" si="24"/>
        <v>0</v>
      </c>
      <c r="AL141" s="856">
        <f t="shared" si="25"/>
        <v>0</v>
      </c>
      <c r="AM141" s="856">
        <f t="shared" si="31"/>
        <v>0</v>
      </c>
      <c r="AN141" s="856">
        <f t="shared" si="26"/>
        <v>0</v>
      </c>
      <c r="AO141" s="852">
        <f t="shared" si="32"/>
        <v>0</v>
      </c>
      <c r="AP141" s="853">
        <f t="shared" si="33"/>
        <v>0</v>
      </c>
      <c r="AQ141" s="854">
        <f>IFERROR(P141*'Input Sheet'!$F$8/(((AI141)*AK141*2)-AN141),0)</f>
        <v>0</v>
      </c>
      <c r="AR141" s="854">
        <f>IFERROR(($P141-$AF141)*'Input Sheet'!$F$8/(((AI141)*AK141*2)-AN141),0)</f>
        <v>0</v>
      </c>
    </row>
    <row r="142" spans="2:44" s="798" customFormat="1" ht="30" customHeight="1" thickBot="1" x14ac:dyDescent="0.3">
      <c r="B142" s="835"/>
      <c r="C142" s="836"/>
      <c r="D142" s="836"/>
      <c r="E142" s="837"/>
      <c r="F142" s="837"/>
      <c r="G142" s="838"/>
      <c r="H142" s="838"/>
      <c r="I142" s="839"/>
      <c r="J142" s="839"/>
      <c r="K142" s="840"/>
      <c r="L142" s="841"/>
      <c r="M142" s="841"/>
      <c r="N142" s="842"/>
      <c r="O142" s="842"/>
      <c r="P142" s="843"/>
      <c r="Q142" s="843"/>
      <c r="R142" s="843"/>
      <c r="S142" s="844">
        <f t="shared" si="27"/>
        <v>0</v>
      </c>
      <c r="T142" s="838"/>
      <c r="U142" s="842"/>
      <c r="V142" s="843"/>
      <c r="W142" s="843"/>
      <c r="X142" s="843"/>
      <c r="Y142" s="843"/>
      <c r="Z142" s="843"/>
      <c r="AA142" s="837"/>
      <c r="AB142" s="837"/>
      <c r="AC142" s="845">
        <f t="shared" si="28"/>
        <v>0</v>
      </c>
      <c r="AD142" s="846">
        <f t="shared" si="29"/>
        <v>0</v>
      </c>
      <c r="AE142" s="847">
        <f t="shared" si="30"/>
        <v>0</v>
      </c>
      <c r="AF142" s="855">
        <f t="shared" si="23"/>
        <v>0</v>
      </c>
      <c r="AG142" s="848">
        <f>IF('Input Sheet'!$C$15="Yes",'Input Sheet'!$F$8,0)</f>
        <v>0</v>
      </c>
      <c r="AH142" s="846">
        <f>IF('Input Sheet'!$C$15="Yes",Rates!$E$45,0)</f>
        <v>0</v>
      </c>
      <c r="AI142" s="849">
        <f>IF('Input Sheet'!$C$15="Yes",'Input Sheet'!$F$11,0)</f>
        <v>0</v>
      </c>
      <c r="AJ142" s="850">
        <f>IF('Input Sheet'!$C$15="Yes",'Input Sheet'!$F$7,0)</f>
        <v>0</v>
      </c>
      <c r="AK142" s="856">
        <f t="shared" si="24"/>
        <v>0</v>
      </c>
      <c r="AL142" s="856">
        <f t="shared" si="25"/>
        <v>0</v>
      </c>
      <c r="AM142" s="856">
        <f t="shared" si="31"/>
        <v>0</v>
      </c>
      <c r="AN142" s="856">
        <f t="shared" si="26"/>
        <v>0</v>
      </c>
      <c r="AO142" s="852">
        <f t="shared" si="32"/>
        <v>0</v>
      </c>
      <c r="AP142" s="853">
        <f t="shared" si="33"/>
        <v>0</v>
      </c>
      <c r="AQ142" s="854">
        <f>IFERROR(P142*'Input Sheet'!$F$8/(((AI142)*AK142*2)-AN142),0)</f>
        <v>0</v>
      </c>
      <c r="AR142" s="854">
        <f>IFERROR(($P142-$AF142)*'Input Sheet'!$F$8/(((AI142)*AK142*2)-AN142),0)</f>
        <v>0</v>
      </c>
    </row>
    <row r="143" spans="2:44" s="798" customFormat="1" ht="30" customHeight="1" thickBot="1" x14ac:dyDescent="0.3">
      <c r="B143" s="835"/>
      <c r="C143" s="836"/>
      <c r="D143" s="836"/>
      <c r="E143" s="837"/>
      <c r="F143" s="837"/>
      <c r="G143" s="838"/>
      <c r="H143" s="838"/>
      <c r="I143" s="839"/>
      <c r="J143" s="839"/>
      <c r="K143" s="840"/>
      <c r="L143" s="841"/>
      <c r="M143" s="841"/>
      <c r="N143" s="842"/>
      <c r="O143" s="842"/>
      <c r="P143" s="843"/>
      <c r="Q143" s="843"/>
      <c r="R143" s="843"/>
      <c r="S143" s="844">
        <f t="shared" si="27"/>
        <v>0</v>
      </c>
      <c r="T143" s="838"/>
      <c r="U143" s="842"/>
      <c r="V143" s="843"/>
      <c r="W143" s="843"/>
      <c r="X143" s="843"/>
      <c r="Y143" s="843"/>
      <c r="Z143" s="843"/>
      <c r="AA143" s="837"/>
      <c r="AB143" s="837"/>
      <c r="AC143" s="845">
        <f t="shared" si="28"/>
        <v>0</v>
      </c>
      <c r="AD143" s="846">
        <f t="shared" si="29"/>
        <v>0</v>
      </c>
      <c r="AE143" s="847">
        <f t="shared" si="30"/>
        <v>0</v>
      </c>
      <c r="AF143" s="855">
        <f t="shared" si="23"/>
        <v>0</v>
      </c>
      <c r="AG143" s="848">
        <f>IF('Input Sheet'!$C$15="Yes",'Input Sheet'!$F$8,0)</f>
        <v>0</v>
      </c>
      <c r="AH143" s="846">
        <f>IF('Input Sheet'!$C$15="Yes",Rates!$E$45,0)</f>
        <v>0</v>
      </c>
      <c r="AI143" s="849">
        <f>IF('Input Sheet'!$C$15="Yes",'Input Sheet'!$F$11,0)</f>
        <v>0</v>
      </c>
      <c r="AJ143" s="850">
        <f>IF('Input Sheet'!$C$15="Yes",'Input Sheet'!$F$7,0)</f>
        <v>0</v>
      </c>
      <c r="AK143" s="856">
        <f t="shared" si="24"/>
        <v>0</v>
      </c>
      <c r="AL143" s="856">
        <f t="shared" si="25"/>
        <v>0</v>
      </c>
      <c r="AM143" s="856">
        <f t="shared" si="31"/>
        <v>0</v>
      </c>
      <c r="AN143" s="856">
        <f t="shared" si="26"/>
        <v>0</v>
      </c>
      <c r="AO143" s="852">
        <f t="shared" si="32"/>
        <v>0</v>
      </c>
      <c r="AP143" s="853">
        <f t="shared" si="33"/>
        <v>0</v>
      </c>
      <c r="AQ143" s="854">
        <f>IFERROR(P143*'Input Sheet'!$F$8/(((AI143)*AK143*2)-AN143),0)</f>
        <v>0</v>
      </c>
      <c r="AR143" s="854">
        <f>IFERROR(($P143-$AF143)*'Input Sheet'!$F$8/(((AI143)*AK143*2)-AN143),0)</f>
        <v>0</v>
      </c>
    </row>
    <row r="144" spans="2:44" s="798" customFormat="1" ht="30" customHeight="1" thickBot="1" x14ac:dyDescent="0.3">
      <c r="B144" s="835"/>
      <c r="C144" s="836"/>
      <c r="D144" s="836"/>
      <c r="E144" s="837"/>
      <c r="F144" s="837"/>
      <c r="G144" s="838"/>
      <c r="H144" s="838"/>
      <c r="I144" s="839"/>
      <c r="J144" s="839"/>
      <c r="K144" s="840"/>
      <c r="L144" s="841"/>
      <c r="M144" s="841"/>
      <c r="N144" s="842"/>
      <c r="O144" s="842"/>
      <c r="P144" s="843"/>
      <c r="Q144" s="843"/>
      <c r="R144" s="843"/>
      <c r="S144" s="844">
        <f t="shared" si="27"/>
        <v>0</v>
      </c>
      <c r="T144" s="838"/>
      <c r="U144" s="842"/>
      <c r="V144" s="843"/>
      <c r="W144" s="843"/>
      <c r="X144" s="843"/>
      <c r="Y144" s="843"/>
      <c r="Z144" s="843"/>
      <c r="AA144" s="837"/>
      <c r="AB144" s="837"/>
      <c r="AC144" s="845">
        <f t="shared" si="28"/>
        <v>0</v>
      </c>
      <c r="AD144" s="846">
        <f t="shared" si="29"/>
        <v>0</v>
      </c>
      <c r="AE144" s="847">
        <f t="shared" si="30"/>
        <v>0</v>
      </c>
      <c r="AF144" s="855">
        <f t="shared" si="23"/>
        <v>0</v>
      </c>
      <c r="AG144" s="848">
        <f>IF('Input Sheet'!$C$15="Yes",'Input Sheet'!$F$8,0)</f>
        <v>0</v>
      </c>
      <c r="AH144" s="846">
        <f>IF('Input Sheet'!$C$15="Yes",Rates!$E$45,0)</f>
        <v>0</v>
      </c>
      <c r="AI144" s="849">
        <f>IF('Input Sheet'!$C$15="Yes",'Input Sheet'!$F$11,0)</f>
        <v>0</v>
      </c>
      <c r="AJ144" s="850">
        <f>IF('Input Sheet'!$C$15="Yes",'Input Sheet'!$F$7,0)</f>
        <v>0</v>
      </c>
      <c r="AK144" s="856">
        <f t="shared" si="24"/>
        <v>0</v>
      </c>
      <c r="AL144" s="856">
        <f t="shared" si="25"/>
        <v>0</v>
      </c>
      <c r="AM144" s="856">
        <f t="shared" si="31"/>
        <v>0</v>
      </c>
      <c r="AN144" s="856">
        <f t="shared" si="26"/>
        <v>0</v>
      </c>
      <c r="AO144" s="852">
        <f t="shared" si="32"/>
        <v>0</v>
      </c>
      <c r="AP144" s="853">
        <f t="shared" si="33"/>
        <v>0</v>
      </c>
      <c r="AQ144" s="854">
        <f>IFERROR(P144*'Input Sheet'!$F$8/(((AI144)*AK144*2)-AN144),0)</f>
        <v>0</v>
      </c>
      <c r="AR144" s="854">
        <f>IFERROR(($P144-$AF144)*'Input Sheet'!$F$8/(((AI144)*AK144*2)-AN144),0)</f>
        <v>0</v>
      </c>
    </row>
    <row r="145" spans="2:44" s="798" customFormat="1" ht="30" customHeight="1" thickBot="1" x14ac:dyDescent="0.3">
      <c r="B145" s="835"/>
      <c r="C145" s="836"/>
      <c r="D145" s="836"/>
      <c r="E145" s="837"/>
      <c r="F145" s="837"/>
      <c r="G145" s="838"/>
      <c r="H145" s="838"/>
      <c r="I145" s="839"/>
      <c r="J145" s="839"/>
      <c r="K145" s="840"/>
      <c r="L145" s="841"/>
      <c r="M145" s="841"/>
      <c r="N145" s="842"/>
      <c r="O145" s="842"/>
      <c r="P145" s="843"/>
      <c r="Q145" s="843"/>
      <c r="R145" s="843"/>
      <c r="S145" s="844">
        <f t="shared" si="27"/>
        <v>0</v>
      </c>
      <c r="T145" s="838"/>
      <c r="U145" s="842"/>
      <c r="V145" s="843"/>
      <c r="W145" s="843"/>
      <c r="X145" s="843"/>
      <c r="Y145" s="843"/>
      <c r="Z145" s="843"/>
      <c r="AA145" s="837"/>
      <c r="AB145" s="837"/>
      <c r="AC145" s="845">
        <f t="shared" si="28"/>
        <v>0</v>
      </c>
      <c r="AD145" s="846">
        <f t="shared" si="29"/>
        <v>0</v>
      </c>
      <c r="AE145" s="847">
        <f t="shared" si="30"/>
        <v>0</v>
      </c>
      <c r="AF145" s="855">
        <f t="shared" si="23"/>
        <v>0</v>
      </c>
      <c r="AG145" s="848">
        <f>IF('Input Sheet'!$C$15="Yes",'Input Sheet'!$F$8,0)</f>
        <v>0</v>
      </c>
      <c r="AH145" s="846">
        <f>IF('Input Sheet'!$C$15="Yes",Rates!$E$45,0)</f>
        <v>0</v>
      </c>
      <c r="AI145" s="849">
        <f>IF('Input Sheet'!$C$15="Yes",'Input Sheet'!$F$11,0)</f>
        <v>0</v>
      </c>
      <c r="AJ145" s="850">
        <f>IF('Input Sheet'!$C$15="Yes",'Input Sheet'!$F$7,0)</f>
        <v>0</v>
      </c>
      <c r="AK145" s="856">
        <f t="shared" si="24"/>
        <v>0</v>
      </c>
      <c r="AL145" s="856">
        <f t="shared" si="25"/>
        <v>0</v>
      </c>
      <c r="AM145" s="856">
        <f t="shared" si="31"/>
        <v>0</v>
      </c>
      <c r="AN145" s="856">
        <f t="shared" si="26"/>
        <v>0</v>
      </c>
      <c r="AO145" s="852">
        <f t="shared" si="32"/>
        <v>0</v>
      </c>
      <c r="AP145" s="853">
        <f t="shared" si="33"/>
        <v>0</v>
      </c>
      <c r="AQ145" s="854">
        <f>IFERROR(P145*'Input Sheet'!$F$8/(((AI145)*AK145*2)-AN145),0)</f>
        <v>0</v>
      </c>
      <c r="AR145" s="854">
        <f>IFERROR(($P145-$AF145)*'Input Sheet'!$F$8/(((AI145)*AK145*2)-AN145),0)</f>
        <v>0</v>
      </c>
    </row>
    <row r="146" spans="2:44" s="798" customFormat="1" ht="30" customHeight="1" thickBot="1" x14ac:dyDescent="0.3">
      <c r="B146" s="835"/>
      <c r="C146" s="836"/>
      <c r="D146" s="836"/>
      <c r="E146" s="837"/>
      <c r="F146" s="837"/>
      <c r="G146" s="838"/>
      <c r="H146" s="838"/>
      <c r="I146" s="839"/>
      <c r="J146" s="839"/>
      <c r="K146" s="840"/>
      <c r="L146" s="841"/>
      <c r="M146" s="841"/>
      <c r="N146" s="842"/>
      <c r="O146" s="842"/>
      <c r="P146" s="843"/>
      <c r="Q146" s="843"/>
      <c r="R146" s="843"/>
      <c r="S146" s="844">
        <f t="shared" si="27"/>
        <v>0</v>
      </c>
      <c r="T146" s="838"/>
      <c r="U146" s="842"/>
      <c r="V146" s="843"/>
      <c r="W146" s="843"/>
      <c r="X146" s="843"/>
      <c r="Y146" s="843"/>
      <c r="Z146" s="843"/>
      <c r="AA146" s="837"/>
      <c r="AB146" s="837"/>
      <c r="AC146" s="845">
        <f t="shared" si="28"/>
        <v>0</v>
      </c>
      <c r="AD146" s="846">
        <f t="shared" si="29"/>
        <v>0</v>
      </c>
      <c r="AE146" s="847">
        <f t="shared" si="30"/>
        <v>0</v>
      </c>
      <c r="AF146" s="855">
        <f t="shared" si="23"/>
        <v>0</v>
      </c>
      <c r="AG146" s="848">
        <f>IF('Input Sheet'!$C$15="Yes",'Input Sheet'!$F$8,0)</f>
        <v>0</v>
      </c>
      <c r="AH146" s="846">
        <f>IF('Input Sheet'!$C$15="Yes",Rates!$E$45,0)</f>
        <v>0</v>
      </c>
      <c r="AI146" s="849">
        <f>IF('Input Sheet'!$C$15="Yes",'Input Sheet'!$F$11,0)</f>
        <v>0</v>
      </c>
      <c r="AJ146" s="850">
        <f>IF('Input Sheet'!$C$15="Yes",'Input Sheet'!$F$7,0)</f>
        <v>0</v>
      </c>
      <c r="AK146" s="856">
        <f t="shared" si="24"/>
        <v>0</v>
      </c>
      <c r="AL146" s="856">
        <f t="shared" si="25"/>
        <v>0</v>
      </c>
      <c r="AM146" s="856">
        <f t="shared" si="31"/>
        <v>0</v>
      </c>
      <c r="AN146" s="856">
        <f t="shared" si="26"/>
        <v>0</v>
      </c>
      <c r="AO146" s="852">
        <f t="shared" si="32"/>
        <v>0</v>
      </c>
      <c r="AP146" s="853">
        <f t="shared" si="33"/>
        <v>0</v>
      </c>
      <c r="AQ146" s="854">
        <f>IFERROR(P146*'Input Sheet'!$F$8/(((AI146)*AK146*2)-AN146),0)</f>
        <v>0</v>
      </c>
      <c r="AR146" s="854">
        <f>IFERROR(($P146-$AF146)*'Input Sheet'!$F$8/(((AI146)*AK146*2)-AN146),0)</f>
        <v>0</v>
      </c>
    </row>
    <row r="147" spans="2:44" s="798" customFormat="1" ht="30" customHeight="1" thickBot="1" x14ac:dyDescent="0.3">
      <c r="B147" s="835"/>
      <c r="C147" s="836"/>
      <c r="D147" s="836"/>
      <c r="E147" s="837"/>
      <c r="F147" s="837"/>
      <c r="G147" s="838"/>
      <c r="H147" s="838"/>
      <c r="I147" s="839"/>
      <c r="J147" s="839"/>
      <c r="K147" s="840"/>
      <c r="L147" s="841"/>
      <c r="M147" s="841"/>
      <c r="N147" s="842"/>
      <c r="O147" s="842"/>
      <c r="P147" s="843"/>
      <c r="Q147" s="843"/>
      <c r="R147" s="843"/>
      <c r="S147" s="844">
        <f t="shared" si="27"/>
        <v>0</v>
      </c>
      <c r="T147" s="838"/>
      <c r="U147" s="842"/>
      <c r="V147" s="843"/>
      <c r="W147" s="843"/>
      <c r="X147" s="843"/>
      <c r="Y147" s="843"/>
      <c r="Z147" s="843"/>
      <c r="AA147" s="837"/>
      <c r="AB147" s="837"/>
      <c r="AC147" s="845">
        <f t="shared" si="28"/>
        <v>0</v>
      </c>
      <c r="AD147" s="846">
        <f t="shared" si="29"/>
        <v>0</v>
      </c>
      <c r="AE147" s="847">
        <f t="shared" si="30"/>
        <v>0</v>
      </c>
      <c r="AF147" s="855">
        <f t="shared" si="23"/>
        <v>0</v>
      </c>
      <c r="AG147" s="848">
        <f>IF('Input Sheet'!$C$15="Yes",'Input Sheet'!$F$8,0)</f>
        <v>0</v>
      </c>
      <c r="AH147" s="846">
        <f>IF('Input Sheet'!$C$15="Yes",Rates!$E$45,0)</f>
        <v>0</v>
      </c>
      <c r="AI147" s="849">
        <f>IF('Input Sheet'!$C$15="Yes",'Input Sheet'!$F$11,0)</f>
        <v>0</v>
      </c>
      <c r="AJ147" s="850">
        <f>IF('Input Sheet'!$C$15="Yes",'Input Sheet'!$F$7,0)</f>
        <v>0</v>
      </c>
      <c r="AK147" s="856">
        <f t="shared" si="24"/>
        <v>0</v>
      </c>
      <c r="AL147" s="856">
        <f t="shared" si="25"/>
        <v>0</v>
      </c>
      <c r="AM147" s="856">
        <f t="shared" si="31"/>
        <v>0</v>
      </c>
      <c r="AN147" s="856">
        <f t="shared" si="26"/>
        <v>0</v>
      </c>
      <c r="AO147" s="852">
        <f t="shared" si="32"/>
        <v>0</v>
      </c>
      <c r="AP147" s="853">
        <f t="shared" si="33"/>
        <v>0</v>
      </c>
      <c r="AQ147" s="854">
        <f>IFERROR(P147*'Input Sheet'!$F$8/(((AI147)*AK147*2)-AN147),0)</f>
        <v>0</v>
      </c>
      <c r="AR147" s="854">
        <f>IFERROR(($P147-$AF147)*'Input Sheet'!$F$8/(((AI147)*AK147*2)-AN147),0)</f>
        <v>0</v>
      </c>
    </row>
    <row r="148" spans="2:44" s="798" customFormat="1" ht="30" customHeight="1" thickBot="1" x14ac:dyDescent="0.3">
      <c r="B148" s="835"/>
      <c r="C148" s="836"/>
      <c r="D148" s="836"/>
      <c r="E148" s="837"/>
      <c r="F148" s="837"/>
      <c r="G148" s="838"/>
      <c r="H148" s="838"/>
      <c r="I148" s="839"/>
      <c r="J148" s="839"/>
      <c r="K148" s="840"/>
      <c r="L148" s="841"/>
      <c r="M148" s="841"/>
      <c r="N148" s="842"/>
      <c r="O148" s="842"/>
      <c r="P148" s="843"/>
      <c r="Q148" s="843"/>
      <c r="R148" s="843"/>
      <c r="S148" s="844">
        <f t="shared" si="27"/>
        <v>0</v>
      </c>
      <c r="T148" s="838"/>
      <c r="U148" s="842"/>
      <c r="V148" s="843"/>
      <c r="W148" s="843"/>
      <c r="X148" s="843"/>
      <c r="Y148" s="843"/>
      <c r="Z148" s="843"/>
      <c r="AA148" s="837"/>
      <c r="AB148" s="837"/>
      <c r="AC148" s="845">
        <f t="shared" si="28"/>
        <v>0</v>
      </c>
      <c r="AD148" s="846">
        <f t="shared" si="29"/>
        <v>0</v>
      </c>
      <c r="AE148" s="847">
        <f t="shared" si="30"/>
        <v>0</v>
      </c>
      <c r="AF148" s="855">
        <f t="shared" si="23"/>
        <v>0</v>
      </c>
      <c r="AG148" s="848">
        <f>IF('Input Sheet'!$C$15="Yes",'Input Sheet'!$F$8,0)</f>
        <v>0</v>
      </c>
      <c r="AH148" s="846">
        <f>IF('Input Sheet'!$C$15="Yes",Rates!$E$45,0)</f>
        <v>0</v>
      </c>
      <c r="AI148" s="849">
        <f>IF('Input Sheet'!$C$15="Yes",'Input Sheet'!$F$11,0)</f>
        <v>0</v>
      </c>
      <c r="AJ148" s="850">
        <f>IF('Input Sheet'!$C$15="Yes",'Input Sheet'!$F$7,0)</f>
        <v>0</v>
      </c>
      <c r="AK148" s="856">
        <f t="shared" si="24"/>
        <v>0</v>
      </c>
      <c r="AL148" s="856">
        <f t="shared" si="25"/>
        <v>0</v>
      </c>
      <c r="AM148" s="856">
        <f t="shared" si="31"/>
        <v>0</v>
      </c>
      <c r="AN148" s="856">
        <f t="shared" si="26"/>
        <v>0</v>
      </c>
      <c r="AO148" s="852">
        <f t="shared" si="32"/>
        <v>0</v>
      </c>
      <c r="AP148" s="853">
        <f t="shared" si="33"/>
        <v>0</v>
      </c>
      <c r="AQ148" s="854">
        <f>IFERROR(P148*'Input Sheet'!$F$8/(((AI148)*AK148*2)-AN148),0)</f>
        <v>0</v>
      </c>
      <c r="AR148" s="854">
        <f>IFERROR(($P148-$AF148)*'Input Sheet'!$F$8/(((AI148)*AK148*2)-AN148),0)</f>
        <v>0</v>
      </c>
    </row>
    <row r="149" spans="2:44" s="798" customFormat="1" ht="30" customHeight="1" thickBot="1" x14ac:dyDescent="0.3">
      <c r="B149" s="835"/>
      <c r="C149" s="836"/>
      <c r="D149" s="836"/>
      <c r="E149" s="837"/>
      <c r="F149" s="837"/>
      <c r="G149" s="838"/>
      <c r="H149" s="838"/>
      <c r="I149" s="839"/>
      <c r="J149" s="839"/>
      <c r="K149" s="840"/>
      <c r="L149" s="841"/>
      <c r="M149" s="841"/>
      <c r="N149" s="842"/>
      <c r="O149" s="842"/>
      <c r="P149" s="843"/>
      <c r="Q149" s="843"/>
      <c r="R149" s="843"/>
      <c r="S149" s="844">
        <f t="shared" si="27"/>
        <v>0</v>
      </c>
      <c r="T149" s="838"/>
      <c r="U149" s="842"/>
      <c r="V149" s="843"/>
      <c r="W149" s="843"/>
      <c r="X149" s="843"/>
      <c r="Y149" s="843"/>
      <c r="Z149" s="843"/>
      <c r="AA149" s="837"/>
      <c r="AB149" s="837"/>
      <c r="AC149" s="845">
        <f t="shared" si="28"/>
        <v>0</v>
      </c>
      <c r="AD149" s="846">
        <f t="shared" si="29"/>
        <v>0</v>
      </c>
      <c r="AE149" s="847">
        <f t="shared" si="30"/>
        <v>0</v>
      </c>
      <c r="AF149" s="855">
        <f t="shared" si="23"/>
        <v>0</v>
      </c>
      <c r="AG149" s="848">
        <f>IF('Input Sheet'!$C$15="Yes",'Input Sheet'!$F$8,0)</f>
        <v>0</v>
      </c>
      <c r="AH149" s="846">
        <f>IF('Input Sheet'!$C$15="Yes",Rates!$E$45,0)</f>
        <v>0</v>
      </c>
      <c r="AI149" s="849">
        <f>IF('Input Sheet'!$C$15="Yes",'Input Sheet'!$F$11,0)</f>
        <v>0</v>
      </c>
      <c r="AJ149" s="850">
        <f>IF('Input Sheet'!$C$15="Yes",'Input Sheet'!$F$7,0)</f>
        <v>0</v>
      </c>
      <c r="AK149" s="856">
        <f t="shared" si="24"/>
        <v>0</v>
      </c>
      <c r="AL149" s="856">
        <f t="shared" si="25"/>
        <v>0</v>
      </c>
      <c r="AM149" s="856">
        <f t="shared" si="31"/>
        <v>0</v>
      </c>
      <c r="AN149" s="856">
        <f t="shared" si="26"/>
        <v>0</v>
      </c>
      <c r="AO149" s="852">
        <f t="shared" si="32"/>
        <v>0</v>
      </c>
      <c r="AP149" s="853">
        <f t="shared" si="33"/>
        <v>0</v>
      </c>
      <c r="AQ149" s="854">
        <f>IFERROR(P149*'Input Sheet'!$F$8/(((AI149)*AK149*2)-AN149),0)</f>
        <v>0</v>
      </c>
      <c r="AR149" s="854">
        <f>IFERROR(($P149-$AF149)*'Input Sheet'!$F$8/(((AI149)*AK149*2)-AN149),0)</f>
        <v>0</v>
      </c>
    </row>
    <row r="150" spans="2:44" s="798" customFormat="1" ht="30" customHeight="1" thickBot="1" x14ac:dyDescent="0.3">
      <c r="B150" s="835"/>
      <c r="C150" s="836"/>
      <c r="D150" s="836"/>
      <c r="E150" s="837"/>
      <c r="F150" s="837"/>
      <c r="G150" s="838"/>
      <c r="H150" s="838"/>
      <c r="I150" s="839"/>
      <c r="J150" s="839"/>
      <c r="K150" s="840"/>
      <c r="L150" s="841"/>
      <c r="M150" s="841"/>
      <c r="N150" s="842"/>
      <c r="O150" s="842"/>
      <c r="P150" s="843"/>
      <c r="Q150" s="843"/>
      <c r="R150" s="843"/>
      <c r="S150" s="844">
        <f t="shared" si="27"/>
        <v>0</v>
      </c>
      <c r="T150" s="838"/>
      <c r="U150" s="842"/>
      <c r="V150" s="843"/>
      <c r="W150" s="843"/>
      <c r="X150" s="843"/>
      <c r="Y150" s="843"/>
      <c r="Z150" s="843"/>
      <c r="AA150" s="837"/>
      <c r="AB150" s="837"/>
      <c r="AC150" s="845">
        <f t="shared" si="28"/>
        <v>0</v>
      </c>
      <c r="AD150" s="846">
        <f t="shared" si="29"/>
        <v>0</v>
      </c>
      <c r="AE150" s="847">
        <f t="shared" si="30"/>
        <v>0</v>
      </c>
      <c r="AF150" s="855">
        <f t="shared" si="23"/>
        <v>0</v>
      </c>
      <c r="AG150" s="848">
        <f>IF('Input Sheet'!$C$15="Yes",'Input Sheet'!$F$8,0)</f>
        <v>0</v>
      </c>
      <c r="AH150" s="846">
        <f>IF('Input Sheet'!$C$15="Yes",Rates!$E$45,0)</f>
        <v>0</v>
      </c>
      <c r="AI150" s="849">
        <f>IF('Input Sheet'!$C$15="Yes",'Input Sheet'!$F$11,0)</f>
        <v>0</v>
      </c>
      <c r="AJ150" s="850">
        <f>IF('Input Sheet'!$C$15="Yes",'Input Sheet'!$F$7,0)</f>
        <v>0</v>
      </c>
      <c r="AK150" s="856">
        <f t="shared" si="24"/>
        <v>0</v>
      </c>
      <c r="AL150" s="856">
        <f t="shared" si="25"/>
        <v>0</v>
      </c>
      <c r="AM150" s="856">
        <f t="shared" si="31"/>
        <v>0</v>
      </c>
      <c r="AN150" s="856">
        <f t="shared" si="26"/>
        <v>0</v>
      </c>
      <c r="AO150" s="852">
        <f t="shared" si="32"/>
        <v>0</v>
      </c>
      <c r="AP150" s="853">
        <f t="shared" si="33"/>
        <v>0</v>
      </c>
      <c r="AQ150" s="854">
        <f>IFERROR(P150*'Input Sheet'!$F$8/(((AI150)*AK150*2)-AN150),0)</f>
        <v>0</v>
      </c>
      <c r="AR150" s="854">
        <f>IFERROR(($P150-$AF150)*'Input Sheet'!$F$8/(((AI150)*AK150*2)-AN150),0)</f>
        <v>0</v>
      </c>
    </row>
    <row r="151" spans="2:44" s="798" customFormat="1" ht="30" customHeight="1" thickBot="1" x14ac:dyDescent="0.3">
      <c r="B151" s="835"/>
      <c r="C151" s="836"/>
      <c r="D151" s="836"/>
      <c r="E151" s="837"/>
      <c r="F151" s="837"/>
      <c r="G151" s="838"/>
      <c r="H151" s="838"/>
      <c r="I151" s="839"/>
      <c r="J151" s="839"/>
      <c r="K151" s="840"/>
      <c r="L151" s="841"/>
      <c r="M151" s="841"/>
      <c r="N151" s="842"/>
      <c r="O151" s="842"/>
      <c r="P151" s="843"/>
      <c r="Q151" s="843"/>
      <c r="R151" s="843"/>
      <c r="S151" s="844">
        <f t="shared" si="27"/>
        <v>0</v>
      </c>
      <c r="T151" s="838"/>
      <c r="U151" s="842"/>
      <c r="V151" s="843"/>
      <c r="W151" s="843"/>
      <c r="X151" s="843"/>
      <c r="Y151" s="843"/>
      <c r="Z151" s="843"/>
      <c r="AA151" s="837"/>
      <c r="AB151" s="837"/>
      <c r="AC151" s="845">
        <f t="shared" si="28"/>
        <v>0</v>
      </c>
      <c r="AD151" s="846">
        <f t="shared" si="29"/>
        <v>0</v>
      </c>
      <c r="AE151" s="847">
        <f t="shared" si="30"/>
        <v>0</v>
      </c>
      <c r="AF151" s="855">
        <f t="shared" si="23"/>
        <v>0</v>
      </c>
      <c r="AG151" s="848">
        <f>IF('Input Sheet'!$C$15="Yes",'Input Sheet'!$F$8,0)</f>
        <v>0</v>
      </c>
      <c r="AH151" s="846">
        <f>IF('Input Sheet'!$C$15="Yes",Rates!$E$45,0)</f>
        <v>0</v>
      </c>
      <c r="AI151" s="849">
        <f>IF('Input Sheet'!$C$15="Yes",'Input Sheet'!$F$11,0)</f>
        <v>0</v>
      </c>
      <c r="AJ151" s="850">
        <f>IF('Input Sheet'!$C$15="Yes",'Input Sheet'!$F$7,0)</f>
        <v>0</v>
      </c>
      <c r="AK151" s="856">
        <f t="shared" si="24"/>
        <v>0</v>
      </c>
      <c r="AL151" s="856">
        <f t="shared" si="25"/>
        <v>0</v>
      </c>
      <c r="AM151" s="856">
        <f t="shared" si="31"/>
        <v>0</v>
      </c>
      <c r="AN151" s="856">
        <f t="shared" si="26"/>
        <v>0</v>
      </c>
      <c r="AO151" s="852">
        <f t="shared" si="32"/>
        <v>0</v>
      </c>
      <c r="AP151" s="853">
        <f t="shared" si="33"/>
        <v>0</v>
      </c>
      <c r="AQ151" s="854">
        <f>IFERROR(P151*'Input Sheet'!$F$8/(((AI151)*AK151*2)-AN151),0)</f>
        <v>0</v>
      </c>
      <c r="AR151" s="854">
        <f>IFERROR(($P151-$AF151)*'Input Sheet'!$F$8/(((AI151)*AK151*2)-AN151),0)</f>
        <v>0</v>
      </c>
    </row>
    <row r="152" spans="2:44" s="798" customFormat="1" ht="30" customHeight="1" thickBot="1" x14ac:dyDescent="0.3">
      <c r="B152" s="835"/>
      <c r="C152" s="836"/>
      <c r="D152" s="836"/>
      <c r="E152" s="837"/>
      <c r="F152" s="837"/>
      <c r="G152" s="838"/>
      <c r="H152" s="838"/>
      <c r="I152" s="839"/>
      <c r="J152" s="839"/>
      <c r="K152" s="840"/>
      <c r="L152" s="841"/>
      <c r="M152" s="841"/>
      <c r="N152" s="842"/>
      <c r="O152" s="842"/>
      <c r="P152" s="843"/>
      <c r="Q152" s="843"/>
      <c r="R152" s="843"/>
      <c r="S152" s="844">
        <f t="shared" si="27"/>
        <v>0</v>
      </c>
      <c r="T152" s="838"/>
      <c r="U152" s="842"/>
      <c r="V152" s="843"/>
      <c r="W152" s="843"/>
      <c r="X152" s="843"/>
      <c r="Y152" s="843"/>
      <c r="Z152" s="843"/>
      <c r="AA152" s="837"/>
      <c r="AB152" s="837"/>
      <c r="AC152" s="845">
        <f t="shared" si="28"/>
        <v>0</v>
      </c>
      <c r="AD152" s="846">
        <f t="shared" si="29"/>
        <v>0</v>
      </c>
      <c r="AE152" s="847">
        <f t="shared" si="30"/>
        <v>0</v>
      </c>
      <c r="AF152" s="855">
        <f t="shared" si="23"/>
        <v>0</v>
      </c>
      <c r="AG152" s="848">
        <f>IF('Input Sheet'!$C$15="Yes",'Input Sheet'!$F$8,0)</f>
        <v>0</v>
      </c>
      <c r="AH152" s="846">
        <f>IF('Input Sheet'!$C$15="Yes",Rates!$E$45,0)</f>
        <v>0</v>
      </c>
      <c r="AI152" s="849">
        <f>IF('Input Sheet'!$C$15="Yes",'Input Sheet'!$F$11,0)</f>
        <v>0</v>
      </c>
      <c r="AJ152" s="850">
        <f>IF('Input Sheet'!$C$15="Yes",'Input Sheet'!$F$7,0)</f>
        <v>0</v>
      </c>
      <c r="AK152" s="856">
        <f t="shared" si="24"/>
        <v>0</v>
      </c>
      <c r="AL152" s="856">
        <f t="shared" si="25"/>
        <v>0</v>
      </c>
      <c r="AM152" s="856">
        <f t="shared" si="31"/>
        <v>0</v>
      </c>
      <c r="AN152" s="856">
        <f t="shared" si="26"/>
        <v>0</v>
      </c>
      <c r="AO152" s="852">
        <f t="shared" si="32"/>
        <v>0</v>
      </c>
      <c r="AP152" s="853">
        <f t="shared" si="33"/>
        <v>0</v>
      </c>
      <c r="AQ152" s="854">
        <f>IFERROR(P152*'Input Sheet'!$F$8/(((AI152)*AK152*2)-AN152),0)</f>
        <v>0</v>
      </c>
      <c r="AR152" s="854">
        <f>IFERROR(($P152-$AF152)*'Input Sheet'!$F$8/(((AI152)*AK152*2)-AN152),0)</f>
        <v>0</v>
      </c>
    </row>
    <row r="153" spans="2:44" s="798" customFormat="1" ht="30" customHeight="1" thickBot="1" x14ac:dyDescent="0.3">
      <c r="B153" s="835"/>
      <c r="C153" s="836"/>
      <c r="D153" s="836"/>
      <c r="E153" s="837"/>
      <c r="F153" s="837"/>
      <c r="G153" s="838"/>
      <c r="H153" s="838"/>
      <c r="I153" s="839"/>
      <c r="J153" s="839"/>
      <c r="K153" s="840"/>
      <c r="L153" s="841"/>
      <c r="M153" s="841"/>
      <c r="N153" s="842"/>
      <c r="O153" s="842"/>
      <c r="P153" s="843"/>
      <c r="Q153" s="843"/>
      <c r="R153" s="843"/>
      <c r="S153" s="844">
        <f t="shared" si="27"/>
        <v>0</v>
      </c>
      <c r="T153" s="838"/>
      <c r="U153" s="842"/>
      <c r="V153" s="843"/>
      <c r="W153" s="843"/>
      <c r="X153" s="843"/>
      <c r="Y153" s="843"/>
      <c r="Z153" s="843"/>
      <c r="AA153" s="837"/>
      <c r="AB153" s="837"/>
      <c r="AC153" s="845">
        <f t="shared" si="28"/>
        <v>0</v>
      </c>
      <c r="AD153" s="846">
        <f t="shared" si="29"/>
        <v>0</v>
      </c>
      <c r="AE153" s="847">
        <f t="shared" si="30"/>
        <v>0</v>
      </c>
      <c r="AF153" s="855">
        <f t="shared" si="23"/>
        <v>0</v>
      </c>
      <c r="AG153" s="848">
        <f>IF('Input Sheet'!$C$15="Yes",'Input Sheet'!$F$8,0)</f>
        <v>0</v>
      </c>
      <c r="AH153" s="846">
        <f>IF('Input Sheet'!$C$15="Yes",Rates!$E$45,0)</f>
        <v>0</v>
      </c>
      <c r="AI153" s="849">
        <f>IF('Input Sheet'!$C$15="Yes",'Input Sheet'!$F$11,0)</f>
        <v>0</v>
      </c>
      <c r="AJ153" s="850">
        <f>IF('Input Sheet'!$C$15="Yes",'Input Sheet'!$F$7,0)</f>
        <v>0</v>
      </c>
      <c r="AK153" s="856">
        <f t="shared" si="24"/>
        <v>0</v>
      </c>
      <c r="AL153" s="856">
        <f t="shared" si="25"/>
        <v>0</v>
      </c>
      <c r="AM153" s="856">
        <f t="shared" si="31"/>
        <v>0</v>
      </c>
      <c r="AN153" s="856">
        <f t="shared" si="26"/>
        <v>0</v>
      </c>
      <c r="AO153" s="852">
        <f t="shared" si="32"/>
        <v>0</v>
      </c>
      <c r="AP153" s="853">
        <f t="shared" si="33"/>
        <v>0</v>
      </c>
      <c r="AQ153" s="854">
        <f>IFERROR(P153*'Input Sheet'!$F$8/(((AI153)*AK153*2)-AN153),0)</f>
        <v>0</v>
      </c>
      <c r="AR153" s="854">
        <f>IFERROR(($P153-$AF153)*'Input Sheet'!$F$8/(((AI153)*AK153*2)-AN153),0)</f>
        <v>0</v>
      </c>
    </row>
    <row r="154" spans="2:44" s="798" customFormat="1" ht="30" customHeight="1" thickBot="1" x14ac:dyDescent="0.3">
      <c r="B154" s="835"/>
      <c r="C154" s="836"/>
      <c r="D154" s="836"/>
      <c r="E154" s="837"/>
      <c r="F154" s="837"/>
      <c r="G154" s="838"/>
      <c r="H154" s="838"/>
      <c r="I154" s="839"/>
      <c r="J154" s="839"/>
      <c r="K154" s="840"/>
      <c r="L154" s="841"/>
      <c r="M154" s="841"/>
      <c r="N154" s="842"/>
      <c r="O154" s="842"/>
      <c r="P154" s="843"/>
      <c r="Q154" s="843"/>
      <c r="R154" s="843"/>
      <c r="S154" s="844">
        <f t="shared" si="27"/>
        <v>0</v>
      </c>
      <c r="T154" s="838"/>
      <c r="U154" s="842"/>
      <c r="V154" s="843"/>
      <c r="W154" s="843"/>
      <c r="X154" s="843"/>
      <c r="Y154" s="843"/>
      <c r="Z154" s="843"/>
      <c r="AA154" s="837"/>
      <c r="AB154" s="837"/>
      <c r="AC154" s="845">
        <f t="shared" si="28"/>
        <v>0</v>
      </c>
      <c r="AD154" s="846">
        <f t="shared" si="29"/>
        <v>0</v>
      </c>
      <c r="AE154" s="847">
        <f t="shared" si="30"/>
        <v>0</v>
      </c>
      <c r="AF154" s="855">
        <f t="shared" si="23"/>
        <v>0</v>
      </c>
      <c r="AG154" s="848">
        <f>IF('Input Sheet'!$C$15="Yes",'Input Sheet'!$F$8,0)</f>
        <v>0</v>
      </c>
      <c r="AH154" s="846">
        <f>IF('Input Sheet'!$C$15="Yes",Rates!$E$45,0)</f>
        <v>0</v>
      </c>
      <c r="AI154" s="849">
        <f>IF('Input Sheet'!$C$15="Yes",'Input Sheet'!$F$11,0)</f>
        <v>0</v>
      </c>
      <c r="AJ154" s="850">
        <f>IF('Input Sheet'!$C$15="Yes",'Input Sheet'!$F$7,0)</f>
        <v>0</v>
      </c>
      <c r="AK154" s="856">
        <f t="shared" si="24"/>
        <v>0</v>
      </c>
      <c r="AL154" s="856">
        <f t="shared" si="25"/>
        <v>0</v>
      </c>
      <c r="AM154" s="856">
        <f t="shared" si="31"/>
        <v>0</v>
      </c>
      <c r="AN154" s="856">
        <f t="shared" si="26"/>
        <v>0</v>
      </c>
      <c r="AO154" s="852">
        <f t="shared" si="32"/>
        <v>0</v>
      </c>
      <c r="AP154" s="853">
        <f t="shared" si="33"/>
        <v>0</v>
      </c>
      <c r="AQ154" s="854">
        <f>IFERROR(P154*'Input Sheet'!$F$8/(((AI154)*AK154*2)-AN154),0)</f>
        <v>0</v>
      </c>
      <c r="AR154" s="854">
        <f>IFERROR(($P154-$AF154)*'Input Sheet'!$F$8/(((AI154)*AK154*2)-AN154),0)</f>
        <v>0</v>
      </c>
    </row>
    <row r="155" spans="2:44" s="798" customFormat="1" ht="30" customHeight="1" thickBot="1" x14ac:dyDescent="0.3">
      <c r="B155" s="835"/>
      <c r="C155" s="836"/>
      <c r="D155" s="836"/>
      <c r="E155" s="837"/>
      <c r="F155" s="837"/>
      <c r="G155" s="838"/>
      <c r="H155" s="838"/>
      <c r="I155" s="839"/>
      <c r="J155" s="839"/>
      <c r="K155" s="840"/>
      <c r="L155" s="841"/>
      <c r="M155" s="841"/>
      <c r="N155" s="842"/>
      <c r="O155" s="842"/>
      <c r="P155" s="843"/>
      <c r="Q155" s="843"/>
      <c r="R155" s="843"/>
      <c r="S155" s="844">
        <f t="shared" si="27"/>
        <v>0</v>
      </c>
      <c r="T155" s="838"/>
      <c r="U155" s="842"/>
      <c r="V155" s="843"/>
      <c r="W155" s="843"/>
      <c r="X155" s="843"/>
      <c r="Y155" s="843"/>
      <c r="Z155" s="843"/>
      <c r="AA155" s="837"/>
      <c r="AB155" s="837"/>
      <c r="AC155" s="845">
        <f t="shared" si="28"/>
        <v>0</v>
      </c>
      <c r="AD155" s="846">
        <f t="shared" si="29"/>
        <v>0</v>
      </c>
      <c r="AE155" s="847">
        <f t="shared" si="30"/>
        <v>0</v>
      </c>
      <c r="AF155" s="855">
        <f t="shared" si="23"/>
        <v>0</v>
      </c>
      <c r="AG155" s="848">
        <f>IF('Input Sheet'!$C$15="Yes",'Input Sheet'!$F$8,0)</f>
        <v>0</v>
      </c>
      <c r="AH155" s="846">
        <f>IF('Input Sheet'!$C$15="Yes",Rates!$E$45,0)</f>
        <v>0</v>
      </c>
      <c r="AI155" s="849">
        <f>IF('Input Sheet'!$C$15="Yes",'Input Sheet'!$F$11,0)</f>
        <v>0</v>
      </c>
      <c r="AJ155" s="850">
        <f>IF('Input Sheet'!$C$15="Yes",'Input Sheet'!$F$7,0)</f>
        <v>0</v>
      </c>
      <c r="AK155" s="856">
        <f t="shared" si="24"/>
        <v>0</v>
      </c>
      <c r="AL155" s="856">
        <f t="shared" si="25"/>
        <v>0</v>
      </c>
      <c r="AM155" s="856">
        <f t="shared" si="31"/>
        <v>0</v>
      </c>
      <c r="AN155" s="856">
        <f t="shared" si="26"/>
        <v>0</v>
      </c>
      <c r="AO155" s="852">
        <f t="shared" si="32"/>
        <v>0</v>
      </c>
      <c r="AP155" s="853">
        <f t="shared" si="33"/>
        <v>0</v>
      </c>
      <c r="AQ155" s="854">
        <f>IFERROR(P155*'Input Sheet'!$F$8/(((AI155)*AK155*2)-AN155),0)</f>
        <v>0</v>
      </c>
      <c r="AR155" s="854">
        <f>IFERROR(($P155-$AF155)*'Input Sheet'!$F$8/(((AI155)*AK155*2)-AN155),0)</f>
        <v>0</v>
      </c>
    </row>
    <row r="156" spans="2:44" s="798" customFormat="1" ht="30" customHeight="1" thickBot="1" x14ac:dyDescent="0.3">
      <c r="B156" s="835"/>
      <c r="C156" s="836"/>
      <c r="D156" s="836"/>
      <c r="E156" s="837"/>
      <c r="F156" s="837"/>
      <c r="G156" s="838"/>
      <c r="H156" s="838"/>
      <c r="I156" s="839"/>
      <c r="J156" s="839"/>
      <c r="K156" s="840"/>
      <c r="L156" s="841"/>
      <c r="M156" s="841"/>
      <c r="N156" s="842"/>
      <c r="O156" s="842"/>
      <c r="P156" s="843"/>
      <c r="Q156" s="843"/>
      <c r="R156" s="843"/>
      <c r="S156" s="844">
        <f t="shared" si="27"/>
        <v>0</v>
      </c>
      <c r="T156" s="838"/>
      <c r="U156" s="842"/>
      <c r="V156" s="843"/>
      <c r="W156" s="843"/>
      <c r="X156" s="843"/>
      <c r="Y156" s="843"/>
      <c r="Z156" s="843"/>
      <c r="AA156" s="837"/>
      <c r="AB156" s="837"/>
      <c r="AC156" s="845">
        <f t="shared" si="28"/>
        <v>0</v>
      </c>
      <c r="AD156" s="846">
        <f t="shared" si="29"/>
        <v>0</v>
      </c>
      <c r="AE156" s="847">
        <f t="shared" si="30"/>
        <v>0</v>
      </c>
      <c r="AF156" s="855">
        <f t="shared" si="23"/>
        <v>0</v>
      </c>
      <c r="AG156" s="848">
        <f>IF('Input Sheet'!$C$15="Yes",'Input Sheet'!$F$8,0)</f>
        <v>0</v>
      </c>
      <c r="AH156" s="846">
        <f>IF('Input Sheet'!$C$15="Yes",Rates!$E$45,0)</f>
        <v>0</v>
      </c>
      <c r="AI156" s="849">
        <f>IF('Input Sheet'!$C$15="Yes",'Input Sheet'!$F$11,0)</f>
        <v>0</v>
      </c>
      <c r="AJ156" s="850">
        <f>IF('Input Sheet'!$C$15="Yes",'Input Sheet'!$F$7,0)</f>
        <v>0</v>
      </c>
      <c r="AK156" s="856">
        <f t="shared" si="24"/>
        <v>0</v>
      </c>
      <c r="AL156" s="856">
        <f t="shared" si="25"/>
        <v>0</v>
      </c>
      <c r="AM156" s="856">
        <f t="shared" si="31"/>
        <v>0</v>
      </c>
      <c r="AN156" s="856">
        <f t="shared" si="26"/>
        <v>0</v>
      </c>
      <c r="AO156" s="852">
        <f t="shared" si="32"/>
        <v>0</v>
      </c>
      <c r="AP156" s="853">
        <f t="shared" si="33"/>
        <v>0</v>
      </c>
      <c r="AQ156" s="854">
        <f>IFERROR(P156*'Input Sheet'!$F$8/(((AI156)*AK156*2)-AN156),0)</f>
        <v>0</v>
      </c>
      <c r="AR156" s="854">
        <f>IFERROR(($P156-$AF156)*'Input Sheet'!$F$8/(((AI156)*AK156*2)-AN156),0)</f>
        <v>0</v>
      </c>
    </row>
    <row r="157" spans="2:44" s="798" customFormat="1" ht="30" customHeight="1" thickBot="1" x14ac:dyDescent="0.3">
      <c r="B157" s="835"/>
      <c r="C157" s="836"/>
      <c r="D157" s="836"/>
      <c r="E157" s="837"/>
      <c r="F157" s="837"/>
      <c r="G157" s="838"/>
      <c r="H157" s="838"/>
      <c r="I157" s="839"/>
      <c r="J157" s="839"/>
      <c r="K157" s="840"/>
      <c r="L157" s="841"/>
      <c r="M157" s="841"/>
      <c r="N157" s="842"/>
      <c r="O157" s="842"/>
      <c r="P157" s="843"/>
      <c r="Q157" s="843"/>
      <c r="R157" s="843"/>
      <c r="S157" s="844">
        <f t="shared" si="27"/>
        <v>0</v>
      </c>
      <c r="T157" s="838"/>
      <c r="U157" s="842"/>
      <c r="V157" s="843"/>
      <c r="W157" s="843"/>
      <c r="X157" s="843"/>
      <c r="Y157" s="843"/>
      <c r="Z157" s="843"/>
      <c r="AA157" s="837"/>
      <c r="AB157" s="837"/>
      <c r="AC157" s="845">
        <f t="shared" si="28"/>
        <v>0</v>
      </c>
      <c r="AD157" s="846">
        <f t="shared" si="29"/>
        <v>0</v>
      </c>
      <c r="AE157" s="847">
        <f t="shared" si="30"/>
        <v>0</v>
      </c>
      <c r="AF157" s="855">
        <f t="shared" si="23"/>
        <v>0</v>
      </c>
      <c r="AG157" s="848">
        <f>IF('Input Sheet'!$C$15="Yes",'Input Sheet'!$F$8,0)</f>
        <v>0</v>
      </c>
      <c r="AH157" s="846">
        <f>IF('Input Sheet'!$C$15="Yes",Rates!$E$45,0)</f>
        <v>0</v>
      </c>
      <c r="AI157" s="849">
        <f>IF('Input Sheet'!$C$15="Yes",'Input Sheet'!$F$11,0)</f>
        <v>0</v>
      </c>
      <c r="AJ157" s="850">
        <f>IF('Input Sheet'!$C$15="Yes",'Input Sheet'!$F$7,0)</f>
        <v>0</v>
      </c>
      <c r="AK157" s="856">
        <f t="shared" si="24"/>
        <v>0</v>
      </c>
      <c r="AL157" s="856">
        <f t="shared" si="25"/>
        <v>0</v>
      </c>
      <c r="AM157" s="856">
        <f t="shared" si="31"/>
        <v>0</v>
      </c>
      <c r="AN157" s="856">
        <f t="shared" si="26"/>
        <v>0</v>
      </c>
      <c r="AO157" s="852">
        <f t="shared" si="32"/>
        <v>0</v>
      </c>
      <c r="AP157" s="853">
        <f t="shared" si="33"/>
        <v>0</v>
      </c>
      <c r="AQ157" s="854">
        <f>IFERROR(P157*'Input Sheet'!$F$8/(((AI157)*AK157*2)-AN157),0)</f>
        <v>0</v>
      </c>
      <c r="AR157" s="854">
        <f>IFERROR(($P157-$AF157)*'Input Sheet'!$F$8/(((AI157)*AK157*2)-AN157),0)</f>
        <v>0</v>
      </c>
    </row>
    <row r="158" spans="2:44" s="798" customFormat="1" ht="30" customHeight="1" thickBot="1" x14ac:dyDescent="0.3">
      <c r="B158" s="835"/>
      <c r="C158" s="836"/>
      <c r="D158" s="836"/>
      <c r="E158" s="837"/>
      <c r="F158" s="837"/>
      <c r="G158" s="838"/>
      <c r="H158" s="838"/>
      <c r="I158" s="839"/>
      <c r="J158" s="839"/>
      <c r="K158" s="840"/>
      <c r="L158" s="841"/>
      <c r="M158" s="841"/>
      <c r="N158" s="842"/>
      <c r="O158" s="842"/>
      <c r="P158" s="843"/>
      <c r="Q158" s="843"/>
      <c r="R158" s="843"/>
      <c r="S158" s="844">
        <f t="shared" si="27"/>
        <v>0</v>
      </c>
      <c r="T158" s="838"/>
      <c r="U158" s="842"/>
      <c r="V158" s="843"/>
      <c r="W158" s="843"/>
      <c r="X158" s="843"/>
      <c r="Y158" s="843"/>
      <c r="Z158" s="843"/>
      <c r="AA158" s="837"/>
      <c r="AB158" s="837"/>
      <c r="AC158" s="845">
        <f t="shared" si="28"/>
        <v>0</v>
      </c>
      <c r="AD158" s="846">
        <f t="shared" si="29"/>
        <v>0</v>
      </c>
      <c r="AE158" s="847">
        <f t="shared" si="30"/>
        <v>0</v>
      </c>
      <c r="AF158" s="855">
        <f t="shared" si="23"/>
        <v>0</v>
      </c>
      <c r="AG158" s="848">
        <f>IF('Input Sheet'!$C$15="Yes",'Input Sheet'!$F$8,0)</f>
        <v>0</v>
      </c>
      <c r="AH158" s="846">
        <f>IF('Input Sheet'!$C$15="Yes",Rates!$E$45,0)</f>
        <v>0</v>
      </c>
      <c r="AI158" s="849">
        <f>IF('Input Sheet'!$C$15="Yes",'Input Sheet'!$F$11,0)</f>
        <v>0</v>
      </c>
      <c r="AJ158" s="850">
        <f>IF('Input Sheet'!$C$15="Yes",'Input Sheet'!$F$7,0)</f>
        <v>0</v>
      </c>
      <c r="AK158" s="856">
        <f t="shared" si="24"/>
        <v>0</v>
      </c>
      <c r="AL158" s="856">
        <f t="shared" si="25"/>
        <v>0</v>
      </c>
      <c r="AM158" s="856">
        <f t="shared" si="31"/>
        <v>0</v>
      </c>
      <c r="AN158" s="856">
        <f t="shared" si="26"/>
        <v>0</v>
      </c>
      <c r="AO158" s="852">
        <f t="shared" si="32"/>
        <v>0</v>
      </c>
      <c r="AP158" s="853">
        <f t="shared" si="33"/>
        <v>0</v>
      </c>
      <c r="AQ158" s="854">
        <f>IFERROR(P158*'Input Sheet'!$F$8/(((AI158)*AK158*2)-AN158),0)</f>
        <v>0</v>
      </c>
      <c r="AR158" s="854">
        <f>IFERROR(($P158-$AF158)*'Input Sheet'!$F$8/(((AI158)*AK158*2)-AN158),0)</f>
        <v>0</v>
      </c>
    </row>
    <row r="159" spans="2:44" s="798" customFormat="1" ht="30" customHeight="1" thickBot="1" x14ac:dyDescent="0.3">
      <c r="B159" s="835"/>
      <c r="C159" s="836"/>
      <c r="D159" s="836"/>
      <c r="E159" s="837"/>
      <c r="F159" s="837"/>
      <c r="G159" s="838"/>
      <c r="H159" s="838"/>
      <c r="I159" s="839"/>
      <c r="J159" s="839"/>
      <c r="K159" s="840"/>
      <c r="L159" s="841"/>
      <c r="M159" s="841"/>
      <c r="N159" s="842"/>
      <c r="O159" s="842"/>
      <c r="P159" s="843"/>
      <c r="Q159" s="843"/>
      <c r="R159" s="843"/>
      <c r="S159" s="844">
        <f t="shared" si="27"/>
        <v>0</v>
      </c>
      <c r="T159" s="838"/>
      <c r="U159" s="842"/>
      <c r="V159" s="843"/>
      <c r="W159" s="843"/>
      <c r="X159" s="843"/>
      <c r="Y159" s="843"/>
      <c r="Z159" s="843"/>
      <c r="AA159" s="837"/>
      <c r="AB159" s="837"/>
      <c r="AC159" s="845">
        <f t="shared" si="28"/>
        <v>0</v>
      </c>
      <c r="AD159" s="846">
        <f t="shared" si="29"/>
        <v>0</v>
      </c>
      <c r="AE159" s="847">
        <f t="shared" si="30"/>
        <v>0</v>
      </c>
      <c r="AF159" s="855">
        <f t="shared" si="23"/>
        <v>0</v>
      </c>
      <c r="AG159" s="848">
        <f>IF('Input Sheet'!$C$15="Yes",'Input Sheet'!$F$8,0)</f>
        <v>0</v>
      </c>
      <c r="AH159" s="846">
        <f>IF('Input Sheet'!$C$15="Yes",Rates!$E$45,0)</f>
        <v>0</v>
      </c>
      <c r="AI159" s="849">
        <f>IF('Input Sheet'!$C$15="Yes",'Input Sheet'!$F$11,0)</f>
        <v>0</v>
      </c>
      <c r="AJ159" s="850">
        <f>IF('Input Sheet'!$C$15="Yes",'Input Sheet'!$F$7,0)</f>
        <v>0</v>
      </c>
      <c r="AK159" s="856">
        <f t="shared" si="24"/>
        <v>0</v>
      </c>
      <c r="AL159" s="856">
        <f t="shared" si="25"/>
        <v>0</v>
      </c>
      <c r="AM159" s="856">
        <f t="shared" si="31"/>
        <v>0</v>
      </c>
      <c r="AN159" s="856">
        <f t="shared" si="26"/>
        <v>0</v>
      </c>
      <c r="AO159" s="852">
        <f t="shared" si="32"/>
        <v>0</v>
      </c>
      <c r="AP159" s="853">
        <f t="shared" si="33"/>
        <v>0</v>
      </c>
      <c r="AQ159" s="854">
        <f>IFERROR(P159*'Input Sheet'!$F$8/(((AI159)*AK159*2)-AN159),0)</f>
        <v>0</v>
      </c>
      <c r="AR159" s="854">
        <f>IFERROR(($P159-$AF159)*'Input Sheet'!$F$8/(((AI159)*AK159*2)-AN159),0)</f>
        <v>0</v>
      </c>
    </row>
    <row r="160" spans="2:44" s="798" customFormat="1" ht="30" customHeight="1" thickBot="1" x14ac:dyDescent="0.3">
      <c r="B160" s="835"/>
      <c r="C160" s="836"/>
      <c r="D160" s="836"/>
      <c r="E160" s="837"/>
      <c r="F160" s="837"/>
      <c r="G160" s="838"/>
      <c r="H160" s="838"/>
      <c r="I160" s="839"/>
      <c r="J160" s="839"/>
      <c r="K160" s="840"/>
      <c r="L160" s="841"/>
      <c r="M160" s="841"/>
      <c r="N160" s="842"/>
      <c r="O160" s="842"/>
      <c r="P160" s="843"/>
      <c r="Q160" s="843"/>
      <c r="R160" s="843"/>
      <c r="S160" s="844">
        <f t="shared" si="27"/>
        <v>0</v>
      </c>
      <c r="T160" s="838"/>
      <c r="U160" s="842"/>
      <c r="V160" s="843"/>
      <c r="W160" s="843"/>
      <c r="X160" s="843"/>
      <c r="Y160" s="843"/>
      <c r="Z160" s="843"/>
      <c r="AA160" s="837"/>
      <c r="AB160" s="837"/>
      <c r="AC160" s="845">
        <f t="shared" si="28"/>
        <v>0</v>
      </c>
      <c r="AD160" s="846">
        <f t="shared" si="29"/>
        <v>0</v>
      </c>
      <c r="AE160" s="847">
        <f t="shared" si="30"/>
        <v>0</v>
      </c>
      <c r="AF160" s="855">
        <f t="shared" si="23"/>
        <v>0</v>
      </c>
      <c r="AG160" s="848">
        <f>IF('Input Sheet'!$C$15="Yes",'Input Sheet'!$F$8,0)</f>
        <v>0</v>
      </c>
      <c r="AH160" s="846">
        <f>IF('Input Sheet'!$C$15="Yes",Rates!$E$45,0)</f>
        <v>0</v>
      </c>
      <c r="AI160" s="849">
        <f>IF('Input Sheet'!$C$15="Yes",'Input Sheet'!$F$11,0)</f>
        <v>0</v>
      </c>
      <c r="AJ160" s="850">
        <f>IF('Input Sheet'!$C$15="Yes",'Input Sheet'!$F$7,0)</f>
        <v>0</v>
      </c>
      <c r="AK160" s="856">
        <f t="shared" si="24"/>
        <v>0</v>
      </c>
      <c r="AL160" s="856">
        <f t="shared" si="25"/>
        <v>0</v>
      </c>
      <c r="AM160" s="856">
        <f t="shared" si="31"/>
        <v>0</v>
      </c>
      <c r="AN160" s="856">
        <f t="shared" si="26"/>
        <v>0</v>
      </c>
      <c r="AO160" s="852">
        <f t="shared" si="32"/>
        <v>0</v>
      </c>
      <c r="AP160" s="853">
        <f t="shared" si="33"/>
        <v>0</v>
      </c>
      <c r="AQ160" s="854">
        <f>IFERROR(P160*'Input Sheet'!$F$8/(((AI160)*AK160*2)-AN160),0)</f>
        <v>0</v>
      </c>
      <c r="AR160" s="854">
        <f>IFERROR(($P160-$AF160)*'Input Sheet'!$F$8/(((AI160)*AK160*2)-AN160),0)</f>
        <v>0</v>
      </c>
    </row>
    <row r="161" spans="2:44" s="798" customFormat="1" ht="30" customHeight="1" thickBot="1" x14ac:dyDescent="0.3">
      <c r="B161" s="835"/>
      <c r="C161" s="836"/>
      <c r="D161" s="836"/>
      <c r="E161" s="837"/>
      <c r="F161" s="837"/>
      <c r="G161" s="838"/>
      <c r="H161" s="838"/>
      <c r="I161" s="839"/>
      <c r="J161" s="839"/>
      <c r="K161" s="840"/>
      <c r="L161" s="841"/>
      <c r="M161" s="841"/>
      <c r="N161" s="842"/>
      <c r="O161" s="842"/>
      <c r="P161" s="843"/>
      <c r="Q161" s="843"/>
      <c r="R161" s="843"/>
      <c r="S161" s="844">
        <f t="shared" si="27"/>
        <v>0</v>
      </c>
      <c r="T161" s="838"/>
      <c r="U161" s="842"/>
      <c r="V161" s="843"/>
      <c r="W161" s="843"/>
      <c r="X161" s="843"/>
      <c r="Y161" s="843"/>
      <c r="Z161" s="843"/>
      <c r="AA161" s="837"/>
      <c r="AB161" s="837"/>
      <c r="AC161" s="845">
        <f t="shared" si="28"/>
        <v>0</v>
      </c>
      <c r="AD161" s="846">
        <f t="shared" si="29"/>
        <v>0</v>
      </c>
      <c r="AE161" s="847">
        <f t="shared" si="30"/>
        <v>0</v>
      </c>
      <c r="AF161" s="855">
        <f t="shared" si="23"/>
        <v>0</v>
      </c>
      <c r="AG161" s="848">
        <f>IF('Input Sheet'!$C$15="Yes",'Input Sheet'!$F$8,0)</f>
        <v>0</v>
      </c>
      <c r="AH161" s="846">
        <f>IF('Input Sheet'!$C$15="Yes",Rates!$E$45,0)</f>
        <v>0</v>
      </c>
      <c r="AI161" s="849">
        <f>IF('Input Sheet'!$C$15="Yes",'Input Sheet'!$F$11,0)</f>
        <v>0</v>
      </c>
      <c r="AJ161" s="850">
        <f>IF('Input Sheet'!$C$15="Yes",'Input Sheet'!$F$7,0)</f>
        <v>0</v>
      </c>
      <c r="AK161" s="856">
        <f t="shared" si="24"/>
        <v>0</v>
      </c>
      <c r="AL161" s="856">
        <f t="shared" si="25"/>
        <v>0</v>
      </c>
      <c r="AM161" s="856">
        <f t="shared" si="31"/>
        <v>0</v>
      </c>
      <c r="AN161" s="856">
        <f t="shared" si="26"/>
        <v>0</v>
      </c>
      <c r="AO161" s="852">
        <f t="shared" si="32"/>
        <v>0</v>
      </c>
      <c r="AP161" s="853">
        <f t="shared" si="33"/>
        <v>0</v>
      </c>
      <c r="AQ161" s="854">
        <f>IFERROR(P161*'Input Sheet'!$F$8/(((AI161)*AK161*2)-AN161),0)</f>
        <v>0</v>
      </c>
      <c r="AR161" s="854">
        <f>IFERROR(($P161-$AF161)*'Input Sheet'!$F$8/(((AI161)*AK161*2)-AN161),0)</f>
        <v>0</v>
      </c>
    </row>
    <row r="162" spans="2:44" s="798" customFormat="1" ht="30" customHeight="1" thickBot="1" x14ac:dyDescent="0.3">
      <c r="B162" s="835"/>
      <c r="C162" s="836"/>
      <c r="D162" s="836"/>
      <c r="E162" s="837"/>
      <c r="F162" s="837"/>
      <c r="G162" s="838"/>
      <c r="H162" s="838"/>
      <c r="I162" s="839"/>
      <c r="J162" s="839"/>
      <c r="K162" s="840"/>
      <c r="L162" s="841"/>
      <c r="M162" s="841"/>
      <c r="N162" s="842"/>
      <c r="O162" s="842"/>
      <c r="P162" s="843"/>
      <c r="Q162" s="843"/>
      <c r="R162" s="843"/>
      <c r="S162" s="844">
        <f t="shared" si="27"/>
        <v>0</v>
      </c>
      <c r="T162" s="838"/>
      <c r="U162" s="842"/>
      <c r="V162" s="843"/>
      <c r="W162" s="843"/>
      <c r="X162" s="843"/>
      <c r="Y162" s="843"/>
      <c r="Z162" s="843"/>
      <c r="AA162" s="837"/>
      <c r="AB162" s="837"/>
      <c r="AC162" s="845">
        <f t="shared" si="28"/>
        <v>0</v>
      </c>
      <c r="AD162" s="846">
        <f t="shared" si="29"/>
        <v>0</v>
      </c>
      <c r="AE162" s="847">
        <f t="shared" si="30"/>
        <v>0</v>
      </c>
      <c r="AF162" s="855">
        <f t="shared" si="23"/>
        <v>0</v>
      </c>
      <c r="AG162" s="848">
        <f>IF('Input Sheet'!$C$15="Yes",'Input Sheet'!$F$8,0)</f>
        <v>0</v>
      </c>
      <c r="AH162" s="846">
        <f>IF('Input Sheet'!$C$15="Yes",Rates!$E$45,0)</f>
        <v>0</v>
      </c>
      <c r="AI162" s="849">
        <f>IF('Input Sheet'!$C$15="Yes",'Input Sheet'!$F$11,0)</f>
        <v>0</v>
      </c>
      <c r="AJ162" s="850">
        <f>IF('Input Sheet'!$C$15="Yes",'Input Sheet'!$F$7,0)</f>
        <v>0</v>
      </c>
      <c r="AK162" s="856">
        <f t="shared" si="24"/>
        <v>0</v>
      </c>
      <c r="AL162" s="856">
        <f t="shared" si="25"/>
        <v>0</v>
      </c>
      <c r="AM162" s="856">
        <f t="shared" si="31"/>
        <v>0</v>
      </c>
      <c r="AN162" s="856">
        <f t="shared" si="26"/>
        <v>0</v>
      </c>
      <c r="AO162" s="852">
        <f t="shared" si="32"/>
        <v>0</v>
      </c>
      <c r="AP162" s="853">
        <f t="shared" si="33"/>
        <v>0</v>
      </c>
      <c r="AQ162" s="854">
        <f>IFERROR(P162*'Input Sheet'!$F$8/(((AI162)*AK162*2)-AN162),0)</f>
        <v>0</v>
      </c>
      <c r="AR162" s="854">
        <f>IFERROR(($P162-$AF162)*'Input Sheet'!$F$8/(((AI162)*AK162*2)-AN162),0)</f>
        <v>0</v>
      </c>
    </row>
    <row r="163" spans="2:44" s="798" customFormat="1" ht="30" customHeight="1" thickBot="1" x14ac:dyDescent="0.3">
      <c r="B163" s="835"/>
      <c r="C163" s="836"/>
      <c r="D163" s="836"/>
      <c r="E163" s="837"/>
      <c r="F163" s="837"/>
      <c r="G163" s="838"/>
      <c r="H163" s="838"/>
      <c r="I163" s="839"/>
      <c r="J163" s="839"/>
      <c r="K163" s="840"/>
      <c r="L163" s="841"/>
      <c r="M163" s="841"/>
      <c r="N163" s="842"/>
      <c r="O163" s="842"/>
      <c r="P163" s="843"/>
      <c r="Q163" s="843"/>
      <c r="R163" s="843"/>
      <c r="S163" s="844">
        <f t="shared" si="27"/>
        <v>0</v>
      </c>
      <c r="T163" s="838"/>
      <c r="U163" s="842"/>
      <c r="V163" s="843"/>
      <c r="W163" s="843"/>
      <c r="X163" s="843"/>
      <c r="Y163" s="843"/>
      <c r="Z163" s="843"/>
      <c r="AA163" s="837"/>
      <c r="AB163" s="837"/>
      <c r="AC163" s="845">
        <f t="shared" si="28"/>
        <v>0</v>
      </c>
      <c r="AD163" s="846">
        <f t="shared" si="29"/>
        <v>0</v>
      </c>
      <c r="AE163" s="847">
        <f t="shared" si="30"/>
        <v>0</v>
      </c>
      <c r="AF163" s="855">
        <f t="shared" si="23"/>
        <v>0</v>
      </c>
      <c r="AG163" s="848">
        <f>IF('Input Sheet'!$C$15="Yes",'Input Sheet'!$F$8,0)</f>
        <v>0</v>
      </c>
      <c r="AH163" s="846">
        <f>IF('Input Sheet'!$C$15="Yes",Rates!$E$45,0)</f>
        <v>0</v>
      </c>
      <c r="AI163" s="849">
        <f>IF('Input Sheet'!$C$15="Yes",'Input Sheet'!$F$11,0)</f>
        <v>0</v>
      </c>
      <c r="AJ163" s="850">
        <f>IF('Input Sheet'!$C$15="Yes",'Input Sheet'!$F$7,0)</f>
        <v>0</v>
      </c>
      <c r="AK163" s="856">
        <f t="shared" si="24"/>
        <v>0</v>
      </c>
      <c r="AL163" s="856">
        <f t="shared" si="25"/>
        <v>0</v>
      </c>
      <c r="AM163" s="856">
        <f t="shared" si="31"/>
        <v>0</v>
      </c>
      <c r="AN163" s="856">
        <f t="shared" si="26"/>
        <v>0</v>
      </c>
      <c r="AO163" s="852">
        <f t="shared" si="32"/>
        <v>0</v>
      </c>
      <c r="AP163" s="853">
        <f t="shared" si="33"/>
        <v>0</v>
      </c>
      <c r="AQ163" s="854">
        <f>IFERROR(P163*'Input Sheet'!$F$8/(((AI163)*AK163*2)-AN163),0)</f>
        <v>0</v>
      </c>
      <c r="AR163" s="854">
        <f>IFERROR(($P163-$AF163)*'Input Sheet'!$F$8/(((AI163)*AK163*2)-AN163),0)</f>
        <v>0</v>
      </c>
    </row>
    <row r="164" spans="2:44" s="798" customFormat="1" ht="30" customHeight="1" thickBot="1" x14ac:dyDescent="0.3">
      <c r="B164" s="835"/>
      <c r="C164" s="836"/>
      <c r="D164" s="836"/>
      <c r="E164" s="837"/>
      <c r="F164" s="837"/>
      <c r="G164" s="838"/>
      <c r="H164" s="838"/>
      <c r="I164" s="839"/>
      <c r="J164" s="839"/>
      <c r="K164" s="840"/>
      <c r="L164" s="841"/>
      <c r="M164" s="841"/>
      <c r="N164" s="842"/>
      <c r="O164" s="842"/>
      <c r="P164" s="843"/>
      <c r="Q164" s="843"/>
      <c r="R164" s="843"/>
      <c r="S164" s="844">
        <f t="shared" si="27"/>
        <v>0</v>
      </c>
      <c r="T164" s="838"/>
      <c r="U164" s="842"/>
      <c r="V164" s="843"/>
      <c r="W164" s="843"/>
      <c r="X164" s="843"/>
      <c r="Y164" s="843"/>
      <c r="Z164" s="843"/>
      <c r="AA164" s="837"/>
      <c r="AB164" s="837"/>
      <c r="AC164" s="845">
        <f t="shared" si="28"/>
        <v>0</v>
      </c>
      <c r="AD164" s="846">
        <f t="shared" si="29"/>
        <v>0</v>
      </c>
      <c r="AE164" s="847">
        <f t="shared" si="30"/>
        <v>0</v>
      </c>
      <c r="AF164" s="855">
        <f t="shared" si="23"/>
        <v>0</v>
      </c>
      <c r="AG164" s="848">
        <f>IF('Input Sheet'!$C$15="Yes",'Input Sheet'!$F$8,0)</f>
        <v>0</v>
      </c>
      <c r="AH164" s="846">
        <f>IF('Input Sheet'!$C$15="Yes",Rates!$E$45,0)</f>
        <v>0</v>
      </c>
      <c r="AI164" s="849">
        <f>IF('Input Sheet'!$C$15="Yes",'Input Sheet'!$F$11,0)</f>
        <v>0</v>
      </c>
      <c r="AJ164" s="850">
        <f>IF('Input Sheet'!$C$15="Yes",'Input Sheet'!$F$7,0)</f>
        <v>0</v>
      </c>
      <c r="AK164" s="856">
        <f t="shared" si="24"/>
        <v>0</v>
      </c>
      <c r="AL164" s="856">
        <f t="shared" si="25"/>
        <v>0</v>
      </c>
      <c r="AM164" s="856">
        <f t="shared" si="31"/>
        <v>0</v>
      </c>
      <c r="AN164" s="856">
        <f t="shared" si="26"/>
        <v>0</v>
      </c>
      <c r="AO164" s="852">
        <f t="shared" si="32"/>
        <v>0</v>
      </c>
      <c r="AP164" s="853">
        <f t="shared" si="33"/>
        <v>0</v>
      </c>
      <c r="AQ164" s="854">
        <f>IFERROR(P164*'Input Sheet'!$F$8/(((AI164)*AK164*2)-AN164),0)</f>
        <v>0</v>
      </c>
      <c r="AR164" s="854">
        <f>IFERROR(($P164-$AF164)*'Input Sheet'!$F$8/(((AI164)*AK164*2)-AN164),0)</f>
        <v>0</v>
      </c>
    </row>
    <row r="165" spans="2:44" s="798" customFormat="1" ht="30" customHeight="1" thickBot="1" x14ac:dyDescent="0.3">
      <c r="B165" s="835"/>
      <c r="C165" s="836"/>
      <c r="D165" s="836"/>
      <c r="E165" s="837"/>
      <c r="F165" s="837"/>
      <c r="G165" s="838"/>
      <c r="H165" s="838"/>
      <c r="I165" s="839"/>
      <c r="J165" s="839"/>
      <c r="K165" s="840"/>
      <c r="L165" s="841"/>
      <c r="M165" s="841"/>
      <c r="N165" s="842"/>
      <c r="O165" s="842"/>
      <c r="P165" s="843"/>
      <c r="Q165" s="843"/>
      <c r="R165" s="843"/>
      <c r="S165" s="844">
        <f t="shared" si="27"/>
        <v>0</v>
      </c>
      <c r="T165" s="838"/>
      <c r="U165" s="842"/>
      <c r="V165" s="843"/>
      <c r="W165" s="843"/>
      <c r="X165" s="843"/>
      <c r="Y165" s="843"/>
      <c r="Z165" s="843"/>
      <c r="AA165" s="837"/>
      <c r="AB165" s="837"/>
      <c r="AC165" s="845">
        <f t="shared" si="28"/>
        <v>0</v>
      </c>
      <c r="AD165" s="846">
        <f t="shared" si="29"/>
        <v>0</v>
      </c>
      <c r="AE165" s="847">
        <f t="shared" si="30"/>
        <v>0</v>
      </c>
      <c r="AF165" s="855">
        <f t="shared" si="23"/>
        <v>0</v>
      </c>
      <c r="AG165" s="848">
        <f>IF('Input Sheet'!$C$15="Yes",'Input Sheet'!$F$8,0)</f>
        <v>0</v>
      </c>
      <c r="AH165" s="846">
        <f>IF('Input Sheet'!$C$15="Yes",Rates!$E$45,0)</f>
        <v>0</v>
      </c>
      <c r="AI165" s="849">
        <f>IF('Input Sheet'!$C$15="Yes",'Input Sheet'!$F$11,0)</f>
        <v>0</v>
      </c>
      <c r="AJ165" s="850">
        <f>IF('Input Sheet'!$C$15="Yes",'Input Sheet'!$F$7,0)</f>
        <v>0</v>
      </c>
      <c r="AK165" s="856">
        <f t="shared" si="24"/>
        <v>0</v>
      </c>
      <c r="AL165" s="856">
        <f t="shared" si="25"/>
        <v>0</v>
      </c>
      <c r="AM165" s="856">
        <f t="shared" si="31"/>
        <v>0</v>
      </c>
      <c r="AN165" s="856">
        <f t="shared" si="26"/>
        <v>0</v>
      </c>
      <c r="AO165" s="852">
        <f t="shared" si="32"/>
        <v>0</v>
      </c>
      <c r="AP165" s="853">
        <f t="shared" si="33"/>
        <v>0</v>
      </c>
      <c r="AQ165" s="854">
        <f>IFERROR(P165*'Input Sheet'!$F$8/(((AI165)*AK165*2)-AN165),0)</f>
        <v>0</v>
      </c>
      <c r="AR165" s="854">
        <f>IFERROR(($P165-$AF165)*'Input Sheet'!$F$8/(((AI165)*AK165*2)-AN165),0)</f>
        <v>0</v>
      </c>
    </row>
    <row r="166" spans="2:44" s="798" customFormat="1" ht="30" customHeight="1" thickBot="1" x14ac:dyDescent="0.3">
      <c r="B166" s="835"/>
      <c r="C166" s="836"/>
      <c r="D166" s="836"/>
      <c r="E166" s="837"/>
      <c r="F166" s="837"/>
      <c r="G166" s="838"/>
      <c r="H166" s="838"/>
      <c r="I166" s="839"/>
      <c r="J166" s="839"/>
      <c r="K166" s="840"/>
      <c r="L166" s="841"/>
      <c r="M166" s="841"/>
      <c r="N166" s="842"/>
      <c r="O166" s="842"/>
      <c r="P166" s="843"/>
      <c r="Q166" s="843"/>
      <c r="R166" s="843"/>
      <c r="S166" s="844">
        <f t="shared" si="27"/>
        <v>0</v>
      </c>
      <c r="T166" s="838"/>
      <c r="U166" s="842"/>
      <c r="V166" s="843"/>
      <c r="W166" s="843"/>
      <c r="X166" s="843"/>
      <c r="Y166" s="843"/>
      <c r="Z166" s="843"/>
      <c r="AA166" s="837"/>
      <c r="AB166" s="837"/>
      <c r="AC166" s="845">
        <f t="shared" si="28"/>
        <v>0</v>
      </c>
      <c r="AD166" s="846">
        <f t="shared" si="29"/>
        <v>0</v>
      </c>
      <c r="AE166" s="847">
        <f t="shared" si="30"/>
        <v>0</v>
      </c>
      <c r="AF166" s="855">
        <f t="shared" si="23"/>
        <v>0</v>
      </c>
      <c r="AG166" s="848">
        <f>IF('Input Sheet'!$C$15="Yes",'Input Sheet'!$F$8,0)</f>
        <v>0</v>
      </c>
      <c r="AH166" s="846">
        <f>IF('Input Sheet'!$C$15="Yes",Rates!$E$45,0)</f>
        <v>0</v>
      </c>
      <c r="AI166" s="849">
        <f>IF('Input Sheet'!$C$15="Yes",'Input Sheet'!$F$11,0)</f>
        <v>0</v>
      </c>
      <c r="AJ166" s="850">
        <f>IF('Input Sheet'!$C$15="Yes",'Input Sheet'!$F$7,0)</f>
        <v>0</v>
      </c>
      <c r="AK166" s="856">
        <f t="shared" si="24"/>
        <v>0</v>
      </c>
      <c r="AL166" s="856">
        <f t="shared" si="25"/>
        <v>0</v>
      </c>
      <c r="AM166" s="856">
        <f t="shared" si="31"/>
        <v>0</v>
      </c>
      <c r="AN166" s="856">
        <f t="shared" si="26"/>
        <v>0</v>
      </c>
      <c r="AO166" s="852">
        <f t="shared" si="32"/>
        <v>0</v>
      </c>
      <c r="AP166" s="853">
        <f t="shared" si="33"/>
        <v>0</v>
      </c>
      <c r="AQ166" s="854">
        <f>IFERROR(P166*'Input Sheet'!$F$8/(((AI166)*AK166*2)-AN166),0)</f>
        <v>0</v>
      </c>
      <c r="AR166" s="854">
        <f>IFERROR(($P166-$AF166)*'Input Sheet'!$F$8/(((AI166)*AK166*2)-AN166),0)</f>
        <v>0</v>
      </c>
    </row>
    <row r="167" spans="2:44" s="798" customFormat="1" ht="30" customHeight="1" thickBot="1" x14ac:dyDescent="0.3">
      <c r="B167" s="835"/>
      <c r="C167" s="836"/>
      <c r="D167" s="836"/>
      <c r="E167" s="837"/>
      <c r="F167" s="837"/>
      <c r="G167" s="838"/>
      <c r="H167" s="838"/>
      <c r="I167" s="839"/>
      <c r="J167" s="839"/>
      <c r="K167" s="840"/>
      <c r="L167" s="841"/>
      <c r="M167" s="841"/>
      <c r="N167" s="842"/>
      <c r="O167" s="842"/>
      <c r="P167" s="843"/>
      <c r="Q167" s="843"/>
      <c r="R167" s="843"/>
      <c r="S167" s="844">
        <f t="shared" si="27"/>
        <v>0</v>
      </c>
      <c r="T167" s="838"/>
      <c r="U167" s="842"/>
      <c r="V167" s="843"/>
      <c r="W167" s="843"/>
      <c r="X167" s="843"/>
      <c r="Y167" s="843"/>
      <c r="Z167" s="843"/>
      <c r="AA167" s="837"/>
      <c r="AB167" s="837"/>
      <c r="AC167" s="845">
        <f t="shared" si="28"/>
        <v>0</v>
      </c>
      <c r="AD167" s="846">
        <f t="shared" si="29"/>
        <v>0</v>
      </c>
      <c r="AE167" s="847">
        <f t="shared" si="30"/>
        <v>0</v>
      </c>
      <c r="AF167" s="855">
        <f t="shared" si="23"/>
        <v>0</v>
      </c>
      <c r="AG167" s="848">
        <f>IF('Input Sheet'!$C$15="Yes",'Input Sheet'!$F$8,0)</f>
        <v>0</v>
      </c>
      <c r="AH167" s="846">
        <f>IF('Input Sheet'!$C$15="Yes",Rates!$E$45,0)</f>
        <v>0</v>
      </c>
      <c r="AI167" s="849">
        <f>IF('Input Sheet'!$C$15="Yes",'Input Sheet'!$F$11,0)</f>
        <v>0</v>
      </c>
      <c r="AJ167" s="850">
        <f>IF('Input Sheet'!$C$15="Yes",'Input Sheet'!$F$7,0)</f>
        <v>0</v>
      </c>
      <c r="AK167" s="856">
        <f t="shared" si="24"/>
        <v>0</v>
      </c>
      <c r="AL167" s="856">
        <f t="shared" si="25"/>
        <v>0</v>
      </c>
      <c r="AM167" s="856">
        <f t="shared" si="31"/>
        <v>0</v>
      </c>
      <c r="AN167" s="856">
        <f t="shared" si="26"/>
        <v>0</v>
      </c>
      <c r="AO167" s="852">
        <f t="shared" si="32"/>
        <v>0</v>
      </c>
      <c r="AP167" s="853">
        <f t="shared" si="33"/>
        <v>0</v>
      </c>
      <c r="AQ167" s="854">
        <f>IFERROR(P167*'Input Sheet'!$F$8/(((AI167)*AK167*2)-AN167),0)</f>
        <v>0</v>
      </c>
      <c r="AR167" s="854">
        <f>IFERROR(($P167-$AF167)*'Input Sheet'!$F$8/(((AI167)*AK167*2)-AN167),0)</f>
        <v>0</v>
      </c>
    </row>
    <row r="168" spans="2:44" s="798" customFormat="1" ht="30" customHeight="1" thickBot="1" x14ac:dyDescent="0.3">
      <c r="B168" s="835"/>
      <c r="C168" s="836"/>
      <c r="D168" s="836"/>
      <c r="E168" s="837"/>
      <c r="F168" s="837"/>
      <c r="G168" s="838"/>
      <c r="H168" s="838"/>
      <c r="I168" s="839"/>
      <c r="J168" s="839"/>
      <c r="K168" s="840"/>
      <c r="L168" s="841"/>
      <c r="M168" s="841"/>
      <c r="N168" s="842"/>
      <c r="O168" s="842"/>
      <c r="P168" s="843"/>
      <c r="Q168" s="843"/>
      <c r="R168" s="843"/>
      <c r="S168" s="844">
        <f t="shared" si="27"/>
        <v>0</v>
      </c>
      <c r="T168" s="838"/>
      <c r="U168" s="842"/>
      <c r="V168" s="843"/>
      <c r="W168" s="843"/>
      <c r="X168" s="843"/>
      <c r="Y168" s="843"/>
      <c r="Z168" s="843"/>
      <c r="AA168" s="837"/>
      <c r="AB168" s="837"/>
      <c r="AC168" s="845">
        <f t="shared" si="28"/>
        <v>0</v>
      </c>
      <c r="AD168" s="846">
        <f t="shared" si="29"/>
        <v>0</v>
      </c>
      <c r="AE168" s="847">
        <f t="shared" si="30"/>
        <v>0</v>
      </c>
      <c r="AF168" s="855">
        <f t="shared" si="23"/>
        <v>0</v>
      </c>
      <c r="AG168" s="848">
        <f>IF('Input Sheet'!$C$15="Yes",'Input Sheet'!$F$8,0)</f>
        <v>0</v>
      </c>
      <c r="AH168" s="846">
        <f>IF('Input Sheet'!$C$15="Yes",Rates!$E$45,0)</f>
        <v>0</v>
      </c>
      <c r="AI168" s="849">
        <f>IF('Input Sheet'!$C$15="Yes",'Input Sheet'!$F$11,0)</f>
        <v>0</v>
      </c>
      <c r="AJ168" s="850">
        <f>IF('Input Sheet'!$C$15="Yes",'Input Sheet'!$F$7,0)</f>
        <v>0</v>
      </c>
      <c r="AK168" s="856">
        <f t="shared" si="24"/>
        <v>0</v>
      </c>
      <c r="AL168" s="856">
        <f t="shared" si="25"/>
        <v>0</v>
      </c>
      <c r="AM168" s="856">
        <f t="shared" si="31"/>
        <v>0</v>
      </c>
      <c r="AN168" s="856">
        <f t="shared" si="26"/>
        <v>0</v>
      </c>
      <c r="AO168" s="852">
        <f t="shared" si="32"/>
        <v>0</v>
      </c>
      <c r="AP168" s="853">
        <f t="shared" si="33"/>
        <v>0</v>
      </c>
      <c r="AQ168" s="854">
        <f>IFERROR(P168*'Input Sheet'!$F$8/(((AI168)*AK168*2)-AN168),0)</f>
        <v>0</v>
      </c>
      <c r="AR168" s="854">
        <f>IFERROR(($P168-$AF168)*'Input Sheet'!$F$8/(((AI168)*AK168*2)-AN168),0)</f>
        <v>0</v>
      </c>
    </row>
    <row r="169" spans="2:44" s="798" customFormat="1" ht="30" customHeight="1" thickBot="1" x14ac:dyDescent="0.3">
      <c r="B169" s="835"/>
      <c r="C169" s="836"/>
      <c r="D169" s="836"/>
      <c r="E169" s="837"/>
      <c r="F169" s="837"/>
      <c r="G169" s="838"/>
      <c r="H169" s="838"/>
      <c r="I169" s="839"/>
      <c r="J169" s="839"/>
      <c r="K169" s="840"/>
      <c r="L169" s="841"/>
      <c r="M169" s="841"/>
      <c r="N169" s="842"/>
      <c r="O169" s="842"/>
      <c r="P169" s="843"/>
      <c r="Q169" s="843"/>
      <c r="R169" s="843"/>
      <c r="S169" s="844">
        <f t="shared" si="27"/>
        <v>0</v>
      </c>
      <c r="T169" s="838"/>
      <c r="U169" s="842"/>
      <c r="V169" s="843"/>
      <c r="W169" s="843"/>
      <c r="X169" s="843"/>
      <c r="Y169" s="843"/>
      <c r="Z169" s="843"/>
      <c r="AA169" s="837"/>
      <c r="AB169" s="837"/>
      <c r="AC169" s="845">
        <f t="shared" si="28"/>
        <v>0</v>
      </c>
      <c r="AD169" s="846">
        <f t="shared" si="29"/>
        <v>0</v>
      </c>
      <c r="AE169" s="847">
        <f t="shared" si="30"/>
        <v>0</v>
      </c>
      <c r="AF169" s="855">
        <f t="shared" si="23"/>
        <v>0</v>
      </c>
      <c r="AG169" s="848">
        <f>IF('Input Sheet'!$C$15="Yes",'Input Sheet'!$F$8,0)</f>
        <v>0</v>
      </c>
      <c r="AH169" s="846">
        <f>IF('Input Sheet'!$C$15="Yes",Rates!$E$45,0)</f>
        <v>0</v>
      </c>
      <c r="AI169" s="849">
        <f>IF('Input Sheet'!$C$15="Yes",'Input Sheet'!$F$11,0)</f>
        <v>0</v>
      </c>
      <c r="AJ169" s="850">
        <f>IF('Input Sheet'!$C$15="Yes",'Input Sheet'!$F$7,0)</f>
        <v>0</v>
      </c>
      <c r="AK169" s="856">
        <f t="shared" si="24"/>
        <v>0</v>
      </c>
      <c r="AL169" s="856">
        <f t="shared" si="25"/>
        <v>0</v>
      </c>
      <c r="AM169" s="856">
        <f t="shared" si="31"/>
        <v>0</v>
      </c>
      <c r="AN169" s="856">
        <f t="shared" si="26"/>
        <v>0</v>
      </c>
      <c r="AO169" s="852">
        <f t="shared" si="32"/>
        <v>0</v>
      </c>
      <c r="AP169" s="853">
        <f t="shared" si="33"/>
        <v>0</v>
      </c>
      <c r="AQ169" s="854">
        <f>IFERROR(P169*'Input Sheet'!$F$8/(((AI169)*AK169*2)-AN169),0)</f>
        <v>0</v>
      </c>
      <c r="AR169" s="854">
        <f>IFERROR(($P169-$AF169)*'Input Sheet'!$F$8/(((AI169)*AK169*2)-AN169),0)</f>
        <v>0</v>
      </c>
    </row>
    <row r="170" spans="2:44" s="798" customFormat="1" ht="30" customHeight="1" thickBot="1" x14ac:dyDescent="0.3">
      <c r="B170" s="835"/>
      <c r="C170" s="836"/>
      <c r="D170" s="836"/>
      <c r="E170" s="837"/>
      <c r="F170" s="837"/>
      <c r="G170" s="838"/>
      <c r="H170" s="838"/>
      <c r="I170" s="839"/>
      <c r="J170" s="839"/>
      <c r="K170" s="840"/>
      <c r="L170" s="841"/>
      <c r="M170" s="841"/>
      <c r="N170" s="842"/>
      <c r="O170" s="842"/>
      <c r="P170" s="843"/>
      <c r="Q170" s="843"/>
      <c r="R170" s="843"/>
      <c r="S170" s="844">
        <f t="shared" si="27"/>
        <v>0</v>
      </c>
      <c r="T170" s="838"/>
      <c r="U170" s="842"/>
      <c r="V170" s="843"/>
      <c r="W170" s="843"/>
      <c r="X170" s="843"/>
      <c r="Y170" s="843"/>
      <c r="Z170" s="843"/>
      <c r="AA170" s="837"/>
      <c r="AB170" s="837"/>
      <c r="AC170" s="845">
        <f t="shared" si="28"/>
        <v>0</v>
      </c>
      <c r="AD170" s="846">
        <f t="shared" si="29"/>
        <v>0</v>
      </c>
      <c r="AE170" s="847">
        <f t="shared" si="30"/>
        <v>0</v>
      </c>
      <c r="AF170" s="855">
        <f t="shared" si="23"/>
        <v>0</v>
      </c>
      <c r="AG170" s="848">
        <f>IF('Input Sheet'!$C$15="Yes",'Input Sheet'!$F$8,0)</f>
        <v>0</v>
      </c>
      <c r="AH170" s="846">
        <f>IF('Input Sheet'!$C$15="Yes",Rates!$E$45,0)</f>
        <v>0</v>
      </c>
      <c r="AI170" s="849">
        <f>IF('Input Sheet'!$C$15="Yes",'Input Sheet'!$F$11,0)</f>
        <v>0</v>
      </c>
      <c r="AJ170" s="850">
        <f>IF('Input Sheet'!$C$15="Yes",'Input Sheet'!$F$7,0)</f>
        <v>0</v>
      </c>
      <c r="AK170" s="856">
        <f t="shared" si="24"/>
        <v>0</v>
      </c>
      <c r="AL170" s="856">
        <f t="shared" si="25"/>
        <v>0</v>
      </c>
      <c r="AM170" s="856">
        <f t="shared" si="31"/>
        <v>0</v>
      </c>
      <c r="AN170" s="856">
        <f t="shared" si="26"/>
        <v>0</v>
      </c>
      <c r="AO170" s="852">
        <f t="shared" si="32"/>
        <v>0</v>
      </c>
      <c r="AP170" s="853">
        <f t="shared" si="33"/>
        <v>0</v>
      </c>
      <c r="AQ170" s="854">
        <f>IFERROR(P170*'Input Sheet'!$F$8/(((AI170)*AK170*2)-AN170),0)</f>
        <v>0</v>
      </c>
      <c r="AR170" s="854">
        <f>IFERROR(($P170-$AF170)*'Input Sheet'!$F$8/(((AI170)*AK170*2)-AN170),0)</f>
        <v>0</v>
      </c>
    </row>
    <row r="171" spans="2:44" s="798" customFormat="1" ht="30" customHeight="1" thickBot="1" x14ac:dyDescent="0.3">
      <c r="B171" s="835"/>
      <c r="C171" s="836"/>
      <c r="D171" s="836"/>
      <c r="E171" s="837"/>
      <c r="F171" s="837"/>
      <c r="G171" s="838"/>
      <c r="H171" s="838"/>
      <c r="I171" s="839"/>
      <c r="J171" s="839"/>
      <c r="K171" s="840"/>
      <c r="L171" s="841"/>
      <c r="M171" s="841"/>
      <c r="N171" s="842"/>
      <c r="O171" s="842"/>
      <c r="P171" s="843"/>
      <c r="Q171" s="843"/>
      <c r="R171" s="843"/>
      <c r="S171" s="844">
        <f t="shared" si="27"/>
        <v>0</v>
      </c>
      <c r="T171" s="838"/>
      <c r="U171" s="842"/>
      <c r="V171" s="843"/>
      <c r="W171" s="843"/>
      <c r="X171" s="843"/>
      <c r="Y171" s="843"/>
      <c r="Z171" s="843"/>
      <c r="AA171" s="837"/>
      <c r="AB171" s="837"/>
      <c r="AC171" s="845">
        <f t="shared" si="28"/>
        <v>0</v>
      </c>
      <c r="AD171" s="846">
        <f t="shared" si="29"/>
        <v>0</v>
      </c>
      <c r="AE171" s="847">
        <f t="shared" si="30"/>
        <v>0</v>
      </c>
      <c r="AF171" s="855">
        <f t="shared" si="23"/>
        <v>0</v>
      </c>
      <c r="AG171" s="848">
        <f>IF('Input Sheet'!$C$15="Yes",'Input Sheet'!$F$8,0)</f>
        <v>0</v>
      </c>
      <c r="AH171" s="846">
        <f>IF('Input Sheet'!$C$15="Yes",Rates!$E$45,0)</f>
        <v>0</v>
      </c>
      <c r="AI171" s="849">
        <f>IF('Input Sheet'!$C$15="Yes",'Input Sheet'!$F$11,0)</f>
        <v>0</v>
      </c>
      <c r="AJ171" s="850">
        <f>IF('Input Sheet'!$C$15="Yes",'Input Sheet'!$F$7,0)</f>
        <v>0</v>
      </c>
      <c r="AK171" s="856">
        <f t="shared" si="24"/>
        <v>0</v>
      </c>
      <c r="AL171" s="856">
        <f t="shared" si="25"/>
        <v>0</v>
      </c>
      <c r="AM171" s="856">
        <f t="shared" si="31"/>
        <v>0</v>
      </c>
      <c r="AN171" s="856">
        <f t="shared" si="26"/>
        <v>0</v>
      </c>
      <c r="AO171" s="852">
        <f t="shared" si="32"/>
        <v>0</v>
      </c>
      <c r="AP171" s="853">
        <f t="shared" si="33"/>
        <v>0</v>
      </c>
      <c r="AQ171" s="854">
        <f>IFERROR(P171*'Input Sheet'!$F$8/(((AI171)*AK171*2)-AN171),0)</f>
        <v>0</v>
      </c>
      <c r="AR171" s="854">
        <f>IFERROR(($P171-$AF171)*'Input Sheet'!$F$8/(((AI171)*AK171*2)-AN171),0)</f>
        <v>0</v>
      </c>
    </row>
    <row r="172" spans="2:44" s="798" customFormat="1" ht="30" customHeight="1" thickBot="1" x14ac:dyDescent="0.3">
      <c r="B172" s="835"/>
      <c r="C172" s="836"/>
      <c r="D172" s="836"/>
      <c r="E172" s="837"/>
      <c r="F172" s="837"/>
      <c r="G172" s="838"/>
      <c r="H172" s="838"/>
      <c r="I172" s="839"/>
      <c r="J172" s="839"/>
      <c r="K172" s="840"/>
      <c r="L172" s="841"/>
      <c r="M172" s="841"/>
      <c r="N172" s="842"/>
      <c r="O172" s="842"/>
      <c r="P172" s="843"/>
      <c r="Q172" s="843"/>
      <c r="R172" s="843"/>
      <c r="S172" s="844">
        <f t="shared" si="27"/>
        <v>0</v>
      </c>
      <c r="T172" s="838"/>
      <c r="U172" s="842"/>
      <c r="V172" s="843"/>
      <c r="W172" s="843"/>
      <c r="X172" s="843"/>
      <c r="Y172" s="843"/>
      <c r="Z172" s="843"/>
      <c r="AA172" s="837"/>
      <c r="AB172" s="837"/>
      <c r="AC172" s="845">
        <f t="shared" si="28"/>
        <v>0</v>
      </c>
      <c r="AD172" s="846">
        <f t="shared" si="29"/>
        <v>0</v>
      </c>
      <c r="AE172" s="847">
        <f t="shared" si="30"/>
        <v>0</v>
      </c>
      <c r="AF172" s="855">
        <f t="shared" si="23"/>
        <v>0</v>
      </c>
      <c r="AG172" s="848">
        <f>IF('Input Sheet'!$C$15="Yes",'Input Sheet'!$F$8,0)</f>
        <v>0</v>
      </c>
      <c r="AH172" s="846">
        <f>IF('Input Sheet'!$C$15="Yes",Rates!$E$45,0)</f>
        <v>0</v>
      </c>
      <c r="AI172" s="849">
        <f>IF('Input Sheet'!$C$15="Yes",'Input Sheet'!$F$11,0)</f>
        <v>0</v>
      </c>
      <c r="AJ172" s="850">
        <f>IF('Input Sheet'!$C$15="Yes",'Input Sheet'!$F$7,0)</f>
        <v>0</v>
      </c>
      <c r="AK172" s="856">
        <f t="shared" si="24"/>
        <v>0</v>
      </c>
      <c r="AL172" s="856">
        <f t="shared" si="25"/>
        <v>0</v>
      </c>
      <c r="AM172" s="856">
        <f t="shared" si="31"/>
        <v>0</v>
      </c>
      <c r="AN172" s="856">
        <f t="shared" si="26"/>
        <v>0</v>
      </c>
      <c r="AO172" s="852">
        <f t="shared" si="32"/>
        <v>0</v>
      </c>
      <c r="AP172" s="853">
        <f t="shared" si="33"/>
        <v>0</v>
      </c>
      <c r="AQ172" s="854">
        <f>IFERROR(P172*'Input Sheet'!$F$8/(((AI172)*AK172*2)-AN172),0)</f>
        <v>0</v>
      </c>
      <c r="AR172" s="854">
        <f>IFERROR(($P172-$AF172)*'Input Sheet'!$F$8/(((AI172)*AK172*2)-AN172),0)</f>
        <v>0</v>
      </c>
    </row>
    <row r="173" spans="2:44" s="798" customFormat="1" ht="30" customHeight="1" thickBot="1" x14ac:dyDescent="0.3">
      <c r="B173" s="835"/>
      <c r="C173" s="836"/>
      <c r="D173" s="836"/>
      <c r="E173" s="837"/>
      <c r="F173" s="837"/>
      <c r="G173" s="838"/>
      <c r="H173" s="838"/>
      <c r="I173" s="839"/>
      <c r="J173" s="839"/>
      <c r="K173" s="840"/>
      <c r="L173" s="841"/>
      <c r="M173" s="841"/>
      <c r="N173" s="842"/>
      <c r="O173" s="842"/>
      <c r="P173" s="843"/>
      <c r="Q173" s="843"/>
      <c r="R173" s="843"/>
      <c r="S173" s="844">
        <f t="shared" si="27"/>
        <v>0</v>
      </c>
      <c r="T173" s="838"/>
      <c r="U173" s="842"/>
      <c r="V173" s="843"/>
      <c r="W173" s="843"/>
      <c r="X173" s="843"/>
      <c r="Y173" s="843"/>
      <c r="Z173" s="843"/>
      <c r="AA173" s="837"/>
      <c r="AB173" s="837"/>
      <c r="AC173" s="845">
        <f t="shared" si="28"/>
        <v>0</v>
      </c>
      <c r="AD173" s="846">
        <f t="shared" si="29"/>
        <v>0</v>
      </c>
      <c r="AE173" s="847">
        <f t="shared" si="30"/>
        <v>0</v>
      </c>
      <c r="AF173" s="855">
        <f t="shared" si="23"/>
        <v>0</v>
      </c>
      <c r="AG173" s="848">
        <f>IF('Input Sheet'!$C$15="Yes",'Input Sheet'!$F$8,0)</f>
        <v>0</v>
      </c>
      <c r="AH173" s="846">
        <f>IF('Input Sheet'!$C$15="Yes",Rates!$E$45,0)</f>
        <v>0</v>
      </c>
      <c r="AI173" s="849">
        <f>IF('Input Sheet'!$C$15="Yes",'Input Sheet'!$F$11,0)</f>
        <v>0</v>
      </c>
      <c r="AJ173" s="850">
        <f>IF('Input Sheet'!$C$15="Yes",'Input Sheet'!$F$7,0)</f>
        <v>0</v>
      </c>
      <c r="AK173" s="856">
        <f t="shared" si="24"/>
        <v>0</v>
      </c>
      <c r="AL173" s="856">
        <f t="shared" si="25"/>
        <v>0</v>
      </c>
      <c r="AM173" s="856">
        <f t="shared" si="31"/>
        <v>0</v>
      </c>
      <c r="AN173" s="856">
        <f t="shared" si="26"/>
        <v>0</v>
      </c>
      <c r="AO173" s="852">
        <f t="shared" si="32"/>
        <v>0</v>
      </c>
      <c r="AP173" s="853">
        <f t="shared" si="33"/>
        <v>0</v>
      </c>
      <c r="AQ173" s="854">
        <f>IFERROR(P173*'Input Sheet'!$F$8/(((AI173)*AK173*2)-AN173),0)</f>
        <v>0</v>
      </c>
      <c r="AR173" s="854">
        <f>IFERROR(($P173-$AF173)*'Input Sheet'!$F$8/(((AI173)*AK173*2)-AN173),0)</f>
        <v>0</v>
      </c>
    </row>
    <row r="174" spans="2:44" s="798" customFormat="1" ht="30" customHeight="1" thickBot="1" x14ac:dyDescent="0.3">
      <c r="B174" s="835"/>
      <c r="C174" s="836"/>
      <c r="D174" s="836"/>
      <c r="E174" s="837"/>
      <c r="F174" s="837"/>
      <c r="G174" s="838"/>
      <c r="H174" s="838"/>
      <c r="I174" s="839"/>
      <c r="J174" s="839"/>
      <c r="K174" s="840"/>
      <c r="L174" s="841"/>
      <c r="M174" s="841"/>
      <c r="N174" s="842"/>
      <c r="O174" s="842"/>
      <c r="P174" s="843"/>
      <c r="Q174" s="843"/>
      <c r="R174" s="843"/>
      <c r="S174" s="844">
        <f t="shared" si="27"/>
        <v>0</v>
      </c>
      <c r="T174" s="838"/>
      <c r="U174" s="842"/>
      <c r="V174" s="843"/>
      <c r="W174" s="843"/>
      <c r="X174" s="843"/>
      <c r="Y174" s="843"/>
      <c r="Z174" s="843"/>
      <c r="AA174" s="837"/>
      <c r="AB174" s="837"/>
      <c r="AC174" s="845">
        <f t="shared" si="28"/>
        <v>0</v>
      </c>
      <c r="AD174" s="846">
        <f t="shared" si="29"/>
        <v>0</v>
      </c>
      <c r="AE174" s="847">
        <f t="shared" si="30"/>
        <v>0</v>
      </c>
      <c r="AF174" s="855">
        <f t="shared" si="23"/>
        <v>0</v>
      </c>
      <c r="AG174" s="848">
        <f>IF('Input Sheet'!$C$15="Yes",'Input Sheet'!$F$8,0)</f>
        <v>0</v>
      </c>
      <c r="AH174" s="846">
        <f>IF('Input Sheet'!$C$15="Yes",Rates!$E$45,0)</f>
        <v>0</v>
      </c>
      <c r="AI174" s="849">
        <f>IF('Input Sheet'!$C$15="Yes",'Input Sheet'!$F$11,0)</f>
        <v>0</v>
      </c>
      <c r="AJ174" s="850">
        <f>IF('Input Sheet'!$C$15="Yes",'Input Sheet'!$F$7,0)</f>
        <v>0</v>
      </c>
      <c r="AK174" s="856">
        <f t="shared" si="24"/>
        <v>0</v>
      </c>
      <c r="AL174" s="856">
        <f t="shared" si="25"/>
        <v>0</v>
      </c>
      <c r="AM174" s="856">
        <f t="shared" si="31"/>
        <v>0</v>
      </c>
      <c r="AN174" s="856">
        <f t="shared" si="26"/>
        <v>0</v>
      </c>
      <c r="AO174" s="852">
        <f t="shared" si="32"/>
        <v>0</v>
      </c>
      <c r="AP174" s="853">
        <f t="shared" si="33"/>
        <v>0</v>
      </c>
      <c r="AQ174" s="854">
        <f>IFERROR(P174*'Input Sheet'!$F$8/(((AI174)*AK174*2)-AN174),0)</f>
        <v>0</v>
      </c>
      <c r="AR174" s="854">
        <f>IFERROR(($P174-$AF174)*'Input Sheet'!$F$8/(((AI174)*AK174*2)-AN174),0)</f>
        <v>0</v>
      </c>
    </row>
    <row r="175" spans="2:44" s="798" customFormat="1" ht="30" customHeight="1" thickBot="1" x14ac:dyDescent="0.3">
      <c r="B175" s="835"/>
      <c r="C175" s="836"/>
      <c r="D175" s="836"/>
      <c r="E175" s="837"/>
      <c r="F175" s="837"/>
      <c r="G175" s="838"/>
      <c r="H175" s="838"/>
      <c r="I175" s="839"/>
      <c r="J175" s="839"/>
      <c r="K175" s="840"/>
      <c r="L175" s="841"/>
      <c r="M175" s="841"/>
      <c r="N175" s="842"/>
      <c r="O175" s="842"/>
      <c r="P175" s="843"/>
      <c r="Q175" s="843"/>
      <c r="R175" s="843"/>
      <c r="S175" s="844">
        <f t="shared" si="27"/>
        <v>0</v>
      </c>
      <c r="T175" s="838"/>
      <c r="U175" s="842"/>
      <c r="V175" s="843"/>
      <c r="W175" s="843"/>
      <c r="X175" s="843"/>
      <c r="Y175" s="843"/>
      <c r="Z175" s="843"/>
      <c r="AA175" s="837"/>
      <c r="AB175" s="837"/>
      <c r="AC175" s="845">
        <f t="shared" si="28"/>
        <v>0</v>
      </c>
      <c r="AD175" s="846">
        <f t="shared" si="29"/>
        <v>0</v>
      </c>
      <c r="AE175" s="847">
        <f t="shared" si="30"/>
        <v>0</v>
      </c>
      <c r="AF175" s="855">
        <f t="shared" si="23"/>
        <v>0</v>
      </c>
      <c r="AG175" s="848">
        <f>IF('Input Sheet'!$C$15="Yes",'Input Sheet'!$F$8,0)</f>
        <v>0</v>
      </c>
      <c r="AH175" s="846">
        <f>IF('Input Sheet'!$C$15="Yes",Rates!$E$45,0)</f>
        <v>0</v>
      </c>
      <c r="AI175" s="849">
        <f>IF('Input Sheet'!$C$15="Yes",'Input Sheet'!$F$11,0)</f>
        <v>0</v>
      </c>
      <c r="AJ175" s="850">
        <f>IF('Input Sheet'!$C$15="Yes",'Input Sheet'!$F$7,0)</f>
        <v>0</v>
      </c>
      <c r="AK175" s="856">
        <f t="shared" si="24"/>
        <v>0</v>
      </c>
      <c r="AL175" s="856">
        <f t="shared" si="25"/>
        <v>0</v>
      </c>
      <c r="AM175" s="856">
        <f t="shared" si="31"/>
        <v>0</v>
      </c>
      <c r="AN175" s="856">
        <f t="shared" si="26"/>
        <v>0</v>
      </c>
      <c r="AO175" s="852">
        <f t="shared" si="32"/>
        <v>0</v>
      </c>
      <c r="AP175" s="853">
        <f t="shared" si="33"/>
        <v>0</v>
      </c>
      <c r="AQ175" s="854">
        <f>IFERROR(P175*'Input Sheet'!$F$8/(((AI175)*AK175*2)-AN175),0)</f>
        <v>0</v>
      </c>
      <c r="AR175" s="854">
        <f>IFERROR(($P175-$AF175)*'Input Sheet'!$F$8/(((AI175)*AK175*2)-AN175),0)</f>
        <v>0</v>
      </c>
    </row>
    <row r="176" spans="2:44" s="798" customFormat="1" ht="30" customHeight="1" thickBot="1" x14ac:dyDescent="0.3">
      <c r="B176" s="835"/>
      <c r="C176" s="836"/>
      <c r="D176" s="836"/>
      <c r="E176" s="837"/>
      <c r="F176" s="837"/>
      <c r="G176" s="838"/>
      <c r="H176" s="838"/>
      <c r="I176" s="839"/>
      <c r="J176" s="839"/>
      <c r="K176" s="840"/>
      <c r="L176" s="841"/>
      <c r="M176" s="841"/>
      <c r="N176" s="842"/>
      <c r="O176" s="842"/>
      <c r="P176" s="843"/>
      <c r="Q176" s="843"/>
      <c r="R176" s="843"/>
      <c r="S176" s="844">
        <f t="shared" si="27"/>
        <v>0</v>
      </c>
      <c r="T176" s="838"/>
      <c r="U176" s="842"/>
      <c r="V176" s="843"/>
      <c r="W176" s="843"/>
      <c r="X176" s="843"/>
      <c r="Y176" s="843"/>
      <c r="Z176" s="843"/>
      <c r="AA176" s="837"/>
      <c r="AB176" s="837"/>
      <c r="AC176" s="845">
        <f t="shared" si="28"/>
        <v>0</v>
      </c>
      <c r="AD176" s="846">
        <f t="shared" si="29"/>
        <v>0</v>
      </c>
      <c r="AE176" s="847">
        <f t="shared" si="30"/>
        <v>0</v>
      </c>
      <c r="AF176" s="855">
        <f t="shared" si="23"/>
        <v>0</v>
      </c>
      <c r="AG176" s="848">
        <f>IF('Input Sheet'!$C$15="Yes",'Input Sheet'!$F$8,0)</f>
        <v>0</v>
      </c>
      <c r="AH176" s="846">
        <f>IF('Input Sheet'!$C$15="Yes",Rates!$E$45,0)</f>
        <v>0</v>
      </c>
      <c r="AI176" s="849">
        <f>IF('Input Sheet'!$C$15="Yes",'Input Sheet'!$F$11,0)</f>
        <v>0</v>
      </c>
      <c r="AJ176" s="850">
        <f>IF('Input Sheet'!$C$15="Yes",'Input Sheet'!$F$7,0)</f>
        <v>0</v>
      </c>
      <c r="AK176" s="856">
        <f t="shared" si="24"/>
        <v>0</v>
      </c>
      <c r="AL176" s="856">
        <f t="shared" si="25"/>
        <v>0</v>
      </c>
      <c r="AM176" s="856">
        <f t="shared" si="31"/>
        <v>0</v>
      </c>
      <c r="AN176" s="856">
        <f t="shared" si="26"/>
        <v>0</v>
      </c>
      <c r="AO176" s="852">
        <f t="shared" si="32"/>
        <v>0</v>
      </c>
      <c r="AP176" s="853">
        <f t="shared" si="33"/>
        <v>0</v>
      </c>
      <c r="AQ176" s="854">
        <f>IFERROR(P176*'Input Sheet'!$F$8/(((AI176)*AK176*2)-AN176),0)</f>
        <v>0</v>
      </c>
      <c r="AR176" s="854">
        <f>IFERROR(($P176-$AF176)*'Input Sheet'!$F$8/(((AI176)*AK176*2)-AN176),0)</f>
        <v>0</v>
      </c>
    </row>
    <row r="177" spans="2:44" s="798" customFormat="1" ht="30" customHeight="1" thickBot="1" x14ac:dyDescent="0.3">
      <c r="B177" s="835"/>
      <c r="C177" s="836"/>
      <c r="D177" s="836"/>
      <c r="E177" s="837"/>
      <c r="F177" s="837"/>
      <c r="G177" s="838"/>
      <c r="H177" s="838"/>
      <c r="I177" s="839"/>
      <c r="J177" s="839"/>
      <c r="K177" s="840"/>
      <c r="L177" s="841"/>
      <c r="M177" s="841"/>
      <c r="N177" s="842"/>
      <c r="O177" s="842"/>
      <c r="P177" s="843"/>
      <c r="Q177" s="843"/>
      <c r="R177" s="843"/>
      <c r="S177" s="844">
        <f t="shared" si="27"/>
        <v>0</v>
      </c>
      <c r="T177" s="838"/>
      <c r="U177" s="842"/>
      <c r="V177" s="843"/>
      <c r="W177" s="843"/>
      <c r="X177" s="843"/>
      <c r="Y177" s="843"/>
      <c r="Z177" s="843"/>
      <c r="AA177" s="837"/>
      <c r="AB177" s="837"/>
      <c r="AC177" s="845">
        <f t="shared" si="28"/>
        <v>0</v>
      </c>
      <c r="AD177" s="846">
        <f t="shared" si="29"/>
        <v>0</v>
      </c>
      <c r="AE177" s="847">
        <f t="shared" si="30"/>
        <v>0</v>
      </c>
      <c r="AF177" s="855">
        <f t="shared" si="23"/>
        <v>0</v>
      </c>
      <c r="AG177" s="848">
        <f>IF('Input Sheet'!$C$15="Yes",'Input Sheet'!$F$8,0)</f>
        <v>0</v>
      </c>
      <c r="AH177" s="846">
        <f>IF('Input Sheet'!$C$15="Yes",Rates!$E$45,0)</f>
        <v>0</v>
      </c>
      <c r="AI177" s="849">
        <f>IF('Input Sheet'!$C$15="Yes",'Input Sheet'!$F$11,0)</f>
        <v>0</v>
      </c>
      <c r="AJ177" s="850">
        <f>IF('Input Sheet'!$C$15="Yes",'Input Sheet'!$F$7,0)</f>
        <v>0</v>
      </c>
      <c r="AK177" s="856">
        <f t="shared" si="24"/>
        <v>0</v>
      </c>
      <c r="AL177" s="856">
        <f t="shared" si="25"/>
        <v>0</v>
      </c>
      <c r="AM177" s="856">
        <f t="shared" si="31"/>
        <v>0</v>
      </c>
      <c r="AN177" s="856">
        <f t="shared" si="26"/>
        <v>0</v>
      </c>
      <c r="AO177" s="852">
        <f t="shared" si="32"/>
        <v>0</v>
      </c>
      <c r="AP177" s="853">
        <f t="shared" si="33"/>
        <v>0</v>
      </c>
      <c r="AQ177" s="854">
        <f>IFERROR(P177*'Input Sheet'!$F$8/(((AI177)*AK177*2)-AN177),0)</f>
        <v>0</v>
      </c>
      <c r="AR177" s="854">
        <f>IFERROR(($P177-$AF177)*'Input Sheet'!$F$8/(((AI177)*AK177*2)-AN177),0)</f>
        <v>0</v>
      </c>
    </row>
    <row r="178" spans="2:44" s="798" customFormat="1" ht="30" customHeight="1" thickBot="1" x14ac:dyDescent="0.3">
      <c r="B178" s="835"/>
      <c r="C178" s="836"/>
      <c r="D178" s="836"/>
      <c r="E178" s="837"/>
      <c r="F178" s="837"/>
      <c r="G178" s="838"/>
      <c r="H178" s="838"/>
      <c r="I178" s="839"/>
      <c r="J178" s="839"/>
      <c r="K178" s="840"/>
      <c r="L178" s="841"/>
      <c r="M178" s="841"/>
      <c r="N178" s="842"/>
      <c r="O178" s="842"/>
      <c r="P178" s="843"/>
      <c r="Q178" s="843"/>
      <c r="R178" s="843"/>
      <c r="S178" s="844">
        <f t="shared" si="27"/>
        <v>0</v>
      </c>
      <c r="T178" s="838"/>
      <c r="U178" s="842"/>
      <c r="V178" s="843"/>
      <c r="W178" s="843"/>
      <c r="X178" s="843"/>
      <c r="Y178" s="843"/>
      <c r="Z178" s="843"/>
      <c r="AA178" s="837"/>
      <c r="AB178" s="837"/>
      <c r="AC178" s="845">
        <f t="shared" si="28"/>
        <v>0</v>
      </c>
      <c r="AD178" s="846">
        <f t="shared" si="29"/>
        <v>0</v>
      </c>
      <c r="AE178" s="847">
        <f t="shared" si="30"/>
        <v>0</v>
      </c>
      <c r="AF178" s="855">
        <f t="shared" si="23"/>
        <v>0</v>
      </c>
      <c r="AG178" s="848">
        <f>IF('Input Sheet'!$C$15="Yes",'Input Sheet'!$F$8,0)</f>
        <v>0</v>
      </c>
      <c r="AH178" s="846">
        <f>IF('Input Sheet'!$C$15="Yes",Rates!$E$45,0)</f>
        <v>0</v>
      </c>
      <c r="AI178" s="849">
        <f>IF('Input Sheet'!$C$15="Yes",'Input Sheet'!$F$11,0)</f>
        <v>0</v>
      </c>
      <c r="AJ178" s="850">
        <f>IF('Input Sheet'!$C$15="Yes",'Input Sheet'!$F$7,0)</f>
        <v>0</v>
      </c>
      <c r="AK178" s="856">
        <f t="shared" si="24"/>
        <v>0</v>
      </c>
      <c r="AL178" s="856">
        <f t="shared" si="25"/>
        <v>0</v>
      </c>
      <c r="AM178" s="856">
        <f t="shared" si="31"/>
        <v>0</v>
      </c>
      <c r="AN178" s="856">
        <f t="shared" si="26"/>
        <v>0</v>
      </c>
      <c r="AO178" s="852">
        <f t="shared" si="32"/>
        <v>0</v>
      </c>
      <c r="AP178" s="853">
        <f t="shared" si="33"/>
        <v>0</v>
      </c>
      <c r="AQ178" s="854">
        <f>IFERROR(P178*'Input Sheet'!$F$8/(((AI178)*AK178*2)-AN178),0)</f>
        <v>0</v>
      </c>
      <c r="AR178" s="854">
        <f>IFERROR(($P178-$AF178)*'Input Sheet'!$F$8/(((AI178)*AK178*2)-AN178),0)</f>
        <v>0</v>
      </c>
    </row>
    <row r="179" spans="2:44" s="798" customFormat="1" ht="30" customHeight="1" thickBot="1" x14ac:dyDescent="0.3">
      <c r="B179" s="835"/>
      <c r="C179" s="836"/>
      <c r="D179" s="836"/>
      <c r="E179" s="837"/>
      <c r="F179" s="837"/>
      <c r="G179" s="838"/>
      <c r="H179" s="838"/>
      <c r="I179" s="839"/>
      <c r="J179" s="839"/>
      <c r="K179" s="840"/>
      <c r="L179" s="841"/>
      <c r="M179" s="841"/>
      <c r="N179" s="842"/>
      <c r="O179" s="842"/>
      <c r="P179" s="843"/>
      <c r="Q179" s="843"/>
      <c r="R179" s="843"/>
      <c r="S179" s="844">
        <f t="shared" si="27"/>
        <v>0</v>
      </c>
      <c r="T179" s="838"/>
      <c r="U179" s="842"/>
      <c r="V179" s="843"/>
      <c r="W179" s="843"/>
      <c r="X179" s="843"/>
      <c r="Y179" s="843"/>
      <c r="Z179" s="843"/>
      <c r="AA179" s="837"/>
      <c r="AB179" s="837"/>
      <c r="AC179" s="845">
        <f t="shared" si="28"/>
        <v>0</v>
      </c>
      <c r="AD179" s="846">
        <f t="shared" si="29"/>
        <v>0</v>
      </c>
      <c r="AE179" s="847">
        <f t="shared" si="30"/>
        <v>0</v>
      </c>
      <c r="AF179" s="855">
        <f t="shared" si="23"/>
        <v>0</v>
      </c>
      <c r="AG179" s="848">
        <f>IF('Input Sheet'!$C$15="Yes",'Input Sheet'!$F$8,0)</f>
        <v>0</v>
      </c>
      <c r="AH179" s="846">
        <f>IF('Input Sheet'!$C$15="Yes",Rates!$E$45,0)</f>
        <v>0</v>
      </c>
      <c r="AI179" s="849">
        <f>IF('Input Sheet'!$C$15="Yes",'Input Sheet'!$F$11,0)</f>
        <v>0</v>
      </c>
      <c r="AJ179" s="850">
        <f>IF('Input Sheet'!$C$15="Yes",'Input Sheet'!$F$7,0)</f>
        <v>0</v>
      </c>
      <c r="AK179" s="856">
        <f t="shared" si="24"/>
        <v>0</v>
      </c>
      <c r="AL179" s="856">
        <f t="shared" si="25"/>
        <v>0</v>
      </c>
      <c r="AM179" s="856">
        <f t="shared" si="31"/>
        <v>0</v>
      </c>
      <c r="AN179" s="856">
        <f t="shared" si="26"/>
        <v>0</v>
      </c>
      <c r="AO179" s="852">
        <f t="shared" si="32"/>
        <v>0</v>
      </c>
      <c r="AP179" s="853">
        <f t="shared" si="33"/>
        <v>0</v>
      </c>
      <c r="AQ179" s="854">
        <f>IFERROR(P179*'Input Sheet'!$F$8/(((AI179)*AK179*2)-AN179),0)</f>
        <v>0</v>
      </c>
      <c r="AR179" s="854">
        <f>IFERROR(($P179-$AF179)*'Input Sheet'!$F$8/(((AI179)*AK179*2)-AN179),0)</f>
        <v>0</v>
      </c>
    </row>
    <row r="180" spans="2:44" s="798" customFormat="1" ht="30" customHeight="1" thickBot="1" x14ac:dyDescent="0.3">
      <c r="B180" s="835"/>
      <c r="C180" s="836"/>
      <c r="D180" s="836"/>
      <c r="E180" s="837"/>
      <c r="F180" s="837"/>
      <c r="G180" s="838"/>
      <c r="H180" s="838"/>
      <c r="I180" s="839"/>
      <c r="J180" s="839"/>
      <c r="K180" s="840"/>
      <c r="L180" s="841"/>
      <c r="M180" s="841"/>
      <c r="N180" s="842"/>
      <c r="O180" s="842"/>
      <c r="P180" s="843"/>
      <c r="Q180" s="843"/>
      <c r="R180" s="843"/>
      <c r="S180" s="844">
        <f t="shared" si="27"/>
        <v>0</v>
      </c>
      <c r="T180" s="838"/>
      <c r="U180" s="842"/>
      <c r="V180" s="843"/>
      <c r="W180" s="843"/>
      <c r="X180" s="843"/>
      <c r="Y180" s="843"/>
      <c r="Z180" s="843"/>
      <c r="AA180" s="837"/>
      <c r="AB180" s="837"/>
      <c r="AC180" s="845">
        <f t="shared" si="28"/>
        <v>0</v>
      </c>
      <c r="AD180" s="846">
        <f t="shared" si="29"/>
        <v>0</v>
      </c>
      <c r="AE180" s="847">
        <f t="shared" si="30"/>
        <v>0</v>
      </c>
      <c r="AF180" s="855">
        <f t="shared" si="23"/>
        <v>0</v>
      </c>
      <c r="AG180" s="848">
        <f>IF('Input Sheet'!$C$15="Yes",'Input Sheet'!$F$8,0)</f>
        <v>0</v>
      </c>
      <c r="AH180" s="846">
        <f>IF('Input Sheet'!$C$15="Yes",Rates!$E$45,0)</f>
        <v>0</v>
      </c>
      <c r="AI180" s="849">
        <f>IF('Input Sheet'!$C$15="Yes",'Input Sheet'!$F$11,0)</f>
        <v>0</v>
      </c>
      <c r="AJ180" s="850">
        <f>IF('Input Sheet'!$C$15="Yes",'Input Sheet'!$F$7,0)</f>
        <v>0</v>
      </c>
      <c r="AK180" s="856">
        <f t="shared" si="24"/>
        <v>0</v>
      </c>
      <c r="AL180" s="856">
        <f t="shared" si="25"/>
        <v>0</v>
      </c>
      <c r="AM180" s="856">
        <f t="shared" si="31"/>
        <v>0</v>
      </c>
      <c r="AN180" s="856">
        <f t="shared" si="26"/>
        <v>0</v>
      </c>
      <c r="AO180" s="852">
        <f t="shared" si="32"/>
        <v>0</v>
      </c>
      <c r="AP180" s="853">
        <f t="shared" si="33"/>
        <v>0</v>
      </c>
      <c r="AQ180" s="854">
        <f>IFERROR(P180*'Input Sheet'!$F$8/(((AI180)*AK180*2)-AN180),0)</f>
        <v>0</v>
      </c>
      <c r="AR180" s="854">
        <f>IFERROR(($P180-$AF180)*'Input Sheet'!$F$8/(((AI180)*AK180*2)-AN180),0)</f>
        <v>0</v>
      </c>
    </row>
    <row r="181" spans="2:44" s="798" customFormat="1" ht="30" customHeight="1" thickBot="1" x14ac:dyDescent="0.3">
      <c r="B181" s="835"/>
      <c r="C181" s="836"/>
      <c r="D181" s="836"/>
      <c r="E181" s="837"/>
      <c r="F181" s="837"/>
      <c r="G181" s="838"/>
      <c r="H181" s="838"/>
      <c r="I181" s="839"/>
      <c r="J181" s="839"/>
      <c r="K181" s="840"/>
      <c r="L181" s="841"/>
      <c r="M181" s="841"/>
      <c r="N181" s="842"/>
      <c r="O181" s="842"/>
      <c r="P181" s="843"/>
      <c r="Q181" s="843"/>
      <c r="R181" s="843"/>
      <c r="S181" s="844">
        <f t="shared" si="27"/>
        <v>0</v>
      </c>
      <c r="T181" s="838"/>
      <c r="U181" s="842"/>
      <c r="V181" s="843"/>
      <c r="W181" s="843"/>
      <c r="X181" s="843"/>
      <c r="Y181" s="843"/>
      <c r="Z181" s="843"/>
      <c r="AA181" s="837"/>
      <c r="AB181" s="837"/>
      <c r="AC181" s="845">
        <f t="shared" si="28"/>
        <v>0</v>
      </c>
      <c r="AD181" s="846">
        <f t="shared" si="29"/>
        <v>0</v>
      </c>
      <c r="AE181" s="847">
        <f t="shared" si="30"/>
        <v>0</v>
      </c>
      <c r="AF181" s="855">
        <f t="shared" si="23"/>
        <v>0</v>
      </c>
      <c r="AG181" s="848">
        <f>IF('Input Sheet'!$C$15="Yes",'Input Sheet'!$F$8,0)</f>
        <v>0</v>
      </c>
      <c r="AH181" s="846">
        <f>IF('Input Sheet'!$C$15="Yes",Rates!$E$45,0)</f>
        <v>0</v>
      </c>
      <c r="AI181" s="849">
        <f>IF('Input Sheet'!$C$15="Yes",'Input Sheet'!$F$11,0)</f>
        <v>0</v>
      </c>
      <c r="AJ181" s="850">
        <f>IF('Input Sheet'!$C$15="Yes",'Input Sheet'!$F$7,0)</f>
        <v>0</v>
      </c>
      <c r="AK181" s="856">
        <f t="shared" si="24"/>
        <v>0</v>
      </c>
      <c r="AL181" s="856">
        <f t="shared" si="25"/>
        <v>0</v>
      </c>
      <c r="AM181" s="856">
        <f t="shared" si="31"/>
        <v>0</v>
      </c>
      <c r="AN181" s="856">
        <f t="shared" si="26"/>
        <v>0</v>
      </c>
      <c r="AO181" s="852">
        <f t="shared" si="32"/>
        <v>0</v>
      </c>
      <c r="AP181" s="853">
        <f t="shared" si="33"/>
        <v>0</v>
      </c>
      <c r="AQ181" s="854">
        <f>IFERROR(P181*'Input Sheet'!$F$8/(((AI181)*AK181*2)-AN181),0)</f>
        <v>0</v>
      </c>
      <c r="AR181" s="854">
        <f>IFERROR(($P181-$AF181)*'Input Sheet'!$F$8/(((AI181)*AK181*2)-AN181),0)</f>
        <v>0</v>
      </c>
    </row>
    <row r="182" spans="2:44" s="798" customFormat="1" ht="30" customHeight="1" thickBot="1" x14ac:dyDescent="0.3">
      <c r="B182" s="835"/>
      <c r="C182" s="836"/>
      <c r="D182" s="836"/>
      <c r="E182" s="837"/>
      <c r="F182" s="837"/>
      <c r="G182" s="838"/>
      <c r="H182" s="838"/>
      <c r="I182" s="839"/>
      <c r="J182" s="839"/>
      <c r="K182" s="840"/>
      <c r="L182" s="841"/>
      <c r="M182" s="841"/>
      <c r="N182" s="842"/>
      <c r="O182" s="842"/>
      <c r="P182" s="843"/>
      <c r="Q182" s="843"/>
      <c r="R182" s="843"/>
      <c r="S182" s="844">
        <f t="shared" si="27"/>
        <v>0</v>
      </c>
      <c r="T182" s="838"/>
      <c r="U182" s="842"/>
      <c r="V182" s="843"/>
      <c r="W182" s="843"/>
      <c r="X182" s="843"/>
      <c r="Y182" s="843"/>
      <c r="Z182" s="843"/>
      <c r="AA182" s="837"/>
      <c r="AB182" s="837"/>
      <c r="AC182" s="845">
        <f t="shared" si="28"/>
        <v>0</v>
      </c>
      <c r="AD182" s="846">
        <f t="shared" si="29"/>
        <v>0</v>
      </c>
      <c r="AE182" s="847">
        <f t="shared" si="30"/>
        <v>0</v>
      </c>
      <c r="AF182" s="855">
        <f t="shared" si="23"/>
        <v>0</v>
      </c>
      <c r="AG182" s="848">
        <f>IF('Input Sheet'!$C$15="Yes",'Input Sheet'!$F$8,0)</f>
        <v>0</v>
      </c>
      <c r="AH182" s="846">
        <f>IF('Input Sheet'!$C$15="Yes",Rates!$E$45,0)</f>
        <v>0</v>
      </c>
      <c r="AI182" s="849">
        <f>IF('Input Sheet'!$C$15="Yes",'Input Sheet'!$F$11,0)</f>
        <v>0</v>
      </c>
      <c r="AJ182" s="850">
        <f>IF('Input Sheet'!$C$15="Yes",'Input Sheet'!$F$7,0)</f>
        <v>0</v>
      </c>
      <c r="AK182" s="856">
        <f t="shared" si="24"/>
        <v>0</v>
      </c>
      <c r="AL182" s="856">
        <f t="shared" si="25"/>
        <v>0</v>
      </c>
      <c r="AM182" s="856">
        <f t="shared" si="31"/>
        <v>0</v>
      </c>
      <c r="AN182" s="856">
        <f t="shared" si="26"/>
        <v>0</v>
      </c>
      <c r="AO182" s="852">
        <f t="shared" si="32"/>
        <v>0</v>
      </c>
      <c r="AP182" s="853">
        <f t="shared" si="33"/>
        <v>0</v>
      </c>
      <c r="AQ182" s="854">
        <f>IFERROR(P182*'Input Sheet'!$F$8/(((AI182)*AK182*2)-AN182),0)</f>
        <v>0</v>
      </c>
      <c r="AR182" s="854">
        <f>IFERROR(($P182-$AF182)*'Input Sheet'!$F$8/(((AI182)*AK182*2)-AN182),0)</f>
        <v>0</v>
      </c>
    </row>
    <row r="183" spans="2:44" s="798" customFormat="1" ht="30" customHeight="1" thickBot="1" x14ac:dyDescent="0.3">
      <c r="B183" s="835"/>
      <c r="C183" s="836"/>
      <c r="D183" s="836"/>
      <c r="E183" s="837"/>
      <c r="F183" s="837"/>
      <c r="G183" s="838"/>
      <c r="H183" s="838"/>
      <c r="I183" s="839"/>
      <c r="J183" s="839"/>
      <c r="K183" s="840"/>
      <c r="L183" s="841"/>
      <c r="M183" s="841"/>
      <c r="N183" s="842"/>
      <c r="O183" s="842"/>
      <c r="P183" s="843"/>
      <c r="Q183" s="843"/>
      <c r="R183" s="843"/>
      <c r="S183" s="844">
        <f t="shared" si="27"/>
        <v>0</v>
      </c>
      <c r="T183" s="838"/>
      <c r="U183" s="842"/>
      <c r="V183" s="843"/>
      <c r="W183" s="843"/>
      <c r="X183" s="843"/>
      <c r="Y183" s="843"/>
      <c r="Z183" s="843"/>
      <c r="AA183" s="837"/>
      <c r="AB183" s="837"/>
      <c r="AC183" s="845">
        <f t="shared" si="28"/>
        <v>0</v>
      </c>
      <c r="AD183" s="846">
        <f t="shared" si="29"/>
        <v>0</v>
      </c>
      <c r="AE183" s="847">
        <f t="shared" si="30"/>
        <v>0</v>
      </c>
      <c r="AF183" s="855">
        <f t="shared" si="23"/>
        <v>0</v>
      </c>
      <c r="AG183" s="848">
        <f>IF('Input Sheet'!$C$15="Yes",'Input Sheet'!$F$8,0)</f>
        <v>0</v>
      </c>
      <c r="AH183" s="846">
        <f>IF('Input Sheet'!$C$15="Yes",Rates!$E$45,0)</f>
        <v>0</v>
      </c>
      <c r="AI183" s="849">
        <f>IF('Input Sheet'!$C$15="Yes",'Input Sheet'!$F$11,0)</f>
        <v>0</v>
      </c>
      <c r="AJ183" s="850">
        <f>IF('Input Sheet'!$C$15="Yes",'Input Sheet'!$F$7,0)</f>
        <v>0</v>
      </c>
      <c r="AK183" s="856">
        <f t="shared" si="24"/>
        <v>0</v>
      </c>
      <c r="AL183" s="856">
        <f t="shared" si="25"/>
        <v>0</v>
      </c>
      <c r="AM183" s="856">
        <f t="shared" si="31"/>
        <v>0</v>
      </c>
      <c r="AN183" s="856">
        <f t="shared" si="26"/>
        <v>0</v>
      </c>
      <c r="AO183" s="852">
        <f t="shared" si="32"/>
        <v>0</v>
      </c>
      <c r="AP183" s="853">
        <f t="shared" si="33"/>
        <v>0</v>
      </c>
      <c r="AQ183" s="854">
        <f>IFERROR(P183*'Input Sheet'!$F$8/(((AI183)*AK183*2)-AN183),0)</f>
        <v>0</v>
      </c>
      <c r="AR183" s="854">
        <f>IFERROR(($P183-$AF183)*'Input Sheet'!$F$8/(((AI183)*AK183*2)-AN183),0)</f>
        <v>0</v>
      </c>
    </row>
    <row r="184" spans="2:44" s="798" customFormat="1" ht="30" customHeight="1" thickBot="1" x14ac:dyDescent="0.3">
      <c r="B184" s="835"/>
      <c r="C184" s="836"/>
      <c r="D184" s="836"/>
      <c r="E184" s="837"/>
      <c r="F184" s="837"/>
      <c r="G184" s="838"/>
      <c r="H184" s="838"/>
      <c r="I184" s="839"/>
      <c r="J184" s="839"/>
      <c r="K184" s="840"/>
      <c r="L184" s="841"/>
      <c r="M184" s="841"/>
      <c r="N184" s="842"/>
      <c r="O184" s="842"/>
      <c r="P184" s="843"/>
      <c r="Q184" s="843"/>
      <c r="R184" s="843"/>
      <c r="S184" s="844">
        <f t="shared" si="27"/>
        <v>0</v>
      </c>
      <c r="T184" s="838"/>
      <c r="U184" s="842"/>
      <c r="V184" s="843"/>
      <c r="W184" s="843"/>
      <c r="X184" s="843"/>
      <c r="Y184" s="843"/>
      <c r="Z184" s="843"/>
      <c r="AA184" s="837"/>
      <c r="AB184" s="837"/>
      <c r="AC184" s="845">
        <f t="shared" si="28"/>
        <v>0</v>
      </c>
      <c r="AD184" s="846">
        <f t="shared" si="29"/>
        <v>0</v>
      </c>
      <c r="AE184" s="847">
        <f t="shared" si="30"/>
        <v>0</v>
      </c>
      <c r="AF184" s="855">
        <f t="shared" si="23"/>
        <v>0</v>
      </c>
      <c r="AG184" s="848">
        <f>IF('Input Sheet'!$C$15="Yes",'Input Sheet'!$F$8,0)</f>
        <v>0</v>
      </c>
      <c r="AH184" s="846">
        <f>IF('Input Sheet'!$C$15="Yes",Rates!$E$45,0)</f>
        <v>0</v>
      </c>
      <c r="AI184" s="849">
        <f>IF('Input Sheet'!$C$15="Yes",'Input Sheet'!$F$11,0)</f>
        <v>0</v>
      </c>
      <c r="AJ184" s="850">
        <f>IF('Input Sheet'!$C$15="Yes",'Input Sheet'!$F$7,0)</f>
        <v>0</v>
      </c>
      <c r="AK184" s="856">
        <f t="shared" si="24"/>
        <v>0</v>
      </c>
      <c r="AL184" s="856">
        <f t="shared" si="25"/>
        <v>0</v>
      </c>
      <c r="AM184" s="856">
        <f t="shared" si="31"/>
        <v>0</v>
      </c>
      <c r="AN184" s="856">
        <f t="shared" si="26"/>
        <v>0</v>
      </c>
      <c r="AO184" s="852">
        <f t="shared" si="32"/>
        <v>0</v>
      </c>
      <c r="AP184" s="853">
        <f t="shared" si="33"/>
        <v>0</v>
      </c>
      <c r="AQ184" s="854">
        <f>IFERROR(P184*'Input Sheet'!$F$8/(((AI184)*AK184*2)-AN184),0)</f>
        <v>0</v>
      </c>
      <c r="AR184" s="854">
        <f>IFERROR(($P184-$AF184)*'Input Sheet'!$F$8/(((AI184)*AK184*2)-AN184),0)</f>
        <v>0</v>
      </c>
    </row>
    <row r="185" spans="2:44" s="798" customFormat="1" ht="30" customHeight="1" thickBot="1" x14ac:dyDescent="0.3">
      <c r="B185" s="835"/>
      <c r="C185" s="836"/>
      <c r="D185" s="836"/>
      <c r="E185" s="837"/>
      <c r="F185" s="837"/>
      <c r="G185" s="838"/>
      <c r="H185" s="838"/>
      <c r="I185" s="839"/>
      <c r="J185" s="839"/>
      <c r="K185" s="840"/>
      <c r="L185" s="841"/>
      <c r="M185" s="841"/>
      <c r="N185" s="842"/>
      <c r="O185" s="842"/>
      <c r="P185" s="843"/>
      <c r="Q185" s="843"/>
      <c r="R185" s="843"/>
      <c r="S185" s="844">
        <f t="shared" si="27"/>
        <v>0</v>
      </c>
      <c r="T185" s="838"/>
      <c r="U185" s="842"/>
      <c r="V185" s="843"/>
      <c r="W185" s="843"/>
      <c r="X185" s="843"/>
      <c r="Y185" s="843"/>
      <c r="Z185" s="843"/>
      <c r="AA185" s="837"/>
      <c r="AB185" s="837"/>
      <c r="AC185" s="845">
        <f t="shared" si="28"/>
        <v>0</v>
      </c>
      <c r="AD185" s="846">
        <f t="shared" si="29"/>
        <v>0</v>
      </c>
      <c r="AE185" s="847">
        <f t="shared" si="30"/>
        <v>0</v>
      </c>
      <c r="AF185" s="855">
        <f t="shared" si="23"/>
        <v>0</v>
      </c>
      <c r="AG185" s="848">
        <f>IF('Input Sheet'!$C$15="Yes",'Input Sheet'!$F$8,0)</f>
        <v>0</v>
      </c>
      <c r="AH185" s="846">
        <f>IF('Input Sheet'!$C$15="Yes",Rates!$E$45,0)</f>
        <v>0</v>
      </c>
      <c r="AI185" s="849">
        <f>IF('Input Sheet'!$C$15="Yes",'Input Sheet'!$F$11,0)</f>
        <v>0</v>
      </c>
      <c r="AJ185" s="850">
        <f>IF('Input Sheet'!$C$15="Yes",'Input Sheet'!$F$7,0)</f>
        <v>0</v>
      </c>
      <c r="AK185" s="856">
        <f t="shared" si="24"/>
        <v>0</v>
      </c>
      <c r="AL185" s="856">
        <f t="shared" si="25"/>
        <v>0</v>
      </c>
      <c r="AM185" s="856">
        <f t="shared" si="31"/>
        <v>0</v>
      </c>
      <c r="AN185" s="856">
        <f t="shared" si="26"/>
        <v>0</v>
      </c>
      <c r="AO185" s="852">
        <f t="shared" si="32"/>
        <v>0</v>
      </c>
      <c r="AP185" s="853">
        <f t="shared" si="33"/>
        <v>0</v>
      </c>
      <c r="AQ185" s="854">
        <f>IFERROR(P185*'Input Sheet'!$F$8/(((AI185)*AK185*2)-AN185),0)</f>
        <v>0</v>
      </c>
      <c r="AR185" s="854">
        <f>IFERROR(($P185-$AF185)*'Input Sheet'!$F$8/(((AI185)*AK185*2)-AN185),0)</f>
        <v>0</v>
      </c>
    </row>
    <row r="186" spans="2:44" s="798" customFormat="1" ht="30" customHeight="1" thickBot="1" x14ac:dyDescent="0.3">
      <c r="B186" s="835"/>
      <c r="C186" s="836"/>
      <c r="D186" s="836"/>
      <c r="E186" s="837"/>
      <c r="F186" s="837"/>
      <c r="G186" s="838"/>
      <c r="H186" s="838"/>
      <c r="I186" s="839"/>
      <c r="J186" s="839"/>
      <c r="K186" s="840"/>
      <c r="L186" s="841"/>
      <c r="M186" s="841"/>
      <c r="N186" s="842"/>
      <c r="O186" s="842"/>
      <c r="P186" s="843"/>
      <c r="Q186" s="843"/>
      <c r="R186" s="843"/>
      <c r="S186" s="844">
        <f t="shared" si="27"/>
        <v>0</v>
      </c>
      <c r="T186" s="838"/>
      <c r="U186" s="842"/>
      <c r="V186" s="843"/>
      <c r="W186" s="843"/>
      <c r="X186" s="843"/>
      <c r="Y186" s="843"/>
      <c r="Z186" s="843"/>
      <c r="AA186" s="837"/>
      <c r="AB186" s="837"/>
      <c r="AC186" s="845">
        <f t="shared" si="28"/>
        <v>0</v>
      </c>
      <c r="AD186" s="846">
        <f t="shared" si="29"/>
        <v>0</v>
      </c>
      <c r="AE186" s="847">
        <f t="shared" si="30"/>
        <v>0</v>
      </c>
      <c r="AF186" s="855">
        <f t="shared" si="23"/>
        <v>0</v>
      </c>
      <c r="AG186" s="848">
        <f>IF('Input Sheet'!$C$15="Yes",'Input Sheet'!$F$8,0)</f>
        <v>0</v>
      </c>
      <c r="AH186" s="846">
        <f>IF('Input Sheet'!$C$15="Yes",Rates!$E$45,0)</f>
        <v>0</v>
      </c>
      <c r="AI186" s="849">
        <f>IF('Input Sheet'!$C$15="Yes",'Input Sheet'!$F$11,0)</f>
        <v>0</v>
      </c>
      <c r="AJ186" s="850">
        <f>IF('Input Sheet'!$C$15="Yes",'Input Sheet'!$F$7,0)</f>
        <v>0</v>
      </c>
      <c r="AK186" s="856">
        <f t="shared" si="24"/>
        <v>0</v>
      </c>
      <c r="AL186" s="856">
        <f t="shared" si="25"/>
        <v>0</v>
      </c>
      <c r="AM186" s="856">
        <f t="shared" si="31"/>
        <v>0</v>
      </c>
      <c r="AN186" s="856">
        <f t="shared" si="26"/>
        <v>0</v>
      </c>
      <c r="AO186" s="852">
        <f t="shared" si="32"/>
        <v>0</v>
      </c>
      <c r="AP186" s="853">
        <f t="shared" si="33"/>
        <v>0</v>
      </c>
      <c r="AQ186" s="854">
        <f>IFERROR(P186*'Input Sheet'!$F$8/(((AI186)*AK186*2)-AN186),0)</f>
        <v>0</v>
      </c>
      <c r="AR186" s="854">
        <f>IFERROR(($P186-$AF186)*'Input Sheet'!$F$8/(((AI186)*AK186*2)-AN186),0)</f>
        <v>0</v>
      </c>
    </row>
    <row r="187" spans="2:44" s="798" customFormat="1" ht="30" customHeight="1" thickBot="1" x14ac:dyDescent="0.3">
      <c r="B187" s="835"/>
      <c r="C187" s="836"/>
      <c r="D187" s="836"/>
      <c r="E187" s="837"/>
      <c r="F187" s="837"/>
      <c r="G187" s="838"/>
      <c r="H187" s="838"/>
      <c r="I187" s="839"/>
      <c r="J187" s="839"/>
      <c r="K187" s="840"/>
      <c r="L187" s="841"/>
      <c r="M187" s="841"/>
      <c r="N187" s="842"/>
      <c r="O187" s="842"/>
      <c r="P187" s="843"/>
      <c r="Q187" s="843"/>
      <c r="R187" s="843"/>
      <c r="S187" s="844">
        <f t="shared" si="27"/>
        <v>0</v>
      </c>
      <c r="T187" s="838"/>
      <c r="U187" s="842"/>
      <c r="V187" s="843"/>
      <c r="W187" s="843"/>
      <c r="X187" s="843"/>
      <c r="Y187" s="843"/>
      <c r="Z187" s="843"/>
      <c r="AA187" s="837"/>
      <c r="AB187" s="837"/>
      <c r="AC187" s="845">
        <f t="shared" si="28"/>
        <v>0</v>
      </c>
      <c r="AD187" s="846">
        <f t="shared" si="29"/>
        <v>0</v>
      </c>
      <c r="AE187" s="847">
        <f t="shared" si="30"/>
        <v>0</v>
      </c>
      <c r="AF187" s="855">
        <f t="shared" si="23"/>
        <v>0</v>
      </c>
      <c r="AG187" s="848">
        <f>IF('Input Sheet'!$C$15="Yes",'Input Sheet'!$F$8,0)</f>
        <v>0</v>
      </c>
      <c r="AH187" s="846">
        <f>IF('Input Sheet'!$C$15="Yes",Rates!$E$45,0)</f>
        <v>0</v>
      </c>
      <c r="AI187" s="849">
        <f>IF('Input Sheet'!$C$15="Yes",'Input Sheet'!$F$11,0)</f>
        <v>0</v>
      </c>
      <c r="AJ187" s="850">
        <f>IF('Input Sheet'!$C$15="Yes",'Input Sheet'!$F$7,0)</f>
        <v>0</v>
      </c>
      <c r="AK187" s="856">
        <f t="shared" si="24"/>
        <v>0</v>
      </c>
      <c r="AL187" s="856">
        <f t="shared" si="25"/>
        <v>0</v>
      </c>
      <c r="AM187" s="856">
        <f t="shared" si="31"/>
        <v>0</v>
      </c>
      <c r="AN187" s="856">
        <f t="shared" si="26"/>
        <v>0</v>
      </c>
      <c r="AO187" s="852">
        <f t="shared" si="32"/>
        <v>0</v>
      </c>
      <c r="AP187" s="853">
        <f t="shared" si="33"/>
        <v>0</v>
      </c>
      <c r="AQ187" s="854">
        <f>IFERROR(P187*'Input Sheet'!$F$8/(((AI187)*AK187*2)-AN187),0)</f>
        <v>0</v>
      </c>
      <c r="AR187" s="854">
        <f>IFERROR(($P187-$AF187)*'Input Sheet'!$F$8/(((AI187)*AK187*2)-AN187),0)</f>
        <v>0</v>
      </c>
    </row>
    <row r="188" spans="2:44" s="798" customFormat="1" ht="30" customHeight="1" thickBot="1" x14ac:dyDescent="0.3">
      <c r="B188" s="835"/>
      <c r="C188" s="836"/>
      <c r="D188" s="836"/>
      <c r="E188" s="837"/>
      <c r="F188" s="837"/>
      <c r="G188" s="838"/>
      <c r="H188" s="838"/>
      <c r="I188" s="839"/>
      <c r="J188" s="839"/>
      <c r="K188" s="840"/>
      <c r="L188" s="841"/>
      <c r="M188" s="841"/>
      <c r="N188" s="842"/>
      <c r="O188" s="842"/>
      <c r="P188" s="843"/>
      <c r="Q188" s="843"/>
      <c r="R188" s="843"/>
      <c r="S188" s="844">
        <f t="shared" si="27"/>
        <v>0</v>
      </c>
      <c r="T188" s="838"/>
      <c r="U188" s="842"/>
      <c r="V188" s="843"/>
      <c r="W188" s="843"/>
      <c r="X188" s="843"/>
      <c r="Y188" s="843"/>
      <c r="Z188" s="843"/>
      <c r="AA188" s="837"/>
      <c r="AB188" s="837"/>
      <c r="AC188" s="845">
        <f t="shared" si="28"/>
        <v>0</v>
      </c>
      <c r="AD188" s="846">
        <f t="shared" si="29"/>
        <v>0</v>
      </c>
      <c r="AE188" s="847">
        <f t="shared" si="30"/>
        <v>0</v>
      </c>
      <c r="AF188" s="855">
        <f t="shared" si="23"/>
        <v>0</v>
      </c>
      <c r="AG188" s="848">
        <f>IF('Input Sheet'!$C$15="Yes",'Input Sheet'!$F$8,0)</f>
        <v>0</v>
      </c>
      <c r="AH188" s="846">
        <f>IF('Input Sheet'!$C$15="Yes",Rates!$E$45,0)</f>
        <v>0</v>
      </c>
      <c r="AI188" s="849">
        <f>IF('Input Sheet'!$C$15="Yes",'Input Sheet'!$F$11,0)</f>
        <v>0</v>
      </c>
      <c r="AJ188" s="850">
        <f>IF('Input Sheet'!$C$15="Yes",'Input Sheet'!$F$7,0)</f>
        <v>0</v>
      </c>
      <c r="AK188" s="856">
        <f t="shared" si="24"/>
        <v>0</v>
      </c>
      <c r="AL188" s="856">
        <f t="shared" si="25"/>
        <v>0</v>
      </c>
      <c r="AM188" s="856">
        <f t="shared" si="31"/>
        <v>0</v>
      </c>
      <c r="AN188" s="856">
        <f t="shared" si="26"/>
        <v>0</v>
      </c>
      <c r="AO188" s="852">
        <f t="shared" si="32"/>
        <v>0</v>
      </c>
      <c r="AP188" s="853">
        <f t="shared" si="33"/>
        <v>0</v>
      </c>
      <c r="AQ188" s="854">
        <f>IFERROR(P188*'Input Sheet'!$F$8/(((AI188)*AK188*2)-AN188),0)</f>
        <v>0</v>
      </c>
      <c r="AR188" s="854">
        <f>IFERROR(($P188-$AF188)*'Input Sheet'!$F$8/(((AI188)*AK188*2)-AN188),0)</f>
        <v>0</v>
      </c>
    </row>
    <row r="189" spans="2:44" s="798" customFormat="1" ht="30" customHeight="1" thickBot="1" x14ac:dyDescent="0.3">
      <c r="B189" s="835"/>
      <c r="C189" s="836"/>
      <c r="D189" s="836"/>
      <c r="E189" s="837"/>
      <c r="F189" s="837"/>
      <c r="G189" s="838"/>
      <c r="H189" s="838"/>
      <c r="I189" s="839"/>
      <c r="J189" s="839"/>
      <c r="K189" s="840"/>
      <c r="L189" s="841"/>
      <c r="M189" s="841"/>
      <c r="N189" s="842"/>
      <c r="O189" s="842"/>
      <c r="P189" s="843"/>
      <c r="Q189" s="843"/>
      <c r="R189" s="843"/>
      <c r="S189" s="844">
        <f t="shared" si="27"/>
        <v>0</v>
      </c>
      <c r="T189" s="838"/>
      <c r="U189" s="842"/>
      <c r="V189" s="843"/>
      <c r="W189" s="843"/>
      <c r="X189" s="843"/>
      <c r="Y189" s="843"/>
      <c r="Z189" s="843"/>
      <c r="AA189" s="837"/>
      <c r="AB189" s="837"/>
      <c r="AC189" s="845">
        <f t="shared" si="28"/>
        <v>0</v>
      </c>
      <c r="AD189" s="846">
        <f t="shared" si="29"/>
        <v>0</v>
      </c>
      <c r="AE189" s="847">
        <f t="shared" si="30"/>
        <v>0</v>
      </c>
      <c r="AF189" s="855">
        <f t="shared" si="23"/>
        <v>0</v>
      </c>
      <c r="AG189" s="848">
        <f>IF('Input Sheet'!$C$15="Yes",'Input Sheet'!$F$8,0)</f>
        <v>0</v>
      </c>
      <c r="AH189" s="846">
        <f>IF('Input Sheet'!$C$15="Yes",Rates!$E$45,0)</f>
        <v>0</v>
      </c>
      <c r="AI189" s="849">
        <f>IF('Input Sheet'!$C$15="Yes",'Input Sheet'!$F$11,0)</f>
        <v>0</v>
      </c>
      <c r="AJ189" s="850">
        <f>IF('Input Sheet'!$C$15="Yes",'Input Sheet'!$F$7,0)</f>
        <v>0</v>
      </c>
      <c r="AK189" s="856">
        <f t="shared" si="24"/>
        <v>0</v>
      </c>
      <c r="AL189" s="856">
        <f t="shared" si="25"/>
        <v>0</v>
      </c>
      <c r="AM189" s="856">
        <f t="shared" si="31"/>
        <v>0</v>
      </c>
      <c r="AN189" s="856">
        <f t="shared" si="26"/>
        <v>0</v>
      </c>
      <c r="AO189" s="852">
        <f t="shared" si="32"/>
        <v>0</v>
      </c>
      <c r="AP189" s="853">
        <f t="shared" si="33"/>
        <v>0</v>
      </c>
      <c r="AQ189" s="854">
        <f>IFERROR(P189*'Input Sheet'!$F$8/(((AI189)*AK189*2)-AN189),0)</f>
        <v>0</v>
      </c>
      <c r="AR189" s="854">
        <f>IFERROR(($P189-$AF189)*'Input Sheet'!$F$8/(((AI189)*AK189*2)-AN189),0)</f>
        <v>0</v>
      </c>
    </row>
    <row r="190" spans="2:44" s="798" customFormat="1" ht="30" customHeight="1" thickBot="1" x14ac:dyDescent="0.3">
      <c r="B190" s="835"/>
      <c r="C190" s="836"/>
      <c r="D190" s="836"/>
      <c r="E190" s="837"/>
      <c r="F190" s="837"/>
      <c r="G190" s="838"/>
      <c r="H190" s="838"/>
      <c r="I190" s="839"/>
      <c r="J190" s="839"/>
      <c r="K190" s="840"/>
      <c r="L190" s="841"/>
      <c r="M190" s="841"/>
      <c r="N190" s="842"/>
      <c r="O190" s="842"/>
      <c r="P190" s="843"/>
      <c r="Q190" s="843"/>
      <c r="R190" s="843"/>
      <c r="S190" s="844">
        <f t="shared" si="27"/>
        <v>0</v>
      </c>
      <c r="T190" s="838"/>
      <c r="U190" s="842"/>
      <c r="V190" s="843"/>
      <c r="W190" s="843"/>
      <c r="X190" s="843"/>
      <c r="Y190" s="843"/>
      <c r="Z190" s="843"/>
      <c r="AA190" s="837"/>
      <c r="AB190" s="837"/>
      <c r="AC190" s="845">
        <f t="shared" si="28"/>
        <v>0</v>
      </c>
      <c r="AD190" s="846">
        <f t="shared" si="29"/>
        <v>0</v>
      </c>
      <c r="AE190" s="847">
        <f t="shared" si="30"/>
        <v>0</v>
      </c>
      <c r="AF190" s="855">
        <f t="shared" si="23"/>
        <v>0</v>
      </c>
      <c r="AG190" s="848">
        <f>IF('Input Sheet'!$C$15="Yes",'Input Sheet'!$F$8,0)</f>
        <v>0</v>
      </c>
      <c r="AH190" s="846">
        <f>IF('Input Sheet'!$C$15="Yes",Rates!$E$45,0)</f>
        <v>0</v>
      </c>
      <c r="AI190" s="849">
        <f>IF('Input Sheet'!$C$15="Yes",'Input Sheet'!$F$11,0)</f>
        <v>0</v>
      </c>
      <c r="AJ190" s="850">
        <f>IF('Input Sheet'!$C$15="Yes",'Input Sheet'!$F$7,0)</f>
        <v>0</v>
      </c>
      <c r="AK190" s="856">
        <f t="shared" si="24"/>
        <v>0</v>
      </c>
      <c r="AL190" s="856">
        <f t="shared" si="25"/>
        <v>0</v>
      </c>
      <c r="AM190" s="856">
        <f t="shared" si="31"/>
        <v>0</v>
      </c>
      <c r="AN190" s="856">
        <f t="shared" si="26"/>
        <v>0</v>
      </c>
      <c r="AO190" s="852">
        <f t="shared" si="32"/>
        <v>0</v>
      </c>
      <c r="AP190" s="853">
        <f t="shared" si="33"/>
        <v>0</v>
      </c>
      <c r="AQ190" s="854">
        <f>IFERROR(P190*'Input Sheet'!$F$8/(((AI190)*AK190*2)-AN190),0)</f>
        <v>0</v>
      </c>
      <c r="AR190" s="854">
        <f>IFERROR(($P190-$AF190)*'Input Sheet'!$F$8/(((AI190)*AK190*2)-AN190),0)</f>
        <v>0</v>
      </c>
    </row>
    <row r="191" spans="2:44" s="798" customFormat="1" ht="30" customHeight="1" thickBot="1" x14ac:dyDescent="0.3">
      <c r="B191" s="835"/>
      <c r="C191" s="836"/>
      <c r="D191" s="836"/>
      <c r="E191" s="837"/>
      <c r="F191" s="837"/>
      <c r="G191" s="838"/>
      <c r="H191" s="838"/>
      <c r="I191" s="839"/>
      <c r="J191" s="839"/>
      <c r="K191" s="840"/>
      <c r="L191" s="841"/>
      <c r="M191" s="841"/>
      <c r="N191" s="842"/>
      <c r="O191" s="842"/>
      <c r="P191" s="843"/>
      <c r="Q191" s="843"/>
      <c r="R191" s="843"/>
      <c r="S191" s="844">
        <f t="shared" si="27"/>
        <v>0</v>
      </c>
      <c r="T191" s="838"/>
      <c r="U191" s="842"/>
      <c r="V191" s="843"/>
      <c r="W191" s="843"/>
      <c r="X191" s="843"/>
      <c r="Y191" s="843"/>
      <c r="Z191" s="843"/>
      <c r="AA191" s="837"/>
      <c r="AB191" s="837"/>
      <c r="AC191" s="845">
        <f t="shared" si="28"/>
        <v>0</v>
      </c>
      <c r="AD191" s="846">
        <f t="shared" si="29"/>
        <v>0</v>
      </c>
      <c r="AE191" s="847">
        <f t="shared" si="30"/>
        <v>0</v>
      </c>
      <c r="AF191" s="855">
        <f t="shared" si="23"/>
        <v>0</v>
      </c>
      <c r="AG191" s="848">
        <f>IF('Input Sheet'!$C$15="Yes",'Input Sheet'!$F$8,0)</f>
        <v>0</v>
      </c>
      <c r="AH191" s="846">
        <f>IF('Input Sheet'!$C$15="Yes",Rates!$E$45,0)</f>
        <v>0</v>
      </c>
      <c r="AI191" s="849">
        <f>IF('Input Sheet'!$C$15="Yes",'Input Sheet'!$F$11,0)</f>
        <v>0</v>
      </c>
      <c r="AJ191" s="850">
        <f>IF('Input Sheet'!$C$15="Yes",'Input Sheet'!$F$7,0)</f>
        <v>0</v>
      </c>
      <c r="AK191" s="856">
        <f t="shared" si="24"/>
        <v>0</v>
      </c>
      <c r="AL191" s="856">
        <f t="shared" si="25"/>
        <v>0</v>
      </c>
      <c r="AM191" s="856">
        <f t="shared" si="31"/>
        <v>0</v>
      </c>
      <c r="AN191" s="856">
        <f t="shared" si="26"/>
        <v>0</v>
      </c>
      <c r="AO191" s="852">
        <f t="shared" si="32"/>
        <v>0</v>
      </c>
      <c r="AP191" s="853">
        <f t="shared" si="33"/>
        <v>0</v>
      </c>
      <c r="AQ191" s="854">
        <f>IFERROR(P191*'Input Sheet'!$F$8/(((AI191)*AK191*2)-AN191),0)</f>
        <v>0</v>
      </c>
      <c r="AR191" s="854">
        <f>IFERROR(($P191-$AF191)*'Input Sheet'!$F$8/(((AI191)*AK191*2)-AN191),0)</f>
        <v>0</v>
      </c>
    </row>
    <row r="192" spans="2:44" s="798" customFormat="1" ht="30" customHeight="1" thickBot="1" x14ac:dyDescent="0.3">
      <c r="B192" s="835"/>
      <c r="C192" s="836"/>
      <c r="D192" s="836"/>
      <c r="E192" s="837"/>
      <c r="F192" s="837"/>
      <c r="G192" s="838"/>
      <c r="H192" s="838"/>
      <c r="I192" s="839"/>
      <c r="J192" s="839"/>
      <c r="K192" s="840"/>
      <c r="L192" s="841"/>
      <c r="M192" s="841"/>
      <c r="N192" s="842"/>
      <c r="O192" s="842"/>
      <c r="P192" s="843"/>
      <c r="Q192" s="843"/>
      <c r="R192" s="843"/>
      <c r="S192" s="844">
        <f t="shared" si="27"/>
        <v>0</v>
      </c>
      <c r="T192" s="838"/>
      <c r="U192" s="842"/>
      <c r="V192" s="843"/>
      <c r="W192" s="843"/>
      <c r="X192" s="843"/>
      <c r="Y192" s="843"/>
      <c r="Z192" s="843"/>
      <c r="AA192" s="837"/>
      <c r="AB192" s="837"/>
      <c r="AC192" s="845">
        <f t="shared" si="28"/>
        <v>0</v>
      </c>
      <c r="AD192" s="846">
        <f t="shared" si="29"/>
        <v>0</v>
      </c>
      <c r="AE192" s="847">
        <f t="shared" si="30"/>
        <v>0</v>
      </c>
      <c r="AF192" s="855">
        <f t="shared" si="23"/>
        <v>0</v>
      </c>
      <c r="AG192" s="848">
        <f>IF('Input Sheet'!$C$15="Yes",'Input Sheet'!$F$8,0)</f>
        <v>0</v>
      </c>
      <c r="AH192" s="846">
        <f>IF('Input Sheet'!$C$15="Yes",Rates!$E$45,0)</f>
        <v>0</v>
      </c>
      <c r="AI192" s="849">
        <f>IF('Input Sheet'!$C$15="Yes",'Input Sheet'!$F$11,0)</f>
        <v>0</v>
      </c>
      <c r="AJ192" s="850">
        <f>IF('Input Sheet'!$C$15="Yes",'Input Sheet'!$F$7,0)</f>
        <v>0</v>
      </c>
      <c r="AK192" s="856">
        <f t="shared" si="24"/>
        <v>0</v>
      </c>
      <c r="AL192" s="856">
        <f t="shared" si="25"/>
        <v>0</v>
      </c>
      <c r="AM192" s="856">
        <f t="shared" si="31"/>
        <v>0</v>
      </c>
      <c r="AN192" s="856">
        <f t="shared" si="26"/>
        <v>0</v>
      </c>
      <c r="AO192" s="852">
        <f t="shared" si="32"/>
        <v>0</v>
      </c>
      <c r="AP192" s="853">
        <f t="shared" si="33"/>
        <v>0</v>
      </c>
      <c r="AQ192" s="854">
        <f>IFERROR(P192*'Input Sheet'!$F$8/(((AI192)*AK192*2)-AN192),0)</f>
        <v>0</v>
      </c>
      <c r="AR192" s="854">
        <f>IFERROR(($P192-$AF192)*'Input Sheet'!$F$8/(((AI192)*AK192*2)-AN192),0)</f>
        <v>0</v>
      </c>
    </row>
    <row r="193" spans="2:44" s="798" customFormat="1" ht="30" customHeight="1" thickBot="1" x14ac:dyDescent="0.3">
      <c r="B193" s="835"/>
      <c r="C193" s="836"/>
      <c r="D193" s="836"/>
      <c r="E193" s="837"/>
      <c r="F193" s="837"/>
      <c r="G193" s="838"/>
      <c r="H193" s="838"/>
      <c r="I193" s="839"/>
      <c r="J193" s="839"/>
      <c r="K193" s="840"/>
      <c r="L193" s="841"/>
      <c r="M193" s="841"/>
      <c r="N193" s="842"/>
      <c r="O193" s="842"/>
      <c r="P193" s="843"/>
      <c r="Q193" s="843"/>
      <c r="R193" s="843"/>
      <c r="S193" s="844">
        <f t="shared" si="27"/>
        <v>0</v>
      </c>
      <c r="T193" s="838"/>
      <c r="U193" s="842"/>
      <c r="V193" s="843"/>
      <c r="W193" s="843"/>
      <c r="X193" s="843"/>
      <c r="Y193" s="843"/>
      <c r="Z193" s="843"/>
      <c r="AA193" s="837"/>
      <c r="AB193" s="837"/>
      <c r="AC193" s="845">
        <f t="shared" si="28"/>
        <v>0</v>
      </c>
      <c r="AD193" s="846">
        <f t="shared" si="29"/>
        <v>0</v>
      </c>
      <c r="AE193" s="847">
        <f t="shared" si="30"/>
        <v>0</v>
      </c>
      <c r="AF193" s="855">
        <f t="shared" si="23"/>
        <v>0</v>
      </c>
      <c r="AG193" s="848">
        <f>IF('Input Sheet'!$C$15="Yes",'Input Sheet'!$F$8,0)</f>
        <v>0</v>
      </c>
      <c r="AH193" s="846">
        <f>IF('Input Sheet'!$C$15="Yes",Rates!$E$45,0)</f>
        <v>0</v>
      </c>
      <c r="AI193" s="849">
        <f>IF('Input Sheet'!$C$15="Yes",'Input Sheet'!$F$11,0)</f>
        <v>0</v>
      </c>
      <c r="AJ193" s="850">
        <f>IF('Input Sheet'!$C$15="Yes",'Input Sheet'!$F$7,0)</f>
        <v>0</v>
      </c>
      <c r="AK193" s="856">
        <f t="shared" si="24"/>
        <v>0</v>
      </c>
      <c r="AL193" s="856">
        <f t="shared" si="25"/>
        <v>0</v>
      </c>
      <c r="AM193" s="856">
        <f t="shared" si="31"/>
        <v>0</v>
      </c>
      <c r="AN193" s="856">
        <f t="shared" si="26"/>
        <v>0</v>
      </c>
      <c r="AO193" s="852">
        <f t="shared" si="32"/>
        <v>0</v>
      </c>
      <c r="AP193" s="853">
        <f t="shared" si="33"/>
        <v>0</v>
      </c>
      <c r="AQ193" s="854">
        <f>IFERROR(P193*'Input Sheet'!$F$8/(((AI193)*AK193*2)-AN193),0)</f>
        <v>0</v>
      </c>
      <c r="AR193" s="854">
        <f>IFERROR(($P193-$AF193)*'Input Sheet'!$F$8/(((AI193)*AK193*2)-AN193),0)</f>
        <v>0</v>
      </c>
    </row>
    <row r="194" spans="2:44" s="798" customFormat="1" ht="30" customHeight="1" thickBot="1" x14ac:dyDescent="0.3">
      <c r="B194" s="835"/>
      <c r="C194" s="836"/>
      <c r="D194" s="836"/>
      <c r="E194" s="837"/>
      <c r="F194" s="837"/>
      <c r="G194" s="838"/>
      <c r="H194" s="838"/>
      <c r="I194" s="839"/>
      <c r="J194" s="839"/>
      <c r="K194" s="840"/>
      <c r="L194" s="841"/>
      <c r="M194" s="841"/>
      <c r="N194" s="842"/>
      <c r="O194" s="842"/>
      <c r="P194" s="843"/>
      <c r="Q194" s="843"/>
      <c r="R194" s="843"/>
      <c r="S194" s="844">
        <f t="shared" si="27"/>
        <v>0</v>
      </c>
      <c r="T194" s="838"/>
      <c r="U194" s="842"/>
      <c r="V194" s="843"/>
      <c r="W194" s="843"/>
      <c r="X194" s="843"/>
      <c r="Y194" s="843"/>
      <c r="Z194" s="843"/>
      <c r="AA194" s="837"/>
      <c r="AB194" s="837"/>
      <c r="AC194" s="845">
        <f t="shared" si="28"/>
        <v>0</v>
      </c>
      <c r="AD194" s="846">
        <f t="shared" si="29"/>
        <v>0</v>
      </c>
      <c r="AE194" s="847">
        <f t="shared" si="30"/>
        <v>0</v>
      </c>
      <c r="AF194" s="855">
        <f t="shared" si="23"/>
        <v>0</v>
      </c>
      <c r="AG194" s="848">
        <f>IF('Input Sheet'!$C$15="Yes",'Input Sheet'!$F$8,0)</f>
        <v>0</v>
      </c>
      <c r="AH194" s="846">
        <f>IF('Input Sheet'!$C$15="Yes",Rates!$E$45,0)</f>
        <v>0</v>
      </c>
      <c r="AI194" s="849">
        <f>IF('Input Sheet'!$C$15="Yes",'Input Sheet'!$F$11,0)</f>
        <v>0</v>
      </c>
      <c r="AJ194" s="850">
        <f>IF('Input Sheet'!$C$15="Yes",'Input Sheet'!$F$7,0)</f>
        <v>0</v>
      </c>
      <c r="AK194" s="856">
        <f t="shared" si="24"/>
        <v>0</v>
      </c>
      <c r="AL194" s="856">
        <f t="shared" si="25"/>
        <v>0</v>
      </c>
      <c r="AM194" s="856">
        <f t="shared" si="31"/>
        <v>0</v>
      </c>
      <c r="AN194" s="856">
        <f t="shared" si="26"/>
        <v>0</v>
      </c>
      <c r="AO194" s="852">
        <f t="shared" si="32"/>
        <v>0</v>
      </c>
      <c r="AP194" s="853">
        <f t="shared" si="33"/>
        <v>0</v>
      </c>
      <c r="AQ194" s="854">
        <f>IFERROR(P194*'Input Sheet'!$F$8/(((AI194)*AK194*2)-AN194),0)</f>
        <v>0</v>
      </c>
      <c r="AR194" s="854">
        <f>IFERROR(($P194-$AF194)*'Input Sheet'!$F$8/(((AI194)*AK194*2)-AN194),0)</f>
        <v>0</v>
      </c>
    </row>
    <row r="195" spans="2:44" s="798" customFormat="1" ht="30" customHeight="1" thickBot="1" x14ac:dyDescent="0.3">
      <c r="B195" s="835"/>
      <c r="C195" s="836"/>
      <c r="D195" s="836"/>
      <c r="E195" s="837"/>
      <c r="F195" s="837"/>
      <c r="G195" s="838"/>
      <c r="H195" s="838"/>
      <c r="I195" s="839"/>
      <c r="J195" s="839"/>
      <c r="K195" s="840"/>
      <c r="L195" s="841"/>
      <c r="M195" s="841"/>
      <c r="N195" s="842"/>
      <c r="O195" s="842"/>
      <c r="P195" s="843"/>
      <c r="Q195" s="843"/>
      <c r="R195" s="843"/>
      <c r="S195" s="844">
        <f t="shared" si="27"/>
        <v>0</v>
      </c>
      <c r="T195" s="838"/>
      <c r="U195" s="842"/>
      <c r="V195" s="843"/>
      <c r="W195" s="843"/>
      <c r="X195" s="843"/>
      <c r="Y195" s="843"/>
      <c r="Z195" s="843"/>
      <c r="AA195" s="837"/>
      <c r="AB195" s="837"/>
      <c r="AC195" s="845">
        <f t="shared" si="28"/>
        <v>0</v>
      </c>
      <c r="AD195" s="846">
        <f t="shared" si="29"/>
        <v>0</v>
      </c>
      <c r="AE195" s="847">
        <f t="shared" si="30"/>
        <v>0</v>
      </c>
      <c r="AF195" s="855">
        <f t="shared" si="23"/>
        <v>0</v>
      </c>
      <c r="AG195" s="848">
        <f>IF('Input Sheet'!$C$15="Yes",'Input Sheet'!$F$8,0)</f>
        <v>0</v>
      </c>
      <c r="AH195" s="846">
        <f>IF('Input Sheet'!$C$15="Yes",Rates!$E$45,0)</f>
        <v>0</v>
      </c>
      <c r="AI195" s="849">
        <f>IF('Input Sheet'!$C$15="Yes",'Input Sheet'!$F$11,0)</f>
        <v>0</v>
      </c>
      <c r="AJ195" s="850">
        <f>IF('Input Sheet'!$C$15="Yes",'Input Sheet'!$F$7,0)</f>
        <v>0</v>
      </c>
      <c r="AK195" s="856">
        <f t="shared" si="24"/>
        <v>0</v>
      </c>
      <c r="AL195" s="856">
        <f t="shared" si="25"/>
        <v>0</v>
      </c>
      <c r="AM195" s="856">
        <f t="shared" si="31"/>
        <v>0</v>
      </c>
      <c r="AN195" s="856">
        <f t="shared" si="26"/>
        <v>0</v>
      </c>
      <c r="AO195" s="852">
        <f t="shared" si="32"/>
        <v>0</v>
      </c>
      <c r="AP195" s="853">
        <f t="shared" si="33"/>
        <v>0</v>
      </c>
      <c r="AQ195" s="854">
        <f>IFERROR(P195*'Input Sheet'!$F$8/(((AI195)*AK195*2)-AN195),0)</f>
        <v>0</v>
      </c>
      <c r="AR195" s="854">
        <f>IFERROR(($P195-$AF195)*'Input Sheet'!$F$8/(((AI195)*AK195*2)-AN195),0)</f>
        <v>0</v>
      </c>
    </row>
    <row r="196" spans="2:44" s="798" customFormat="1" ht="30" customHeight="1" thickBot="1" x14ac:dyDescent="0.3">
      <c r="B196" s="835"/>
      <c r="C196" s="836"/>
      <c r="D196" s="836"/>
      <c r="E196" s="837"/>
      <c r="F196" s="837"/>
      <c r="G196" s="838"/>
      <c r="H196" s="838"/>
      <c r="I196" s="839"/>
      <c r="J196" s="839"/>
      <c r="K196" s="840"/>
      <c r="L196" s="841"/>
      <c r="M196" s="841"/>
      <c r="N196" s="842"/>
      <c r="O196" s="842"/>
      <c r="P196" s="843"/>
      <c r="Q196" s="843"/>
      <c r="R196" s="843"/>
      <c r="S196" s="844">
        <f t="shared" si="27"/>
        <v>0</v>
      </c>
      <c r="T196" s="838"/>
      <c r="U196" s="842"/>
      <c r="V196" s="843"/>
      <c r="W196" s="843"/>
      <c r="X196" s="843"/>
      <c r="Y196" s="843"/>
      <c r="Z196" s="843"/>
      <c r="AA196" s="837"/>
      <c r="AB196" s="837"/>
      <c r="AC196" s="845">
        <f t="shared" si="28"/>
        <v>0</v>
      </c>
      <c r="AD196" s="846">
        <f t="shared" si="29"/>
        <v>0</v>
      </c>
      <c r="AE196" s="847">
        <f t="shared" si="30"/>
        <v>0</v>
      </c>
      <c r="AF196" s="855">
        <f t="shared" si="23"/>
        <v>0</v>
      </c>
      <c r="AG196" s="848">
        <f>IF('Input Sheet'!$C$15="Yes",'Input Sheet'!$F$8,0)</f>
        <v>0</v>
      </c>
      <c r="AH196" s="846">
        <f>IF('Input Sheet'!$C$15="Yes",Rates!$E$45,0)</f>
        <v>0</v>
      </c>
      <c r="AI196" s="849">
        <f>IF('Input Sheet'!$C$15="Yes",'Input Sheet'!$F$11,0)</f>
        <v>0</v>
      </c>
      <c r="AJ196" s="850">
        <f>IF('Input Sheet'!$C$15="Yes",'Input Sheet'!$F$7,0)</f>
        <v>0</v>
      </c>
      <c r="AK196" s="856">
        <f t="shared" si="24"/>
        <v>0</v>
      </c>
      <c r="AL196" s="856">
        <f t="shared" si="25"/>
        <v>0</v>
      </c>
      <c r="AM196" s="856">
        <f t="shared" si="31"/>
        <v>0</v>
      </c>
      <c r="AN196" s="856">
        <f t="shared" si="26"/>
        <v>0</v>
      </c>
      <c r="AO196" s="852">
        <f t="shared" si="32"/>
        <v>0</v>
      </c>
      <c r="AP196" s="853">
        <f t="shared" si="33"/>
        <v>0</v>
      </c>
      <c r="AQ196" s="854">
        <f>IFERROR(P196*'Input Sheet'!$F$8/(((AI196)*AK196*2)-AN196),0)</f>
        <v>0</v>
      </c>
      <c r="AR196" s="854">
        <f>IFERROR(($P196-$AF196)*'Input Sheet'!$F$8/(((AI196)*AK196*2)-AN196),0)</f>
        <v>0</v>
      </c>
    </row>
    <row r="197" spans="2:44" s="798" customFormat="1" ht="30" customHeight="1" thickBot="1" x14ac:dyDescent="0.3">
      <c r="B197" s="835"/>
      <c r="C197" s="836"/>
      <c r="D197" s="836"/>
      <c r="E197" s="837"/>
      <c r="F197" s="837"/>
      <c r="G197" s="838"/>
      <c r="H197" s="838"/>
      <c r="I197" s="839"/>
      <c r="J197" s="839"/>
      <c r="K197" s="840"/>
      <c r="L197" s="841"/>
      <c r="M197" s="841"/>
      <c r="N197" s="842"/>
      <c r="O197" s="842"/>
      <c r="P197" s="843"/>
      <c r="Q197" s="843"/>
      <c r="R197" s="843"/>
      <c r="S197" s="844">
        <f t="shared" si="27"/>
        <v>0</v>
      </c>
      <c r="T197" s="838"/>
      <c r="U197" s="842"/>
      <c r="V197" s="843"/>
      <c r="W197" s="843"/>
      <c r="X197" s="843"/>
      <c r="Y197" s="843"/>
      <c r="Z197" s="843"/>
      <c r="AA197" s="837"/>
      <c r="AB197" s="837"/>
      <c r="AC197" s="845">
        <f t="shared" si="28"/>
        <v>0</v>
      </c>
      <c r="AD197" s="846">
        <f t="shared" si="29"/>
        <v>0</v>
      </c>
      <c r="AE197" s="847">
        <f t="shared" si="30"/>
        <v>0</v>
      </c>
      <c r="AF197" s="855">
        <f t="shared" si="23"/>
        <v>0</v>
      </c>
      <c r="AG197" s="848">
        <f>IF('Input Sheet'!$C$15="Yes",'Input Sheet'!$F$8,0)</f>
        <v>0</v>
      </c>
      <c r="AH197" s="846">
        <f>IF('Input Sheet'!$C$15="Yes",Rates!$E$45,0)</f>
        <v>0</v>
      </c>
      <c r="AI197" s="849">
        <f>IF('Input Sheet'!$C$15="Yes",'Input Sheet'!$F$11,0)</f>
        <v>0</v>
      </c>
      <c r="AJ197" s="850">
        <f>IF('Input Sheet'!$C$15="Yes",'Input Sheet'!$F$7,0)</f>
        <v>0</v>
      </c>
      <c r="AK197" s="856">
        <f t="shared" si="24"/>
        <v>0</v>
      </c>
      <c r="AL197" s="856">
        <f t="shared" si="25"/>
        <v>0</v>
      </c>
      <c r="AM197" s="856">
        <f t="shared" si="31"/>
        <v>0</v>
      </c>
      <c r="AN197" s="856">
        <f t="shared" si="26"/>
        <v>0</v>
      </c>
      <c r="AO197" s="852">
        <f t="shared" si="32"/>
        <v>0</v>
      </c>
      <c r="AP197" s="853">
        <f t="shared" si="33"/>
        <v>0</v>
      </c>
      <c r="AQ197" s="854">
        <f>IFERROR(P197*'Input Sheet'!$F$8/(((AI197)*AK197*2)-AN197),0)</f>
        <v>0</v>
      </c>
      <c r="AR197" s="854">
        <f>IFERROR(($P197-$AF197)*'Input Sheet'!$F$8/(((AI197)*AK197*2)-AN197),0)</f>
        <v>0</v>
      </c>
    </row>
    <row r="198" spans="2:44" s="798" customFormat="1" ht="30" customHeight="1" thickBot="1" x14ac:dyDescent="0.3">
      <c r="B198" s="835"/>
      <c r="C198" s="836"/>
      <c r="D198" s="836"/>
      <c r="E198" s="837"/>
      <c r="F198" s="837"/>
      <c r="G198" s="838"/>
      <c r="H198" s="838"/>
      <c r="I198" s="839"/>
      <c r="J198" s="839"/>
      <c r="K198" s="840"/>
      <c r="L198" s="841"/>
      <c r="M198" s="841"/>
      <c r="N198" s="842"/>
      <c r="O198" s="842"/>
      <c r="P198" s="843"/>
      <c r="Q198" s="843"/>
      <c r="R198" s="843"/>
      <c r="S198" s="844">
        <f t="shared" si="27"/>
        <v>0</v>
      </c>
      <c r="T198" s="838"/>
      <c r="U198" s="842"/>
      <c r="V198" s="843"/>
      <c r="W198" s="843"/>
      <c r="X198" s="843"/>
      <c r="Y198" s="843"/>
      <c r="Z198" s="843"/>
      <c r="AA198" s="837"/>
      <c r="AB198" s="837"/>
      <c r="AC198" s="845">
        <f t="shared" si="28"/>
        <v>0</v>
      </c>
      <c r="AD198" s="846">
        <f t="shared" si="29"/>
        <v>0</v>
      </c>
      <c r="AE198" s="847">
        <f t="shared" si="30"/>
        <v>0</v>
      </c>
      <c r="AF198" s="855">
        <f t="shared" si="23"/>
        <v>0</v>
      </c>
      <c r="AG198" s="848">
        <f>IF('Input Sheet'!$C$15="Yes",'Input Sheet'!$F$8,0)</f>
        <v>0</v>
      </c>
      <c r="AH198" s="846">
        <f>IF('Input Sheet'!$C$15="Yes",Rates!$E$45,0)</f>
        <v>0</v>
      </c>
      <c r="AI198" s="849">
        <f>IF('Input Sheet'!$C$15="Yes",'Input Sheet'!$F$11,0)</f>
        <v>0</v>
      </c>
      <c r="AJ198" s="850">
        <f>IF('Input Sheet'!$C$15="Yes",'Input Sheet'!$F$7,0)</f>
        <v>0</v>
      </c>
      <c r="AK198" s="856">
        <f t="shared" si="24"/>
        <v>0</v>
      </c>
      <c r="AL198" s="856">
        <f t="shared" si="25"/>
        <v>0</v>
      </c>
      <c r="AM198" s="856">
        <f t="shared" si="31"/>
        <v>0</v>
      </c>
      <c r="AN198" s="856">
        <f t="shared" si="26"/>
        <v>0</v>
      </c>
      <c r="AO198" s="852">
        <f t="shared" si="32"/>
        <v>0</v>
      </c>
      <c r="AP198" s="853">
        <f t="shared" si="33"/>
        <v>0</v>
      </c>
      <c r="AQ198" s="854">
        <f>IFERROR(P198*'Input Sheet'!$F$8/(((AI198)*AK198*2)-AN198),0)</f>
        <v>0</v>
      </c>
      <c r="AR198" s="854">
        <f>IFERROR(($P198-$AF198)*'Input Sheet'!$F$8/(((AI198)*AK198*2)-AN198),0)</f>
        <v>0</v>
      </c>
    </row>
    <row r="199" spans="2:44" s="798" customFormat="1" ht="30" customHeight="1" thickBot="1" x14ac:dyDescent="0.3">
      <c r="B199" s="835"/>
      <c r="C199" s="836"/>
      <c r="D199" s="836"/>
      <c r="E199" s="837"/>
      <c r="F199" s="837"/>
      <c r="G199" s="838"/>
      <c r="H199" s="838"/>
      <c r="I199" s="839"/>
      <c r="J199" s="839"/>
      <c r="K199" s="840"/>
      <c r="L199" s="841"/>
      <c r="M199" s="841"/>
      <c r="N199" s="842"/>
      <c r="O199" s="842"/>
      <c r="P199" s="843"/>
      <c r="Q199" s="843"/>
      <c r="R199" s="843"/>
      <c r="S199" s="844">
        <f t="shared" si="27"/>
        <v>0</v>
      </c>
      <c r="T199" s="838"/>
      <c r="U199" s="842"/>
      <c r="V199" s="843"/>
      <c r="W199" s="843"/>
      <c r="X199" s="843"/>
      <c r="Y199" s="843"/>
      <c r="Z199" s="843"/>
      <c r="AA199" s="837"/>
      <c r="AB199" s="837"/>
      <c r="AC199" s="845">
        <f t="shared" si="28"/>
        <v>0</v>
      </c>
      <c r="AD199" s="846">
        <f t="shared" si="29"/>
        <v>0</v>
      </c>
      <c r="AE199" s="847">
        <f t="shared" si="30"/>
        <v>0</v>
      </c>
      <c r="AF199" s="855">
        <f t="shared" si="23"/>
        <v>0</v>
      </c>
      <c r="AG199" s="848">
        <f>IF('Input Sheet'!$C$15="Yes",'Input Sheet'!$F$8,0)</f>
        <v>0</v>
      </c>
      <c r="AH199" s="846">
        <f>IF('Input Sheet'!$C$15="Yes",Rates!$E$45,0)</f>
        <v>0</v>
      </c>
      <c r="AI199" s="849">
        <f>IF('Input Sheet'!$C$15="Yes",'Input Sheet'!$F$11,0)</f>
        <v>0</v>
      </c>
      <c r="AJ199" s="850">
        <f>IF('Input Sheet'!$C$15="Yes",'Input Sheet'!$F$7,0)</f>
        <v>0</v>
      </c>
      <c r="AK199" s="856">
        <f t="shared" si="24"/>
        <v>0</v>
      </c>
      <c r="AL199" s="856">
        <f t="shared" si="25"/>
        <v>0</v>
      </c>
      <c r="AM199" s="856">
        <f t="shared" si="31"/>
        <v>0</v>
      </c>
      <c r="AN199" s="856">
        <f t="shared" si="26"/>
        <v>0</v>
      </c>
      <c r="AO199" s="852">
        <f t="shared" si="32"/>
        <v>0</v>
      </c>
      <c r="AP199" s="853">
        <f t="shared" si="33"/>
        <v>0</v>
      </c>
      <c r="AQ199" s="854">
        <f>IFERROR(P199*'Input Sheet'!$F$8/(((AI199)*AK199*2)-AN199),0)</f>
        <v>0</v>
      </c>
      <c r="AR199" s="854">
        <f>IFERROR(($P199-$AF199)*'Input Sheet'!$F$8/(((AI199)*AK199*2)-AN199),0)</f>
        <v>0</v>
      </c>
    </row>
    <row r="200" spans="2:44" s="798" customFormat="1" ht="30" customHeight="1" thickBot="1" x14ac:dyDescent="0.3">
      <c r="B200" s="835"/>
      <c r="C200" s="836"/>
      <c r="D200" s="836"/>
      <c r="E200" s="837"/>
      <c r="F200" s="837"/>
      <c r="G200" s="838"/>
      <c r="H200" s="838"/>
      <c r="I200" s="839"/>
      <c r="J200" s="839"/>
      <c r="K200" s="840"/>
      <c r="L200" s="841"/>
      <c r="M200" s="841"/>
      <c r="N200" s="842"/>
      <c r="O200" s="842"/>
      <c r="P200" s="843"/>
      <c r="Q200" s="843"/>
      <c r="R200" s="843"/>
      <c r="S200" s="844">
        <f t="shared" si="27"/>
        <v>0</v>
      </c>
      <c r="T200" s="838"/>
      <c r="U200" s="842"/>
      <c r="V200" s="843"/>
      <c r="W200" s="843"/>
      <c r="X200" s="843"/>
      <c r="Y200" s="843"/>
      <c r="Z200" s="843"/>
      <c r="AA200" s="837"/>
      <c r="AB200" s="837"/>
      <c r="AC200" s="845">
        <f t="shared" si="28"/>
        <v>0</v>
      </c>
      <c r="AD200" s="846">
        <f t="shared" si="29"/>
        <v>0</v>
      </c>
      <c r="AE200" s="847">
        <f t="shared" si="30"/>
        <v>0</v>
      </c>
      <c r="AF200" s="855">
        <f t="shared" si="23"/>
        <v>0</v>
      </c>
      <c r="AG200" s="848">
        <f>IF('Input Sheet'!$C$15="Yes",'Input Sheet'!$F$8,0)</f>
        <v>0</v>
      </c>
      <c r="AH200" s="846">
        <f>IF('Input Sheet'!$C$15="Yes",Rates!$E$45,0)</f>
        <v>0</v>
      </c>
      <c r="AI200" s="849">
        <f>IF('Input Sheet'!$C$15="Yes",'Input Sheet'!$F$11,0)</f>
        <v>0</v>
      </c>
      <c r="AJ200" s="850">
        <f>IF('Input Sheet'!$C$15="Yes",'Input Sheet'!$F$7,0)</f>
        <v>0</v>
      </c>
      <c r="AK200" s="856">
        <f t="shared" si="24"/>
        <v>0</v>
      </c>
      <c r="AL200" s="856">
        <f t="shared" si="25"/>
        <v>0</v>
      </c>
      <c r="AM200" s="856">
        <f t="shared" si="31"/>
        <v>0</v>
      </c>
      <c r="AN200" s="856">
        <f t="shared" si="26"/>
        <v>0</v>
      </c>
      <c r="AO200" s="852">
        <f t="shared" si="32"/>
        <v>0</v>
      </c>
      <c r="AP200" s="853">
        <f t="shared" si="33"/>
        <v>0</v>
      </c>
      <c r="AQ200" s="854">
        <f>IFERROR(P200*'Input Sheet'!$F$8/(((AI200)*AK200*2)-AN200),0)</f>
        <v>0</v>
      </c>
      <c r="AR200" s="854">
        <f>IFERROR(($P200-$AF200)*'Input Sheet'!$F$8/(((AI200)*AK200*2)-AN200),0)</f>
        <v>0</v>
      </c>
    </row>
    <row r="201" spans="2:44" s="798" customFormat="1" ht="30" customHeight="1" thickBot="1" x14ac:dyDescent="0.3">
      <c r="B201" s="835"/>
      <c r="C201" s="836"/>
      <c r="D201" s="836"/>
      <c r="E201" s="837"/>
      <c r="F201" s="837"/>
      <c r="G201" s="838"/>
      <c r="H201" s="838"/>
      <c r="I201" s="839"/>
      <c r="J201" s="839"/>
      <c r="K201" s="840"/>
      <c r="L201" s="841"/>
      <c r="M201" s="841"/>
      <c r="N201" s="842"/>
      <c r="O201" s="842"/>
      <c r="P201" s="843"/>
      <c r="Q201" s="843"/>
      <c r="R201" s="843"/>
      <c r="S201" s="844">
        <f t="shared" si="27"/>
        <v>0</v>
      </c>
      <c r="T201" s="838"/>
      <c r="U201" s="842"/>
      <c r="V201" s="843"/>
      <c r="W201" s="843"/>
      <c r="X201" s="843"/>
      <c r="Y201" s="843"/>
      <c r="Z201" s="843"/>
      <c r="AA201" s="837"/>
      <c r="AB201" s="837"/>
      <c r="AC201" s="845">
        <f t="shared" si="28"/>
        <v>0</v>
      </c>
      <c r="AD201" s="846">
        <f t="shared" si="29"/>
        <v>0</v>
      </c>
      <c r="AE201" s="847">
        <f t="shared" si="30"/>
        <v>0</v>
      </c>
      <c r="AF201" s="855">
        <f t="shared" ref="AF201:AF264" si="34">SUM($Q201:$W201)</f>
        <v>0</v>
      </c>
      <c r="AG201" s="848">
        <f>IF('Input Sheet'!$C$15="Yes",'Input Sheet'!$F$8,0)</f>
        <v>0</v>
      </c>
      <c r="AH201" s="846">
        <f>IF('Input Sheet'!$C$15="Yes",Rates!$E$45,0)</f>
        <v>0</v>
      </c>
      <c r="AI201" s="849">
        <f>IF('Input Sheet'!$C$15="Yes",'Input Sheet'!$F$11,0)</f>
        <v>0</v>
      </c>
      <c r="AJ201" s="850">
        <f>IF('Input Sheet'!$C$15="Yes",'Input Sheet'!$F$7,0)</f>
        <v>0</v>
      </c>
      <c r="AK201" s="856">
        <f t="shared" ref="AK201:AK264" si="35">L201*S201</f>
        <v>0</v>
      </c>
      <c r="AL201" s="856">
        <f t="shared" ref="AL201:AL264" si="36">(AK201)-(AK201*AH201)-(AK201*AP201*(AJ201/12))</f>
        <v>0</v>
      </c>
      <c r="AM201" s="856">
        <f t="shared" si="31"/>
        <v>0</v>
      </c>
      <c r="AN201" s="856">
        <f t="shared" ref="AN201:AN264" si="37">AK201*AP201*AJ201/12</f>
        <v>0</v>
      </c>
      <c r="AO201" s="852">
        <f t="shared" si="32"/>
        <v>0</v>
      </c>
      <c r="AP201" s="853">
        <f t="shared" si="33"/>
        <v>0</v>
      </c>
      <c r="AQ201" s="854">
        <f>IFERROR(P201*'Input Sheet'!$F$8/(((AI201)*AK201*2)-AN201),0)</f>
        <v>0</v>
      </c>
      <c r="AR201" s="854">
        <f>IFERROR(($P201-$AF201)*'Input Sheet'!$F$8/(((AI201)*AK201*2)-AN201),0)</f>
        <v>0</v>
      </c>
    </row>
    <row r="202" spans="2:44" s="798" customFormat="1" ht="30" customHeight="1" thickBot="1" x14ac:dyDescent="0.3">
      <c r="B202" s="835"/>
      <c r="C202" s="836"/>
      <c r="D202" s="836"/>
      <c r="E202" s="837"/>
      <c r="F202" s="837"/>
      <c r="G202" s="838"/>
      <c r="H202" s="838"/>
      <c r="I202" s="839"/>
      <c r="J202" s="839"/>
      <c r="K202" s="840"/>
      <c r="L202" s="841"/>
      <c r="M202" s="841"/>
      <c r="N202" s="842"/>
      <c r="O202" s="842"/>
      <c r="P202" s="843"/>
      <c r="Q202" s="843"/>
      <c r="R202" s="843"/>
      <c r="S202" s="844">
        <f t="shared" ref="S202:S265" si="38">IFERROR(M202/L202,0)</f>
        <v>0</v>
      </c>
      <c r="T202" s="838"/>
      <c r="U202" s="842"/>
      <c r="V202" s="843"/>
      <c r="W202" s="843"/>
      <c r="X202" s="843"/>
      <c r="Y202" s="843"/>
      <c r="Z202" s="843"/>
      <c r="AA202" s="837"/>
      <c r="AB202" s="837"/>
      <c r="AC202" s="845">
        <f t="shared" ref="AC202:AC265" si="39">IFERROR(L202/K202,0)</f>
        <v>0</v>
      </c>
      <c r="AD202" s="846">
        <f t="shared" ref="AD202:AD265" si="40">IFERROR(P202*12/L202,0)</f>
        <v>0</v>
      </c>
      <c r="AE202" s="847">
        <f t="shared" ref="AE202:AE265" si="41">IFERROR(P202*12/K202,0)</f>
        <v>0</v>
      </c>
      <c r="AF202" s="855">
        <f t="shared" si="34"/>
        <v>0</v>
      </c>
      <c r="AG202" s="848">
        <f>IF('Input Sheet'!$C$15="Yes",'Input Sheet'!$F$8,0)</f>
        <v>0</v>
      </c>
      <c r="AH202" s="846">
        <f>IF('Input Sheet'!$C$15="Yes",Rates!$E$45,0)</f>
        <v>0</v>
      </c>
      <c r="AI202" s="849">
        <f>IF('Input Sheet'!$C$15="Yes",'Input Sheet'!$F$11,0)</f>
        <v>0</v>
      </c>
      <c r="AJ202" s="850">
        <f>IF('Input Sheet'!$C$15="Yes",'Input Sheet'!$F$7,0)</f>
        <v>0</v>
      </c>
      <c r="AK202" s="856">
        <f t="shared" si="35"/>
        <v>0</v>
      </c>
      <c r="AL202" s="856">
        <f t="shared" si="36"/>
        <v>0</v>
      </c>
      <c r="AM202" s="856">
        <f t="shared" ref="AM202:AM265" si="42">(AL202)+(AK202*0.75%)</f>
        <v>0</v>
      </c>
      <c r="AN202" s="856">
        <f t="shared" si="37"/>
        <v>0</v>
      </c>
      <c r="AO202" s="852">
        <f t="shared" ref="AO202:AO265" si="43">IFERROR(AM202/L202,0)</f>
        <v>0</v>
      </c>
      <c r="AP202" s="853">
        <f t="shared" ref="AP202:AP265" si="44">AI202</f>
        <v>0</v>
      </c>
      <c r="AQ202" s="854">
        <f>IFERROR(P202*'Input Sheet'!$F$8/(((AI202)*AK202*2)-AN202),0)</f>
        <v>0</v>
      </c>
      <c r="AR202" s="854">
        <f>IFERROR(($P202-$AF202)*'Input Sheet'!$F$8/(((AI202)*AK202*2)-AN202),0)</f>
        <v>0</v>
      </c>
    </row>
    <row r="203" spans="2:44" s="798" customFormat="1" ht="30" customHeight="1" thickBot="1" x14ac:dyDescent="0.3">
      <c r="B203" s="835"/>
      <c r="C203" s="836"/>
      <c r="D203" s="836"/>
      <c r="E203" s="837"/>
      <c r="F203" s="837"/>
      <c r="G203" s="838"/>
      <c r="H203" s="838"/>
      <c r="I203" s="839"/>
      <c r="J203" s="839"/>
      <c r="K203" s="840"/>
      <c r="L203" s="841"/>
      <c r="M203" s="841"/>
      <c r="N203" s="842"/>
      <c r="O203" s="842"/>
      <c r="P203" s="843"/>
      <c r="Q203" s="843"/>
      <c r="R203" s="843"/>
      <c r="S203" s="844">
        <f t="shared" si="38"/>
        <v>0</v>
      </c>
      <c r="T203" s="838"/>
      <c r="U203" s="842"/>
      <c r="V203" s="843"/>
      <c r="W203" s="843"/>
      <c r="X203" s="843"/>
      <c r="Y203" s="843"/>
      <c r="Z203" s="843"/>
      <c r="AA203" s="837"/>
      <c r="AB203" s="837"/>
      <c r="AC203" s="845">
        <f t="shared" si="39"/>
        <v>0</v>
      </c>
      <c r="AD203" s="846">
        <f t="shared" si="40"/>
        <v>0</v>
      </c>
      <c r="AE203" s="847">
        <f t="shared" si="41"/>
        <v>0</v>
      </c>
      <c r="AF203" s="855">
        <f t="shared" si="34"/>
        <v>0</v>
      </c>
      <c r="AG203" s="848">
        <f>IF('Input Sheet'!$C$15="Yes",'Input Sheet'!$F$8,0)</f>
        <v>0</v>
      </c>
      <c r="AH203" s="846">
        <f>IF('Input Sheet'!$C$15="Yes",Rates!$E$45,0)</f>
        <v>0</v>
      </c>
      <c r="AI203" s="849">
        <f>IF('Input Sheet'!$C$15="Yes",'Input Sheet'!$F$11,0)</f>
        <v>0</v>
      </c>
      <c r="AJ203" s="850">
        <f>IF('Input Sheet'!$C$15="Yes",'Input Sheet'!$F$7,0)</f>
        <v>0</v>
      </c>
      <c r="AK203" s="856">
        <f t="shared" si="35"/>
        <v>0</v>
      </c>
      <c r="AL203" s="856">
        <f t="shared" si="36"/>
        <v>0</v>
      </c>
      <c r="AM203" s="856">
        <f t="shared" si="42"/>
        <v>0</v>
      </c>
      <c r="AN203" s="856">
        <f t="shared" si="37"/>
        <v>0</v>
      </c>
      <c r="AO203" s="852">
        <f t="shared" si="43"/>
        <v>0</v>
      </c>
      <c r="AP203" s="853">
        <f t="shared" si="44"/>
        <v>0</v>
      </c>
      <c r="AQ203" s="854">
        <f>IFERROR(P203*'Input Sheet'!$F$8/(((AI203)*AK203*2)-AN203),0)</f>
        <v>0</v>
      </c>
      <c r="AR203" s="854">
        <f>IFERROR(($P203-$AF203)*'Input Sheet'!$F$8/(((AI203)*AK203*2)-AN203),0)</f>
        <v>0</v>
      </c>
    </row>
    <row r="204" spans="2:44" s="798" customFormat="1" ht="30" customHeight="1" thickBot="1" x14ac:dyDescent="0.3">
      <c r="B204" s="835"/>
      <c r="C204" s="836"/>
      <c r="D204" s="836"/>
      <c r="E204" s="837"/>
      <c r="F204" s="837"/>
      <c r="G204" s="838"/>
      <c r="H204" s="838"/>
      <c r="I204" s="839"/>
      <c r="J204" s="839"/>
      <c r="K204" s="840"/>
      <c r="L204" s="841"/>
      <c r="M204" s="841"/>
      <c r="N204" s="842"/>
      <c r="O204" s="842"/>
      <c r="P204" s="843"/>
      <c r="Q204" s="843"/>
      <c r="R204" s="843"/>
      <c r="S204" s="844">
        <f t="shared" si="38"/>
        <v>0</v>
      </c>
      <c r="T204" s="838"/>
      <c r="U204" s="842"/>
      <c r="V204" s="843"/>
      <c r="W204" s="843"/>
      <c r="X204" s="843"/>
      <c r="Y204" s="843"/>
      <c r="Z204" s="843"/>
      <c r="AA204" s="837"/>
      <c r="AB204" s="837"/>
      <c r="AC204" s="845">
        <f t="shared" si="39"/>
        <v>0</v>
      </c>
      <c r="AD204" s="846">
        <f t="shared" si="40"/>
        <v>0</v>
      </c>
      <c r="AE204" s="847">
        <f t="shared" si="41"/>
        <v>0</v>
      </c>
      <c r="AF204" s="855">
        <f t="shared" si="34"/>
        <v>0</v>
      </c>
      <c r="AG204" s="848">
        <f>IF('Input Sheet'!$C$15="Yes",'Input Sheet'!$F$8,0)</f>
        <v>0</v>
      </c>
      <c r="AH204" s="846">
        <f>IF('Input Sheet'!$C$15="Yes",Rates!$E$45,0)</f>
        <v>0</v>
      </c>
      <c r="AI204" s="849">
        <f>IF('Input Sheet'!$C$15="Yes",'Input Sheet'!$F$11,0)</f>
        <v>0</v>
      </c>
      <c r="AJ204" s="850">
        <f>IF('Input Sheet'!$C$15="Yes",'Input Sheet'!$F$7,0)</f>
        <v>0</v>
      </c>
      <c r="AK204" s="856">
        <f t="shared" si="35"/>
        <v>0</v>
      </c>
      <c r="AL204" s="856">
        <f t="shared" si="36"/>
        <v>0</v>
      </c>
      <c r="AM204" s="856">
        <f t="shared" si="42"/>
        <v>0</v>
      </c>
      <c r="AN204" s="856">
        <f t="shared" si="37"/>
        <v>0</v>
      </c>
      <c r="AO204" s="852">
        <f t="shared" si="43"/>
        <v>0</v>
      </c>
      <c r="AP204" s="853">
        <f t="shared" si="44"/>
        <v>0</v>
      </c>
      <c r="AQ204" s="854">
        <f>IFERROR(P204*'Input Sheet'!$F$8/(((AI204)*AK204*2)-AN204),0)</f>
        <v>0</v>
      </c>
      <c r="AR204" s="854">
        <f>IFERROR(($P204-$AF204)*'Input Sheet'!$F$8/(((AI204)*AK204*2)-AN204),0)</f>
        <v>0</v>
      </c>
    </row>
    <row r="205" spans="2:44" s="798" customFormat="1" ht="30" customHeight="1" thickBot="1" x14ac:dyDescent="0.3">
      <c r="B205" s="835"/>
      <c r="C205" s="836"/>
      <c r="D205" s="836"/>
      <c r="E205" s="837"/>
      <c r="F205" s="837"/>
      <c r="G205" s="838"/>
      <c r="H205" s="838"/>
      <c r="I205" s="839"/>
      <c r="J205" s="839"/>
      <c r="K205" s="840"/>
      <c r="L205" s="841"/>
      <c r="M205" s="841"/>
      <c r="N205" s="842"/>
      <c r="O205" s="842"/>
      <c r="P205" s="843"/>
      <c r="Q205" s="843"/>
      <c r="R205" s="843"/>
      <c r="S205" s="844">
        <f t="shared" si="38"/>
        <v>0</v>
      </c>
      <c r="T205" s="838"/>
      <c r="U205" s="842"/>
      <c r="V205" s="843"/>
      <c r="W205" s="843"/>
      <c r="X205" s="843"/>
      <c r="Y205" s="843"/>
      <c r="Z205" s="843"/>
      <c r="AA205" s="837"/>
      <c r="AB205" s="837"/>
      <c r="AC205" s="845">
        <f t="shared" si="39"/>
        <v>0</v>
      </c>
      <c r="AD205" s="846">
        <f t="shared" si="40"/>
        <v>0</v>
      </c>
      <c r="AE205" s="847">
        <f t="shared" si="41"/>
        <v>0</v>
      </c>
      <c r="AF205" s="855">
        <f t="shared" si="34"/>
        <v>0</v>
      </c>
      <c r="AG205" s="848">
        <f>IF('Input Sheet'!$C$15="Yes",'Input Sheet'!$F$8,0)</f>
        <v>0</v>
      </c>
      <c r="AH205" s="846">
        <f>IF('Input Sheet'!$C$15="Yes",Rates!$E$45,0)</f>
        <v>0</v>
      </c>
      <c r="AI205" s="849">
        <f>IF('Input Sheet'!$C$15="Yes",'Input Sheet'!$F$11,0)</f>
        <v>0</v>
      </c>
      <c r="AJ205" s="850">
        <f>IF('Input Sheet'!$C$15="Yes",'Input Sheet'!$F$7,0)</f>
        <v>0</v>
      </c>
      <c r="AK205" s="856">
        <f t="shared" si="35"/>
        <v>0</v>
      </c>
      <c r="AL205" s="856">
        <f t="shared" si="36"/>
        <v>0</v>
      </c>
      <c r="AM205" s="856">
        <f t="shared" si="42"/>
        <v>0</v>
      </c>
      <c r="AN205" s="856">
        <f t="shared" si="37"/>
        <v>0</v>
      </c>
      <c r="AO205" s="852">
        <f t="shared" si="43"/>
        <v>0</v>
      </c>
      <c r="AP205" s="853">
        <f t="shared" si="44"/>
        <v>0</v>
      </c>
      <c r="AQ205" s="854">
        <f>IFERROR(P205*'Input Sheet'!$F$8/(((AI205)*AK205*2)-AN205),0)</f>
        <v>0</v>
      </c>
      <c r="AR205" s="854">
        <f>IFERROR(($P205-$AF205)*'Input Sheet'!$F$8/(((AI205)*AK205*2)-AN205),0)</f>
        <v>0</v>
      </c>
    </row>
    <row r="206" spans="2:44" s="798" customFormat="1" ht="30" customHeight="1" thickBot="1" x14ac:dyDescent="0.3">
      <c r="B206" s="835"/>
      <c r="C206" s="836"/>
      <c r="D206" s="836"/>
      <c r="E206" s="837"/>
      <c r="F206" s="837"/>
      <c r="G206" s="838"/>
      <c r="H206" s="838"/>
      <c r="I206" s="839"/>
      <c r="J206" s="839"/>
      <c r="K206" s="840"/>
      <c r="L206" s="841"/>
      <c r="M206" s="841"/>
      <c r="N206" s="842"/>
      <c r="O206" s="842"/>
      <c r="P206" s="843"/>
      <c r="Q206" s="843"/>
      <c r="R206" s="843"/>
      <c r="S206" s="844">
        <f t="shared" si="38"/>
        <v>0</v>
      </c>
      <c r="T206" s="838"/>
      <c r="U206" s="842"/>
      <c r="V206" s="843"/>
      <c r="W206" s="843"/>
      <c r="X206" s="843"/>
      <c r="Y206" s="843"/>
      <c r="Z206" s="843"/>
      <c r="AA206" s="837"/>
      <c r="AB206" s="837"/>
      <c r="AC206" s="845">
        <f t="shared" si="39"/>
        <v>0</v>
      </c>
      <c r="AD206" s="846">
        <f t="shared" si="40"/>
        <v>0</v>
      </c>
      <c r="AE206" s="847">
        <f t="shared" si="41"/>
        <v>0</v>
      </c>
      <c r="AF206" s="855">
        <f t="shared" si="34"/>
        <v>0</v>
      </c>
      <c r="AG206" s="848">
        <f>IF('Input Sheet'!$C$15="Yes",'Input Sheet'!$F$8,0)</f>
        <v>0</v>
      </c>
      <c r="AH206" s="846">
        <f>IF('Input Sheet'!$C$15="Yes",Rates!$E$45,0)</f>
        <v>0</v>
      </c>
      <c r="AI206" s="849">
        <f>IF('Input Sheet'!$C$15="Yes",'Input Sheet'!$F$11,0)</f>
        <v>0</v>
      </c>
      <c r="AJ206" s="850">
        <f>IF('Input Sheet'!$C$15="Yes",'Input Sheet'!$F$7,0)</f>
        <v>0</v>
      </c>
      <c r="AK206" s="856">
        <f t="shared" si="35"/>
        <v>0</v>
      </c>
      <c r="AL206" s="856">
        <f t="shared" si="36"/>
        <v>0</v>
      </c>
      <c r="AM206" s="856">
        <f t="shared" si="42"/>
        <v>0</v>
      </c>
      <c r="AN206" s="856">
        <f t="shared" si="37"/>
        <v>0</v>
      </c>
      <c r="AO206" s="852">
        <f t="shared" si="43"/>
        <v>0</v>
      </c>
      <c r="AP206" s="853">
        <f t="shared" si="44"/>
        <v>0</v>
      </c>
      <c r="AQ206" s="854">
        <f>IFERROR(P206*'Input Sheet'!$F$8/(((AI206)*AK206*2)-AN206),0)</f>
        <v>0</v>
      </c>
      <c r="AR206" s="854">
        <f>IFERROR(($P206-$AF206)*'Input Sheet'!$F$8/(((AI206)*AK206*2)-AN206),0)</f>
        <v>0</v>
      </c>
    </row>
    <row r="207" spans="2:44" s="798" customFormat="1" ht="30" customHeight="1" thickBot="1" x14ac:dyDescent="0.3">
      <c r="B207" s="835"/>
      <c r="C207" s="836"/>
      <c r="D207" s="836"/>
      <c r="E207" s="837"/>
      <c r="F207" s="837"/>
      <c r="G207" s="838"/>
      <c r="H207" s="838"/>
      <c r="I207" s="839"/>
      <c r="J207" s="839"/>
      <c r="K207" s="840"/>
      <c r="L207" s="841"/>
      <c r="M207" s="841"/>
      <c r="N207" s="842"/>
      <c r="O207" s="842"/>
      <c r="P207" s="843"/>
      <c r="Q207" s="843"/>
      <c r="R207" s="843"/>
      <c r="S207" s="844">
        <f t="shared" si="38"/>
        <v>0</v>
      </c>
      <c r="T207" s="838"/>
      <c r="U207" s="842"/>
      <c r="V207" s="843"/>
      <c r="W207" s="843"/>
      <c r="X207" s="843"/>
      <c r="Y207" s="843"/>
      <c r="Z207" s="843"/>
      <c r="AA207" s="837"/>
      <c r="AB207" s="837"/>
      <c r="AC207" s="845">
        <f t="shared" si="39"/>
        <v>0</v>
      </c>
      <c r="AD207" s="846">
        <f t="shared" si="40"/>
        <v>0</v>
      </c>
      <c r="AE207" s="847">
        <f t="shared" si="41"/>
        <v>0</v>
      </c>
      <c r="AF207" s="855">
        <f t="shared" si="34"/>
        <v>0</v>
      </c>
      <c r="AG207" s="848">
        <f>IF('Input Sheet'!$C$15="Yes",'Input Sheet'!$F$8,0)</f>
        <v>0</v>
      </c>
      <c r="AH207" s="846">
        <f>IF('Input Sheet'!$C$15="Yes",Rates!$E$45,0)</f>
        <v>0</v>
      </c>
      <c r="AI207" s="849">
        <f>IF('Input Sheet'!$C$15="Yes",'Input Sheet'!$F$11,0)</f>
        <v>0</v>
      </c>
      <c r="AJ207" s="850">
        <f>IF('Input Sheet'!$C$15="Yes",'Input Sheet'!$F$7,0)</f>
        <v>0</v>
      </c>
      <c r="AK207" s="856">
        <f t="shared" si="35"/>
        <v>0</v>
      </c>
      <c r="AL207" s="856">
        <f t="shared" si="36"/>
        <v>0</v>
      </c>
      <c r="AM207" s="856">
        <f t="shared" si="42"/>
        <v>0</v>
      </c>
      <c r="AN207" s="856">
        <f t="shared" si="37"/>
        <v>0</v>
      </c>
      <c r="AO207" s="852">
        <f t="shared" si="43"/>
        <v>0</v>
      </c>
      <c r="AP207" s="853">
        <f t="shared" si="44"/>
        <v>0</v>
      </c>
      <c r="AQ207" s="854">
        <f>IFERROR(P207*'Input Sheet'!$F$8/(((AI207)*AK207*2)-AN207),0)</f>
        <v>0</v>
      </c>
      <c r="AR207" s="854">
        <f>IFERROR(($P207-$AF207)*'Input Sheet'!$F$8/(((AI207)*AK207*2)-AN207),0)</f>
        <v>0</v>
      </c>
    </row>
    <row r="208" spans="2:44" s="798" customFormat="1" ht="30" customHeight="1" thickBot="1" x14ac:dyDescent="0.3">
      <c r="B208" s="835"/>
      <c r="C208" s="836"/>
      <c r="D208" s="836"/>
      <c r="E208" s="837"/>
      <c r="F208" s="837"/>
      <c r="G208" s="838"/>
      <c r="H208" s="838"/>
      <c r="I208" s="839"/>
      <c r="J208" s="839"/>
      <c r="K208" s="840"/>
      <c r="L208" s="841"/>
      <c r="M208" s="841"/>
      <c r="N208" s="842"/>
      <c r="O208" s="842"/>
      <c r="P208" s="843"/>
      <c r="Q208" s="843"/>
      <c r="R208" s="843"/>
      <c r="S208" s="844">
        <f t="shared" si="38"/>
        <v>0</v>
      </c>
      <c r="T208" s="838"/>
      <c r="U208" s="842"/>
      <c r="V208" s="843"/>
      <c r="W208" s="843"/>
      <c r="X208" s="843"/>
      <c r="Y208" s="843"/>
      <c r="Z208" s="843"/>
      <c r="AA208" s="837"/>
      <c r="AB208" s="837"/>
      <c r="AC208" s="845">
        <f t="shared" si="39"/>
        <v>0</v>
      </c>
      <c r="AD208" s="846">
        <f t="shared" si="40"/>
        <v>0</v>
      </c>
      <c r="AE208" s="847">
        <f t="shared" si="41"/>
        <v>0</v>
      </c>
      <c r="AF208" s="855">
        <f t="shared" si="34"/>
        <v>0</v>
      </c>
      <c r="AG208" s="848">
        <f>IF('Input Sheet'!$C$15="Yes",'Input Sheet'!$F$8,0)</f>
        <v>0</v>
      </c>
      <c r="AH208" s="846">
        <f>IF('Input Sheet'!$C$15="Yes",Rates!$E$45,0)</f>
        <v>0</v>
      </c>
      <c r="AI208" s="849">
        <f>IF('Input Sheet'!$C$15="Yes",'Input Sheet'!$F$11,0)</f>
        <v>0</v>
      </c>
      <c r="AJ208" s="850">
        <f>IF('Input Sheet'!$C$15="Yes",'Input Sheet'!$F$7,0)</f>
        <v>0</v>
      </c>
      <c r="AK208" s="856">
        <f t="shared" si="35"/>
        <v>0</v>
      </c>
      <c r="AL208" s="856">
        <f t="shared" si="36"/>
        <v>0</v>
      </c>
      <c r="AM208" s="856">
        <f t="shared" si="42"/>
        <v>0</v>
      </c>
      <c r="AN208" s="856">
        <f t="shared" si="37"/>
        <v>0</v>
      </c>
      <c r="AO208" s="852">
        <f t="shared" si="43"/>
        <v>0</v>
      </c>
      <c r="AP208" s="853">
        <f t="shared" si="44"/>
        <v>0</v>
      </c>
      <c r="AQ208" s="854">
        <f>IFERROR(P208*'Input Sheet'!$F$8/(((AI208)*AK208*2)-AN208),0)</f>
        <v>0</v>
      </c>
      <c r="AR208" s="854">
        <f>IFERROR(($P208-$AF208)*'Input Sheet'!$F$8/(((AI208)*AK208*2)-AN208),0)</f>
        <v>0</v>
      </c>
    </row>
    <row r="209" spans="2:44" s="798" customFormat="1" ht="30" customHeight="1" thickBot="1" x14ac:dyDescent="0.3">
      <c r="B209" s="835"/>
      <c r="C209" s="836"/>
      <c r="D209" s="836"/>
      <c r="E209" s="837"/>
      <c r="F209" s="837"/>
      <c r="G209" s="838"/>
      <c r="H209" s="838"/>
      <c r="I209" s="839"/>
      <c r="J209" s="839"/>
      <c r="K209" s="840"/>
      <c r="L209" s="841"/>
      <c r="M209" s="841"/>
      <c r="N209" s="842"/>
      <c r="O209" s="842"/>
      <c r="P209" s="843"/>
      <c r="Q209" s="843"/>
      <c r="R209" s="843"/>
      <c r="S209" s="844">
        <f t="shared" si="38"/>
        <v>0</v>
      </c>
      <c r="T209" s="838"/>
      <c r="U209" s="842"/>
      <c r="V209" s="843"/>
      <c r="W209" s="843"/>
      <c r="X209" s="843"/>
      <c r="Y209" s="843"/>
      <c r="Z209" s="843"/>
      <c r="AA209" s="837"/>
      <c r="AB209" s="837"/>
      <c r="AC209" s="845">
        <f t="shared" si="39"/>
        <v>0</v>
      </c>
      <c r="AD209" s="846">
        <f t="shared" si="40"/>
        <v>0</v>
      </c>
      <c r="AE209" s="847">
        <f t="shared" si="41"/>
        <v>0</v>
      </c>
      <c r="AF209" s="855">
        <f t="shared" si="34"/>
        <v>0</v>
      </c>
      <c r="AG209" s="848">
        <f>IF('Input Sheet'!$C$15="Yes",'Input Sheet'!$F$8,0)</f>
        <v>0</v>
      </c>
      <c r="AH209" s="846">
        <f>IF('Input Sheet'!$C$15="Yes",Rates!$E$45,0)</f>
        <v>0</v>
      </c>
      <c r="AI209" s="849">
        <f>IF('Input Sheet'!$C$15="Yes",'Input Sheet'!$F$11,0)</f>
        <v>0</v>
      </c>
      <c r="AJ209" s="850">
        <f>IF('Input Sheet'!$C$15="Yes",'Input Sheet'!$F$7,0)</f>
        <v>0</v>
      </c>
      <c r="AK209" s="856">
        <f t="shared" si="35"/>
        <v>0</v>
      </c>
      <c r="AL209" s="856">
        <f t="shared" si="36"/>
        <v>0</v>
      </c>
      <c r="AM209" s="856">
        <f t="shared" si="42"/>
        <v>0</v>
      </c>
      <c r="AN209" s="856">
        <f t="shared" si="37"/>
        <v>0</v>
      </c>
      <c r="AO209" s="852">
        <f t="shared" si="43"/>
        <v>0</v>
      </c>
      <c r="AP209" s="853">
        <f t="shared" si="44"/>
        <v>0</v>
      </c>
      <c r="AQ209" s="854">
        <f>IFERROR(P209*'Input Sheet'!$F$8/(((AI209)*AK209*2)-AN209),0)</f>
        <v>0</v>
      </c>
      <c r="AR209" s="854">
        <f>IFERROR(($P209-$AF209)*'Input Sheet'!$F$8/(((AI209)*AK209*2)-AN209),0)</f>
        <v>0</v>
      </c>
    </row>
    <row r="210" spans="2:44" s="798" customFormat="1" ht="30" customHeight="1" thickBot="1" x14ac:dyDescent="0.3">
      <c r="B210" s="835"/>
      <c r="C210" s="836"/>
      <c r="D210" s="836"/>
      <c r="E210" s="837"/>
      <c r="F210" s="837"/>
      <c r="G210" s="838"/>
      <c r="H210" s="838"/>
      <c r="I210" s="839"/>
      <c r="J210" s="839"/>
      <c r="K210" s="840"/>
      <c r="L210" s="841"/>
      <c r="M210" s="841"/>
      <c r="N210" s="842"/>
      <c r="O210" s="842"/>
      <c r="P210" s="843"/>
      <c r="Q210" s="843"/>
      <c r="R210" s="843"/>
      <c r="S210" s="844">
        <f t="shared" si="38"/>
        <v>0</v>
      </c>
      <c r="T210" s="838"/>
      <c r="U210" s="842"/>
      <c r="V210" s="843"/>
      <c r="W210" s="843"/>
      <c r="X210" s="843"/>
      <c r="Y210" s="843"/>
      <c r="Z210" s="843"/>
      <c r="AA210" s="837"/>
      <c r="AB210" s="837"/>
      <c r="AC210" s="845">
        <f t="shared" si="39"/>
        <v>0</v>
      </c>
      <c r="AD210" s="846">
        <f t="shared" si="40"/>
        <v>0</v>
      </c>
      <c r="AE210" s="847">
        <f t="shared" si="41"/>
        <v>0</v>
      </c>
      <c r="AF210" s="855">
        <f t="shared" si="34"/>
        <v>0</v>
      </c>
      <c r="AG210" s="848">
        <f>IF('Input Sheet'!$C$15="Yes",'Input Sheet'!$F$8,0)</f>
        <v>0</v>
      </c>
      <c r="AH210" s="846">
        <f>IF('Input Sheet'!$C$15="Yes",Rates!$E$45,0)</f>
        <v>0</v>
      </c>
      <c r="AI210" s="849">
        <f>IF('Input Sheet'!$C$15="Yes",'Input Sheet'!$F$11,0)</f>
        <v>0</v>
      </c>
      <c r="AJ210" s="850">
        <f>IF('Input Sheet'!$C$15="Yes",'Input Sheet'!$F$7,0)</f>
        <v>0</v>
      </c>
      <c r="AK210" s="856">
        <f t="shared" si="35"/>
        <v>0</v>
      </c>
      <c r="AL210" s="856">
        <f t="shared" si="36"/>
        <v>0</v>
      </c>
      <c r="AM210" s="856">
        <f t="shared" si="42"/>
        <v>0</v>
      </c>
      <c r="AN210" s="856">
        <f t="shared" si="37"/>
        <v>0</v>
      </c>
      <c r="AO210" s="852">
        <f t="shared" si="43"/>
        <v>0</v>
      </c>
      <c r="AP210" s="853">
        <f t="shared" si="44"/>
        <v>0</v>
      </c>
      <c r="AQ210" s="854">
        <f>IFERROR(P210*'Input Sheet'!$F$8/(((AI210)*AK210*2)-AN210),0)</f>
        <v>0</v>
      </c>
      <c r="AR210" s="854">
        <f>IFERROR(($P210-$AF210)*'Input Sheet'!$F$8/(((AI210)*AK210*2)-AN210),0)</f>
        <v>0</v>
      </c>
    </row>
    <row r="211" spans="2:44" s="798" customFormat="1" ht="30" customHeight="1" thickBot="1" x14ac:dyDescent="0.3">
      <c r="B211" s="835"/>
      <c r="C211" s="836"/>
      <c r="D211" s="836"/>
      <c r="E211" s="837"/>
      <c r="F211" s="837"/>
      <c r="G211" s="838"/>
      <c r="H211" s="838"/>
      <c r="I211" s="839"/>
      <c r="J211" s="839"/>
      <c r="K211" s="840"/>
      <c r="L211" s="841"/>
      <c r="M211" s="841"/>
      <c r="N211" s="842"/>
      <c r="O211" s="842"/>
      <c r="P211" s="843"/>
      <c r="Q211" s="843"/>
      <c r="R211" s="843"/>
      <c r="S211" s="844">
        <f t="shared" si="38"/>
        <v>0</v>
      </c>
      <c r="T211" s="838"/>
      <c r="U211" s="842"/>
      <c r="V211" s="843"/>
      <c r="W211" s="843"/>
      <c r="X211" s="843"/>
      <c r="Y211" s="843"/>
      <c r="Z211" s="843"/>
      <c r="AA211" s="837"/>
      <c r="AB211" s="837"/>
      <c r="AC211" s="845">
        <f t="shared" si="39"/>
        <v>0</v>
      </c>
      <c r="AD211" s="846">
        <f t="shared" si="40"/>
        <v>0</v>
      </c>
      <c r="AE211" s="847">
        <f t="shared" si="41"/>
        <v>0</v>
      </c>
      <c r="AF211" s="855">
        <f t="shared" si="34"/>
        <v>0</v>
      </c>
      <c r="AG211" s="848">
        <f>IF('Input Sheet'!$C$15="Yes",'Input Sheet'!$F$8,0)</f>
        <v>0</v>
      </c>
      <c r="AH211" s="846">
        <f>IF('Input Sheet'!$C$15="Yes",Rates!$E$45,0)</f>
        <v>0</v>
      </c>
      <c r="AI211" s="849">
        <f>IF('Input Sheet'!$C$15="Yes",'Input Sheet'!$F$11,0)</f>
        <v>0</v>
      </c>
      <c r="AJ211" s="850">
        <f>IF('Input Sheet'!$C$15="Yes",'Input Sheet'!$F$7,0)</f>
        <v>0</v>
      </c>
      <c r="AK211" s="856">
        <f t="shared" si="35"/>
        <v>0</v>
      </c>
      <c r="AL211" s="856">
        <f t="shared" si="36"/>
        <v>0</v>
      </c>
      <c r="AM211" s="856">
        <f t="shared" si="42"/>
        <v>0</v>
      </c>
      <c r="AN211" s="856">
        <f t="shared" si="37"/>
        <v>0</v>
      </c>
      <c r="AO211" s="852">
        <f t="shared" si="43"/>
        <v>0</v>
      </c>
      <c r="AP211" s="853">
        <f t="shared" si="44"/>
        <v>0</v>
      </c>
      <c r="AQ211" s="854">
        <f>IFERROR(P211*'Input Sheet'!$F$8/(((AI211)*AK211*2)-AN211),0)</f>
        <v>0</v>
      </c>
      <c r="AR211" s="854">
        <f>IFERROR(($P211-$AF211)*'Input Sheet'!$F$8/(((AI211)*AK211*2)-AN211),0)</f>
        <v>0</v>
      </c>
    </row>
    <row r="212" spans="2:44" s="798" customFormat="1" ht="30" customHeight="1" thickBot="1" x14ac:dyDescent="0.3">
      <c r="B212" s="835"/>
      <c r="C212" s="836"/>
      <c r="D212" s="836"/>
      <c r="E212" s="837"/>
      <c r="F212" s="837"/>
      <c r="G212" s="838"/>
      <c r="H212" s="838"/>
      <c r="I212" s="839"/>
      <c r="J212" s="839"/>
      <c r="K212" s="840"/>
      <c r="L212" s="841"/>
      <c r="M212" s="841"/>
      <c r="N212" s="842"/>
      <c r="O212" s="842"/>
      <c r="P212" s="843"/>
      <c r="Q212" s="843"/>
      <c r="R212" s="843"/>
      <c r="S212" s="844">
        <f t="shared" si="38"/>
        <v>0</v>
      </c>
      <c r="T212" s="838"/>
      <c r="U212" s="842"/>
      <c r="V212" s="843"/>
      <c r="W212" s="843"/>
      <c r="X212" s="843"/>
      <c r="Y212" s="843"/>
      <c r="Z212" s="843"/>
      <c r="AA212" s="837"/>
      <c r="AB212" s="837"/>
      <c r="AC212" s="845">
        <f t="shared" si="39"/>
        <v>0</v>
      </c>
      <c r="AD212" s="846">
        <f t="shared" si="40"/>
        <v>0</v>
      </c>
      <c r="AE212" s="847">
        <f t="shared" si="41"/>
        <v>0</v>
      </c>
      <c r="AF212" s="855">
        <f t="shared" si="34"/>
        <v>0</v>
      </c>
      <c r="AG212" s="848">
        <f>IF('Input Sheet'!$C$15="Yes",'Input Sheet'!$F$8,0)</f>
        <v>0</v>
      </c>
      <c r="AH212" s="846">
        <f>IF('Input Sheet'!$C$15="Yes",Rates!$E$45,0)</f>
        <v>0</v>
      </c>
      <c r="AI212" s="849">
        <f>IF('Input Sheet'!$C$15="Yes",'Input Sheet'!$F$11,0)</f>
        <v>0</v>
      </c>
      <c r="AJ212" s="850">
        <f>IF('Input Sheet'!$C$15="Yes",'Input Sheet'!$F$7,0)</f>
        <v>0</v>
      </c>
      <c r="AK212" s="856">
        <f t="shared" si="35"/>
        <v>0</v>
      </c>
      <c r="AL212" s="856">
        <f t="shared" si="36"/>
        <v>0</v>
      </c>
      <c r="AM212" s="856">
        <f t="shared" si="42"/>
        <v>0</v>
      </c>
      <c r="AN212" s="856">
        <f t="shared" si="37"/>
        <v>0</v>
      </c>
      <c r="AO212" s="852">
        <f t="shared" si="43"/>
        <v>0</v>
      </c>
      <c r="AP212" s="853">
        <f t="shared" si="44"/>
        <v>0</v>
      </c>
      <c r="AQ212" s="854">
        <f>IFERROR(P212*'Input Sheet'!$F$8/(((AI212)*AK212*2)-AN212),0)</f>
        <v>0</v>
      </c>
      <c r="AR212" s="854">
        <f>IFERROR(($P212-$AF212)*'Input Sheet'!$F$8/(((AI212)*AK212*2)-AN212),0)</f>
        <v>0</v>
      </c>
    </row>
    <row r="213" spans="2:44" s="798" customFormat="1" ht="30" customHeight="1" thickBot="1" x14ac:dyDescent="0.3">
      <c r="B213" s="835"/>
      <c r="C213" s="836"/>
      <c r="D213" s="836"/>
      <c r="E213" s="837"/>
      <c r="F213" s="837"/>
      <c r="G213" s="838"/>
      <c r="H213" s="838"/>
      <c r="I213" s="839"/>
      <c r="J213" s="839"/>
      <c r="K213" s="840"/>
      <c r="L213" s="841"/>
      <c r="M213" s="841"/>
      <c r="N213" s="842"/>
      <c r="O213" s="842"/>
      <c r="P213" s="843"/>
      <c r="Q213" s="843"/>
      <c r="R213" s="843"/>
      <c r="S213" s="844">
        <f t="shared" si="38"/>
        <v>0</v>
      </c>
      <c r="T213" s="838"/>
      <c r="U213" s="842"/>
      <c r="V213" s="843"/>
      <c r="W213" s="843"/>
      <c r="X213" s="843"/>
      <c r="Y213" s="843"/>
      <c r="Z213" s="843"/>
      <c r="AA213" s="837"/>
      <c r="AB213" s="837"/>
      <c r="AC213" s="845">
        <f t="shared" si="39"/>
        <v>0</v>
      </c>
      <c r="AD213" s="846">
        <f t="shared" si="40"/>
        <v>0</v>
      </c>
      <c r="AE213" s="847">
        <f t="shared" si="41"/>
        <v>0</v>
      </c>
      <c r="AF213" s="855">
        <f t="shared" si="34"/>
        <v>0</v>
      </c>
      <c r="AG213" s="848">
        <f>IF('Input Sheet'!$C$15="Yes",'Input Sheet'!$F$8,0)</f>
        <v>0</v>
      </c>
      <c r="AH213" s="846">
        <f>IF('Input Sheet'!$C$15="Yes",Rates!$E$45,0)</f>
        <v>0</v>
      </c>
      <c r="AI213" s="849">
        <f>IF('Input Sheet'!$C$15="Yes",'Input Sheet'!$F$11,0)</f>
        <v>0</v>
      </c>
      <c r="AJ213" s="850">
        <f>IF('Input Sheet'!$C$15="Yes",'Input Sheet'!$F$7,0)</f>
        <v>0</v>
      </c>
      <c r="AK213" s="856">
        <f t="shared" si="35"/>
        <v>0</v>
      </c>
      <c r="AL213" s="856">
        <f t="shared" si="36"/>
        <v>0</v>
      </c>
      <c r="AM213" s="856">
        <f t="shared" si="42"/>
        <v>0</v>
      </c>
      <c r="AN213" s="856">
        <f t="shared" si="37"/>
        <v>0</v>
      </c>
      <c r="AO213" s="852">
        <f t="shared" si="43"/>
        <v>0</v>
      </c>
      <c r="AP213" s="853">
        <f t="shared" si="44"/>
        <v>0</v>
      </c>
      <c r="AQ213" s="854">
        <f>IFERROR(P213*'Input Sheet'!$F$8/(((AI213)*AK213*2)-AN213),0)</f>
        <v>0</v>
      </c>
      <c r="AR213" s="854">
        <f>IFERROR(($P213-$AF213)*'Input Sheet'!$F$8/(((AI213)*AK213*2)-AN213),0)</f>
        <v>0</v>
      </c>
    </row>
    <row r="214" spans="2:44" s="798" customFormat="1" ht="30" customHeight="1" thickBot="1" x14ac:dyDescent="0.3">
      <c r="B214" s="835"/>
      <c r="C214" s="836"/>
      <c r="D214" s="836"/>
      <c r="E214" s="837"/>
      <c r="F214" s="837"/>
      <c r="G214" s="838"/>
      <c r="H214" s="838"/>
      <c r="I214" s="839"/>
      <c r="J214" s="839"/>
      <c r="K214" s="840"/>
      <c r="L214" s="841"/>
      <c r="M214" s="841"/>
      <c r="N214" s="842"/>
      <c r="O214" s="842"/>
      <c r="P214" s="843"/>
      <c r="Q214" s="843"/>
      <c r="R214" s="843"/>
      <c r="S214" s="844">
        <f t="shared" si="38"/>
        <v>0</v>
      </c>
      <c r="T214" s="838"/>
      <c r="U214" s="842"/>
      <c r="V214" s="843"/>
      <c r="W214" s="843"/>
      <c r="X214" s="843"/>
      <c r="Y214" s="843"/>
      <c r="Z214" s="843"/>
      <c r="AA214" s="837"/>
      <c r="AB214" s="837"/>
      <c r="AC214" s="845">
        <f t="shared" si="39"/>
        <v>0</v>
      </c>
      <c r="AD214" s="846">
        <f t="shared" si="40"/>
        <v>0</v>
      </c>
      <c r="AE214" s="847">
        <f t="shared" si="41"/>
        <v>0</v>
      </c>
      <c r="AF214" s="855">
        <f t="shared" si="34"/>
        <v>0</v>
      </c>
      <c r="AG214" s="848">
        <f>IF('Input Sheet'!$C$15="Yes",'Input Sheet'!$F$8,0)</f>
        <v>0</v>
      </c>
      <c r="AH214" s="846">
        <f>IF('Input Sheet'!$C$15="Yes",Rates!$E$45,0)</f>
        <v>0</v>
      </c>
      <c r="AI214" s="849">
        <f>IF('Input Sheet'!$C$15="Yes",'Input Sheet'!$F$11,0)</f>
        <v>0</v>
      </c>
      <c r="AJ214" s="850">
        <f>IF('Input Sheet'!$C$15="Yes",'Input Sheet'!$F$7,0)</f>
        <v>0</v>
      </c>
      <c r="AK214" s="856">
        <f t="shared" si="35"/>
        <v>0</v>
      </c>
      <c r="AL214" s="856">
        <f t="shared" si="36"/>
        <v>0</v>
      </c>
      <c r="AM214" s="856">
        <f t="shared" si="42"/>
        <v>0</v>
      </c>
      <c r="AN214" s="856">
        <f t="shared" si="37"/>
        <v>0</v>
      </c>
      <c r="AO214" s="852">
        <f t="shared" si="43"/>
        <v>0</v>
      </c>
      <c r="AP214" s="853">
        <f t="shared" si="44"/>
        <v>0</v>
      </c>
      <c r="AQ214" s="854">
        <f>IFERROR(P214*'Input Sheet'!$F$8/(((AI214)*AK214*2)-AN214),0)</f>
        <v>0</v>
      </c>
      <c r="AR214" s="854">
        <f>IFERROR(($P214-$AF214)*'Input Sheet'!$F$8/(((AI214)*AK214*2)-AN214),0)</f>
        <v>0</v>
      </c>
    </row>
    <row r="215" spans="2:44" s="798" customFormat="1" ht="30" customHeight="1" thickBot="1" x14ac:dyDescent="0.3">
      <c r="B215" s="835"/>
      <c r="C215" s="836"/>
      <c r="D215" s="836"/>
      <c r="E215" s="837"/>
      <c r="F215" s="837"/>
      <c r="G215" s="838"/>
      <c r="H215" s="838"/>
      <c r="I215" s="839"/>
      <c r="J215" s="839"/>
      <c r="K215" s="840"/>
      <c r="L215" s="841"/>
      <c r="M215" s="841"/>
      <c r="N215" s="842"/>
      <c r="O215" s="842"/>
      <c r="P215" s="843"/>
      <c r="Q215" s="843"/>
      <c r="R215" s="843"/>
      <c r="S215" s="844">
        <f t="shared" si="38"/>
        <v>0</v>
      </c>
      <c r="T215" s="838"/>
      <c r="U215" s="842"/>
      <c r="V215" s="843"/>
      <c r="W215" s="843"/>
      <c r="X215" s="843"/>
      <c r="Y215" s="843"/>
      <c r="Z215" s="843"/>
      <c r="AA215" s="837"/>
      <c r="AB215" s="837"/>
      <c r="AC215" s="845">
        <f t="shared" si="39"/>
        <v>0</v>
      </c>
      <c r="AD215" s="846">
        <f t="shared" si="40"/>
        <v>0</v>
      </c>
      <c r="AE215" s="847">
        <f t="shared" si="41"/>
        <v>0</v>
      </c>
      <c r="AF215" s="855">
        <f t="shared" si="34"/>
        <v>0</v>
      </c>
      <c r="AG215" s="848">
        <f>IF('Input Sheet'!$C$15="Yes",'Input Sheet'!$F$8,0)</f>
        <v>0</v>
      </c>
      <c r="AH215" s="846">
        <f>IF('Input Sheet'!$C$15="Yes",Rates!$E$45,0)</f>
        <v>0</v>
      </c>
      <c r="AI215" s="849">
        <f>IF('Input Sheet'!$C$15="Yes",'Input Sheet'!$F$11,0)</f>
        <v>0</v>
      </c>
      <c r="AJ215" s="850">
        <f>IF('Input Sheet'!$C$15="Yes",'Input Sheet'!$F$7,0)</f>
        <v>0</v>
      </c>
      <c r="AK215" s="856">
        <f t="shared" si="35"/>
        <v>0</v>
      </c>
      <c r="AL215" s="856">
        <f t="shared" si="36"/>
        <v>0</v>
      </c>
      <c r="AM215" s="856">
        <f t="shared" si="42"/>
        <v>0</v>
      </c>
      <c r="AN215" s="856">
        <f t="shared" si="37"/>
        <v>0</v>
      </c>
      <c r="AO215" s="852">
        <f t="shared" si="43"/>
        <v>0</v>
      </c>
      <c r="AP215" s="853">
        <f t="shared" si="44"/>
        <v>0</v>
      </c>
      <c r="AQ215" s="854">
        <f>IFERROR(P215*'Input Sheet'!$F$8/(((AI215)*AK215*2)-AN215),0)</f>
        <v>0</v>
      </c>
      <c r="AR215" s="854">
        <f>IFERROR(($P215-$AF215)*'Input Sheet'!$F$8/(((AI215)*AK215*2)-AN215),0)</f>
        <v>0</v>
      </c>
    </row>
    <row r="216" spans="2:44" s="798" customFormat="1" ht="30" customHeight="1" thickBot="1" x14ac:dyDescent="0.3">
      <c r="B216" s="835"/>
      <c r="C216" s="836"/>
      <c r="D216" s="836"/>
      <c r="E216" s="837"/>
      <c r="F216" s="837"/>
      <c r="G216" s="838"/>
      <c r="H216" s="838"/>
      <c r="I216" s="839"/>
      <c r="J216" s="839"/>
      <c r="K216" s="840"/>
      <c r="L216" s="841"/>
      <c r="M216" s="841"/>
      <c r="N216" s="842"/>
      <c r="O216" s="842"/>
      <c r="P216" s="843"/>
      <c r="Q216" s="843"/>
      <c r="R216" s="843"/>
      <c r="S216" s="844">
        <f t="shared" si="38"/>
        <v>0</v>
      </c>
      <c r="T216" s="838"/>
      <c r="U216" s="842"/>
      <c r="V216" s="843"/>
      <c r="W216" s="843"/>
      <c r="X216" s="843"/>
      <c r="Y216" s="843"/>
      <c r="Z216" s="843"/>
      <c r="AA216" s="837"/>
      <c r="AB216" s="837"/>
      <c r="AC216" s="845">
        <f t="shared" si="39"/>
        <v>0</v>
      </c>
      <c r="AD216" s="846">
        <f t="shared" si="40"/>
        <v>0</v>
      </c>
      <c r="AE216" s="847">
        <f t="shared" si="41"/>
        <v>0</v>
      </c>
      <c r="AF216" s="855">
        <f t="shared" si="34"/>
        <v>0</v>
      </c>
      <c r="AG216" s="848">
        <f>IF('Input Sheet'!$C$15="Yes",'Input Sheet'!$F$8,0)</f>
        <v>0</v>
      </c>
      <c r="AH216" s="846">
        <f>IF('Input Sheet'!$C$15="Yes",Rates!$E$45,0)</f>
        <v>0</v>
      </c>
      <c r="AI216" s="849">
        <f>IF('Input Sheet'!$C$15="Yes",'Input Sheet'!$F$11,0)</f>
        <v>0</v>
      </c>
      <c r="AJ216" s="850">
        <f>IF('Input Sheet'!$C$15="Yes",'Input Sheet'!$F$7,0)</f>
        <v>0</v>
      </c>
      <c r="AK216" s="856">
        <f t="shared" si="35"/>
        <v>0</v>
      </c>
      <c r="AL216" s="856">
        <f t="shared" si="36"/>
        <v>0</v>
      </c>
      <c r="AM216" s="856">
        <f t="shared" si="42"/>
        <v>0</v>
      </c>
      <c r="AN216" s="856">
        <f t="shared" si="37"/>
        <v>0</v>
      </c>
      <c r="AO216" s="852">
        <f t="shared" si="43"/>
        <v>0</v>
      </c>
      <c r="AP216" s="853">
        <f t="shared" si="44"/>
        <v>0</v>
      </c>
      <c r="AQ216" s="854">
        <f>IFERROR(P216*'Input Sheet'!$F$8/(((AI216)*AK216*2)-AN216),0)</f>
        <v>0</v>
      </c>
      <c r="AR216" s="854">
        <f>IFERROR(($P216-$AF216)*'Input Sheet'!$F$8/(((AI216)*AK216*2)-AN216),0)</f>
        <v>0</v>
      </c>
    </row>
    <row r="217" spans="2:44" s="798" customFormat="1" ht="30" customHeight="1" thickBot="1" x14ac:dyDescent="0.3">
      <c r="B217" s="835"/>
      <c r="C217" s="836"/>
      <c r="D217" s="836"/>
      <c r="E217" s="837"/>
      <c r="F217" s="837"/>
      <c r="G217" s="838"/>
      <c r="H217" s="838"/>
      <c r="I217" s="839"/>
      <c r="J217" s="839"/>
      <c r="K217" s="840"/>
      <c r="L217" s="841"/>
      <c r="M217" s="841"/>
      <c r="N217" s="842"/>
      <c r="O217" s="842"/>
      <c r="P217" s="843"/>
      <c r="Q217" s="843"/>
      <c r="R217" s="843"/>
      <c r="S217" s="844">
        <f t="shared" si="38"/>
        <v>0</v>
      </c>
      <c r="T217" s="838"/>
      <c r="U217" s="842"/>
      <c r="V217" s="843"/>
      <c r="W217" s="843"/>
      <c r="X217" s="843"/>
      <c r="Y217" s="843"/>
      <c r="Z217" s="843"/>
      <c r="AA217" s="837"/>
      <c r="AB217" s="837"/>
      <c r="AC217" s="845">
        <f t="shared" si="39"/>
        <v>0</v>
      </c>
      <c r="AD217" s="846">
        <f t="shared" si="40"/>
        <v>0</v>
      </c>
      <c r="AE217" s="847">
        <f t="shared" si="41"/>
        <v>0</v>
      </c>
      <c r="AF217" s="855">
        <f t="shared" si="34"/>
        <v>0</v>
      </c>
      <c r="AG217" s="848">
        <f>IF('Input Sheet'!$C$15="Yes",'Input Sheet'!$F$8,0)</f>
        <v>0</v>
      </c>
      <c r="AH217" s="846">
        <f>IF('Input Sheet'!$C$15="Yes",Rates!$E$45,0)</f>
        <v>0</v>
      </c>
      <c r="AI217" s="849">
        <f>IF('Input Sheet'!$C$15="Yes",'Input Sheet'!$F$11,0)</f>
        <v>0</v>
      </c>
      <c r="AJ217" s="850">
        <f>IF('Input Sheet'!$C$15="Yes",'Input Sheet'!$F$7,0)</f>
        <v>0</v>
      </c>
      <c r="AK217" s="856">
        <f t="shared" si="35"/>
        <v>0</v>
      </c>
      <c r="AL217" s="856">
        <f t="shared" si="36"/>
        <v>0</v>
      </c>
      <c r="AM217" s="856">
        <f t="shared" si="42"/>
        <v>0</v>
      </c>
      <c r="AN217" s="856">
        <f t="shared" si="37"/>
        <v>0</v>
      </c>
      <c r="AO217" s="852">
        <f t="shared" si="43"/>
        <v>0</v>
      </c>
      <c r="AP217" s="853">
        <f t="shared" si="44"/>
        <v>0</v>
      </c>
      <c r="AQ217" s="854">
        <f>IFERROR(P217*'Input Sheet'!$F$8/(((AI217)*AK217*2)-AN217),0)</f>
        <v>0</v>
      </c>
      <c r="AR217" s="854">
        <f>IFERROR(($P217-$AF217)*'Input Sheet'!$F$8/(((AI217)*AK217*2)-AN217),0)</f>
        <v>0</v>
      </c>
    </row>
    <row r="218" spans="2:44" s="798" customFormat="1" ht="30" customHeight="1" thickBot="1" x14ac:dyDescent="0.3">
      <c r="B218" s="835"/>
      <c r="C218" s="836"/>
      <c r="D218" s="836"/>
      <c r="E218" s="837"/>
      <c r="F218" s="837"/>
      <c r="G218" s="838"/>
      <c r="H218" s="838"/>
      <c r="I218" s="839"/>
      <c r="J218" s="839"/>
      <c r="K218" s="840"/>
      <c r="L218" s="841"/>
      <c r="M218" s="841"/>
      <c r="N218" s="842"/>
      <c r="O218" s="842"/>
      <c r="P218" s="843"/>
      <c r="Q218" s="843"/>
      <c r="R218" s="843"/>
      <c r="S218" s="844">
        <f t="shared" si="38"/>
        <v>0</v>
      </c>
      <c r="T218" s="838"/>
      <c r="U218" s="842"/>
      <c r="V218" s="843"/>
      <c r="W218" s="843"/>
      <c r="X218" s="843"/>
      <c r="Y218" s="843"/>
      <c r="Z218" s="843"/>
      <c r="AA218" s="837"/>
      <c r="AB218" s="837"/>
      <c r="AC218" s="845">
        <f t="shared" si="39"/>
        <v>0</v>
      </c>
      <c r="AD218" s="846">
        <f t="shared" si="40"/>
        <v>0</v>
      </c>
      <c r="AE218" s="847">
        <f t="shared" si="41"/>
        <v>0</v>
      </c>
      <c r="AF218" s="855">
        <f t="shared" si="34"/>
        <v>0</v>
      </c>
      <c r="AG218" s="848">
        <f>IF('Input Sheet'!$C$15="Yes",'Input Sheet'!$F$8,0)</f>
        <v>0</v>
      </c>
      <c r="AH218" s="846">
        <f>IF('Input Sheet'!$C$15="Yes",Rates!$E$45,0)</f>
        <v>0</v>
      </c>
      <c r="AI218" s="849">
        <f>IF('Input Sheet'!$C$15="Yes",'Input Sheet'!$F$11,0)</f>
        <v>0</v>
      </c>
      <c r="AJ218" s="850">
        <f>IF('Input Sheet'!$C$15="Yes",'Input Sheet'!$F$7,0)</f>
        <v>0</v>
      </c>
      <c r="AK218" s="856">
        <f t="shared" si="35"/>
        <v>0</v>
      </c>
      <c r="AL218" s="856">
        <f t="shared" si="36"/>
        <v>0</v>
      </c>
      <c r="AM218" s="856">
        <f t="shared" si="42"/>
        <v>0</v>
      </c>
      <c r="AN218" s="856">
        <f t="shared" si="37"/>
        <v>0</v>
      </c>
      <c r="AO218" s="852">
        <f t="shared" si="43"/>
        <v>0</v>
      </c>
      <c r="AP218" s="853">
        <f t="shared" si="44"/>
        <v>0</v>
      </c>
      <c r="AQ218" s="854">
        <f>IFERROR(P218*'Input Sheet'!$F$8/(((AI218)*AK218*2)-AN218),0)</f>
        <v>0</v>
      </c>
      <c r="AR218" s="854">
        <f>IFERROR(($P218-$AF218)*'Input Sheet'!$F$8/(((AI218)*AK218*2)-AN218),0)</f>
        <v>0</v>
      </c>
    </row>
    <row r="219" spans="2:44" s="798" customFormat="1" ht="30" customHeight="1" thickBot="1" x14ac:dyDescent="0.3">
      <c r="B219" s="835"/>
      <c r="C219" s="836"/>
      <c r="D219" s="836"/>
      <c r="E219" s="837"/>
      <c r="F219" s="837"/>
      <c r="G219" s="838"/>
      <c r="H219" s="838"/>
      <c r="I219" s="839"/>
      <c r="J219" s="839"/>
      <c r="K219" s="840"/>
      <c r="L219" s="841"/>
      <c r="M219" s="841"/>
      <c r="N219" s="842"/>
      <c r="O219" s="842"/>
      <c r="P219" s="843"/>
      <c r="Q219" s="843"/>
      <c r="R219" s="843"/>
      <c r="S219" s="844">
        <f t="shared" si="38"/>
        <v>0</v>
      </c>
      <c r="T219" s="838"/>
      <c r="U219" s="842"/>
      <c r="V219" s="843"/>
      <c r="W219" s="843"/>
      <c r="X219" s="843"/>
      <c r="Y219" s="843"/>
      <c r="Z219" s="843"/>
      <c r="AA219" s="837"/>
      <c r="AB219" s="837"/>
      <c r="AC219" s="845">
        <f t="shared" si="39"/>
        <v>0</v>
      </c>
      <c r="AD219" s="846">
        <f t="shared" si="40"/>
        <v>0</v>
      </c>
      <c r="AE219" s="847">
        <f t="shared" si="41"/>
        <v>0</v>
      </c>
      <c r="AF219" s="855">
        <f t="shared" si="34"/>
        <v>0</v>
      </c>
      <c r="AG219" s="848">
        <f>IF('Input Sheet'!$C$15="Yes",'Input Sheet'!$F$8,0)</f>
        <v>0</v>
      </c>
      <c r="AH219" s="846">
        <f>IF('Input Sheet'!$C$15="Yes",Rates!$E$45,0)</f>
        <v>0</v>
      </c>
      <c r="AI219" s="849">
        <f>IF('Input Sheet'!$C$15="Yes",'Input Sheet'!$F$11,0)</f>
        <v>0</v>
      </c>
      <c r="AJ219" s="850">
        <f>IF('Input Sheet'!$C$15="Yes",'Input Sheet'!$F$7,0)</f>
        <v>0</v>
      </c>
      <c r="AK219" s="856">
        <f t="shared" si="35"/>
        <v>0</v>
      </c>
      <c r="AL219" s="856">
        <f t="shared" si="36"/>
        <v>0</v>
      </c>
      <c r="AM219" s="856">
        <f t="shared" si="42"/>
        <v>0</v>
      </c>
      <c r="AN219" s="856">
        <f t="shared" si="37"/>
        <v>0</v>
      </c>
      <c r="AO219" s="852">
        <f t="shared" si="43"/>
        <v>0</v>
      </c>
      <c r="AP219" s="853">
        <f t="shared" si="44"/>
        <v>0</v>
      </c>
      <c r="AQ219" s="854">
        <f>IFERROR(P219*'Input Sheet'!$F$8/(((AI219)*AK219*2)-AN219),0)</f>
        <v>0</v>
      </c>
      <c r="AR219" s="854">
        <f>IFERROR(($P219-$AF219)*'Input Sheet'!$F$8/(((AI219)*AK219*2)-AN219),0)</f>
        <v>0</v>
      </c>
    </row>
    <row r="220" spans="2:44" s="798" customFormat="1" ht="30" customHeight="1" thickBot="1" x14ac:dyDescent="0.3">
      <c r="B220" s="835"/>
      <c r="C220" s="836"/>
      <c r="D220" s="836"/>
      <c r="E220" s="837"/>
      <c r="F220" s="837"/>
      <c r="G220" s="838"/>
      <c r="H220" s="838"/>
      <c r="I220" s="839"/>
      <c r="J220" s="839"/>
      <c r="K220" s="840"/>
      <c r="L220" s="841"/>
      <c r="M220" s="841"/>
      <c r="N220" s="842"/>
      <c r="O220" s="842"/>
      <c r="P220" s="843"/>
      <c r="Q220" s="843"/>
      <c r="R220" s="843"/>
      <c r="S220" s="844">
        <f t="shared" si="38"/>
        <v>0</v>
      </c>
      <c r="T220" s="838"/>
      <c r="U220" s="842"/>
      <c r="V220" s="843"/>
      <c r="W220" s="843"/>
      <c r="X220" s="843"/>
      <c r="Y220" s="843"/>
      <c r="Z220" s="843"/>
      <c r="AA220" s="837"/>
      <c r="AB220" s="837"/>
      <c r="AC220" s="845">
        <f t="shared" si="39"/>
        <v>0</v>
      </c>
      <c r="AD220" s="846">
        <f t="shared" si="40"/>
        <v>0</v>
      </c>
      <c r="AE220" s="847">
        <f t="shared" si="41"/>
        <v>0</v>
      </c>
      <c r="AF220" s="855">
        <f t="shared" si="34"/>
        <v>0</v>
      </c>
      <c r="AG220" s="848">
        <f>IF('Input Sheet'!$C$15="Yes",'Input Sheet'!$F$8,0)</f>
        <v>0</v>
      </c>
      <c r="AH220" s="846">
        <f>IF('Input Sheet'!$C$15="Yes",Rates!$E$45,0)</f>
        <v>0</v>
      </c>
      <c r="AI220" s="849">
        <f>IF('Input Sheet'!$C$15="Yes",'Input Sheet'!$F$11,0)</f>
        <v>0</v>
      </c>
      <c r="AJ220" s="850">
        <f>IF('Input Sheet'!$C$15="Yes",'Input Sheet'!$F$7,0)</f>
        <v>0</v>
      </c>
      <c r="AK220" s="856">
        <f t="shared" si="35"/>
        <v>0</v>
      </c>
      <c r="AL220" s="856">
        <f t="shared" si="36"/>
        <v>0</v>
      </c>
      <c r="AM220" s="856">
        <f t="shared" si="42"/>
        <v>0</v>
      </c>
      <c r="AN220" s="856">
        <f t="shared" si="37"/>
        <v>0</v>
      </c>
      <c r="AO220" s="852">
        <f t="shared" si="43"/>
        <v>0</v>
      </c>
      <c r="AP220" s="853">
        <f t="shared" si="44"/>
        <v>0</v>
      </c>
      <c r="AQ220" s="854">
        <f>IFERROR(P220*'Input Sheet'!$F$8/(((AI220)*AK220*2)-AN220),0)</f>
        <v>0</v>
      </c>
      <c r="AR220" s="854">
        <f>IFERROR(($P220-$AF220)*'Input Sheet'!$F$8/(((AI220)*AK220*2)-AN220),0)</f>
        <v>0</v>
      </c>
    </row>
    <row r="221" spans="2:44" s="798" customFormat="1" ht="30" customHeight="1" thickBot="1" x14ac:dyDescent="0.3">
      <c r="B221" s="835"/>
      <c r="C221" s="836"/>
      <c r="D221" s="836"/>
      <c r="E221" s="837"/>
      <c r="F221" s="837"/>
      <c r="G221" s="838"/>
      <c r="H221" s="838"/>
      <c r="I221" s="839"/>
      <c r="J221" s="839"/>
      <c r="K221" s="840"/>
      <c r="L221" s="841"/>
      <c r="M221" s="841"/>
      <c r="N221" s="842"/>
      <c r="O221" s="842"/>
      <c r="P221" s="843"/>
      <c r="Q221" s="843"/>
      <c r="R221" s="843"/>
      <c r="S221" s="844">
        <f t="shared" si="38"/>
        <v>0</v>
      </c>
      <c r="T221" s="838"/>
      <c r="U221" s="842"/>
      <c r="V221" s="843"/>
      <c r="W221" s="843"/>
      <c r="X221" s="843"/>
      <c r="Y221" s="843"/>
      <c r="Z221" s="843"/>
      <c r="AA221" s="837"/>
      <c r="AB221" s="837"/>
      <c r="AC221" s="845">
        <f t="shared" si="39"/>
        <v>0</v>
      </c>
      <c r="AD221" s="846">
        <f t="shared" si="40"/>
        <v>0</v>
      </c>
      <c r="AE221" s="847">
        <f t="shared" si="41"/>
        <v>0</v>
      </c>
      <c r="AF221" s="855">
        <f t="shared" si="34"/>
        <v>0</v>
      </c>
      <c r="AG221" s="848">
        <f>IF('Input Sheet'!$C$15="Yes",'Input Sheet'!$F$8,0)</f>
        <v>0</v>
      </c>
      <c r="AH221" s="846">
        <f>IF('Input Sheet'!$C$15="Yes",Rates!$E$45,0)</f>
        <v>0</v>
      </c>
      <c r="AI221" s="849">
        <f>IF('Input Sheet'!$C$15="Yes",'Input Sheet'!$F$11,0)</f>
        <v>0</v>
      </c>
      <c r="AJ221" s="850">
        <f>IF('Input Sheet'!$C$15="Yes",'Input Sheet'!$F$7,0)</f>
        <v>0</v>
      </c>
      <c r="AK221" s="856">
        <f t="shared" si="35"/>
        <v>0</v>
      </c>
      <c r="AL221" s="856">
        <f t="shared" si="36"/>
        <v>0</v>
      </c>
      <c r="AM221" s="856">
        <f t="shared" si="42"/>
        <v>0</v>
      </c>
      <c r="AN221" s="856">
        <f t="shared" si="37"/>
        <v>0</v>
      </c>
      <c r="AO221" s="852">
        <f t="shared" si="43"/>
        <v>0</v>
      </c>
      <c r="AP221" s="853">
        <f t="shared" si="44"/>
        <v>0</v>
      </c>
      <c r="AQ221" s="854">
        <f>IFERROR(P221*'Input Sheet'!$F$8/(((AI221)*AK221*2)-AN221),0)</f>
        <v>0</v>
      </c>
      <c r="AR221" s="854">
        <f>IFERROR(($P221-$AF221)*'Input Sheet'!$F$8/(((AI221)*AK221*2)-AN221),0)</f>
        <v>0</v>
      </c>
    </row>
    <row r="222" spans="2:44" s="798" customFormat="1" ht="30" customHeight="1" thickBot="1" x14ac:dyDescent="0.3">
      <c r="B222" s="835"/>
      <c r="C222" s="836"/>
      <c r="D222" s="836"/>
      <c r="E222" s="837"/>
      <c r="F222" s="837"/>
      <c r="G222" s="838"/>
      <c r="H222" s="838"/>
      <c r="I222" s="839"/>
      <c r="J222" s="839"/>
      <c r="K222" s="840"/>
      <c r="L222" s="841"/>
      <c r="M222" s="841"/>
      <c r="N222" s="842"/>
      <c r="O222" s="842"/>
      <c r="P222" s="843"/>
      <c r="Q222" s="843"/>
      <c r="R222" s="843"/>
      <c r="S222" s="844">
        <f t="shared" si="38"/>
        <v>0</v>
      </c>
      <c r="T222" s="838"/>
      <c r="U222" s="842"/>
      <c r="V222" s="843"/>
      <c r="W222" s="843"/>
      <c r="X222" s="843"/>
      <c r="Y222" s="843"/>
      <c r="Z222" s="843"/>
      <c r="AA222" s="837"/>
      <c r="AB222" s="837"/>
      <c r="AC222" s="845">
        <f t="shared" si="39"/>
        <v>0</v>
      </c>
      <c r="AD222" s="846">
        <f t="shared" si="40"/>
        <v>0</v>
      </c>
      <c r="AE222" s="847">
        <f t="shared" si="41"/>
        <v>0</v>
      </c>
      <c r="AF222" s="855">
        <f t="shared" si="34"/>
        <v>0</v>
      </c>
      <c r="AG222" s="848">
        <f>IF('Input Sheet'!$C$15="Yes",'Input Sheet'!$F$8,0)</f>
        <v>0</v>
      </c>
      <c r="AH222" s="846">
        <f>IF('Input Sheet'!$C$15="Yes",Rates!$E$45,0)</f>
        <v>0</v>
      </c>
      <c r="AI222" s="849">
        <f>IF('Input Sheet'!$C$15="Yes",'Input Sheet'!$F$11,0)</f>
        <v>0</v>
      </c>
      <c r="AJ222" s="850">
        <f>IF('Input Sheet'!$C$15="Yes",'Input Sheet'!$F$7,0)</f>
        <v>0</v>
      </c>
      <c r="AK222" s="856">
        <f t="shared" si="35"/>
        <v>0</v>
      </c>
      <c r="AL222" s="856">
        <f t="shared" si="36"/>
        <v>0</v>
      </c>
      <c r="AM222" s="856">
        <f t="shared" si="42"/>
        <v>0</v>
      </c>
      <c r="AN222" s="856">
        <f t="shared" si="37"/>
        <v>0</v>
      </c>
      <c r="AO222" s="852">
        <f t="shared" si="43"/>
        <v>0</v>
      </c>
      <c r="AP222" s="853">
        <f t="shared" si="44"/>
        <v>0</v>
      </c>
      <c r="AQ222" s="854">
        <f>IFERROR(P222*'Input Sheet'!$F$8/(((AI222)*AK222*2)-AN222),0)</f>
        <v>0</v>
      </c>
      <c r="AR222" s="854">
        <f>IFERROR(($P222-$AF222)*'Input Sheet'!$F$8/(((AI222)*AK222*2)-AN222),0)</f>
        <v>0</v>
      </c>
    </row>
    <row r="223" spans="2:44" s="798" customFormat="1" ht="30" customHeight="1" thickBot="1" x14ac:dyDescent="0.3">
      <c r="B223" s="835"/>
      <c r="C223" s="836"/>
      <c r="D223" s="836"/>
      <c r="E223" s="837"/>
      <c r="F223" s="837"/>
      <c r="G223" s="838"/>
      <c r="H223" s="838"/>
      <c r="I223" s="839"/>
      <c r="J223" s="839"/>
      <c r="K223" s="840"/>
      <c r="L223" s="841"/>
      <c r="M223" s="841"/>
      <c r="N223" s="842"/>
      <c r="O223" s="842"/>
      <c r="P223" s="843"/>
      <c r="Q223" s="843"/>
      <c r="R223" s="843"/>
      <c r="S223" s="844">
        <f t="shared" si="38"/>
        <v>0</v>
      </c>
      <c r="T223" s="838"/>
      <c r="U223" s="842"/>
      <c r="V223" s="843"/>
      <c r="W223" s="843"/>
      <c r="X223" s="843"/>
      <c r="Y223" s="843"/>
      <c r="Z223" s="843"/>
      <c r="AA223" s="837"/>
      <c r="AB223" s="837"/>
      <c r="AC223" s="845">
        <f t="shared" si="39"/>
        <v>0</v>
      </c>
      <c r="AD223" s="846">
        <f t="shared" si="40"/>
        <v>0</v>
      </c>
      <c r="AE223" s="847">
        <f t="shared" si="41"/>
        <v>0</v>
      </c>
      <c r="AF223" s="855">
        <f t="shared" si="34"/>
        <v>0</v>
      </c>
      <c r="AG223" s="848">
        <f>IF('Input Sheet'!$C$15="Yes",'Input Sheet'!$F$8,0)</f>
        <v>0</v>
      </c>
      <c r="AH223" s="846">
        <f>IF('Input Sheet'!$C$15="Yes",Rates!$E$45,0)</f>
        <v>0</v>
      </c>
      <c r="AI223" s="849">
        <f>IF('Input Sheet'!$C$15="Yes",'Input Sheet'!$F$11,0)</f>
        <v>0</v>
      </c>
      <c r="AJ223" s="850">
        <f>IF('Input Sheet'!$C$15="Yes",'Input Sheet'!$F$7,0)</f>
        <v>0</v>
      </c>
      <c r="AK223" s="856">
        <f t="shared" si="35"/>
        <v>0</v>
      </c>
      <c r="AL223" s="856">
        <f t="shared" si="36"/>
        <v>0</v>
      </c>
      <c r="AM223" s="856">
        <f t="shared" si="42"/>
        <v>0</v>
      </c>
      <c r="AN223" s="856">
        <f t="shared" si="37"/>
        <v>0</v>
      </c>
      <c r="AO223" s="852">
        <f t="shared" si="43"/>
        <v>0</v>
      </c>
      <c r="AP223" s="853">
        <f t="shared" si="44"/>
        <v>0</v>
      </c>
      <c r="AQ223" s="854">
        <f>IFERROR(P223*'Input Sheet'!$F$8/(((AI223)*AK223*2)-AN223),0)</f>
        <v>0</v>
      </c>
      <c r="AR223" s="854">
        <f>IFERROR(($P223-$AF223)*'Input Sheet'!$F$8/(((AI223)*AK223*2)-AN223),0)</f>
        <v>0</v>
      </c>
    </row>
    <row r="224" spans="2:44" s="798" customFormat="1" ht="30" customHeight="1" thickBot="1" x14ac:dyDescent="0.3">
      <c r="B224" s="835"/>
      <c r="C224" s="836"/>
      <c r="D224" s="836"/>
      <c r="E224" s="837"/>
      <c r="F224" s="837"/>
      <c r="G224" s="838"/>
      <c r="H224" s="838"/>
      <c r="I224" s="839"/>
      <c r="J224" s="839"/>
      <c r="K224" s="840"/>
      <c r="L224" s="841"/>
      <c r="M224" s="841"/>
      <c r="N224" s="842"/>
      <c r="O224" s="842"/>
      <c r="P224" s="843"/>
      <c r="Q224" s="843"/>
      <c r="R224" s="843"/>
      <c r="S224" s="844">
        <f t="shared" si="38"/>
        <v>0</v>
      </c>
      <c r="T224" s="838"/>
      <c r="U224" s="842"/>
      <c r="V224" s="843"/>
      <c r="W224" s="843"/>
      <c r="X224" s="843"/>
      <c r="Y224" s="843"/>
      <c r="Z224" s="843"/>
      <c r="AA224" s="837"/>
      <c r="AB224" s="837"/>
      <c r="AC224" s="845">
        <f t="shared" si="39"/>
        <v>0</v>
      </c>
      <c r="AD224" s="846">
        <f t="shared" si="40"/>
        <v>0</v>
      </c>
      <c r="AE224" s="847">
        <f t="shared" si="41"/>
        <v>0</v>
      </c>
      <c r="AF224" s="855">
        <f t="shared" si="34"/>
        <v>0</v>
      </c>
      <c r="AG224" s="848">
        <f>IF('Input Sheet'!$C$15="Yes",'Input Sheet'!$F$8,0)</f>
        <v>0</v>
      </c>
      <c r="AH224" s="846">
        <f>IF('Input Sheet'!$C$15="Yes",Rates!$E$45,0)</f>
        <v>0</v>
      </c>
      <c r="AI224" s="849">
        <f>IF('Input Sheet'!$C$15="Yes",'Input Sheet'!$F$11,0)</f>
        <v>0</v>
      </c>
      <c r="AJ224" s="850">
        <f>IF('Input Sheet'!$C$15="Yes",'Input Sheet'!$F$7,0)</f>
        <v>0</v>
      </c>
      <c r="AK224" s="856">
        <f t="shared" si="35"/>
        <v>0</v>
      </c>
      <c r="AL224" s="856">
        <f t="shared" si="36"/>
        <v>0</v>
      </c>
      <c r="AM224" s="856">
        <f t="shared" si="42"/>
        <v>0</v>
      </c>
      <c r="AN224" s="856">
        <f t="shared" si="37"/>
        <v>0</v>
      </c>
      <c r="AO224" s="852">
        <f t="shared" si="43"/>
        <v>0</v>
      </c>
      <c r="AP224" s="853">
        <f t="shared" si="44"/>
        <v>0</v>
      </c>
      <c r="AQ224" s="854">
        <f>IFERROR(P224*'Input Sheet'!$F$8/(((AI224)*AK224*2)-AN224),0)</f>
        <v>0</v>
      </c>
      <c r="AR224" s="854">
        <f>IFERROR(($P224-$AF224)*'Input Sheet'!$F$8/(((AI224)*AK224*2)-AN224),0)</f>
        <v>0</v>
      </c>
    </row>
    <row r="225" spans="2:44" s="798" customFormat="1" ht="30" customHeight="1" thickBot="1" x14ac:dyDescent="0.3">
      <c r="B225" s="835"/>
      <c r="C225" s="836"/>
      <c r="D225" s="836"/>
      <c r="E225" s="837"/>
      <c r="F225" s="837"/>
      <c r="G225" s="838"/>
      <c r="H225" s="838"/>
      <c r="I225" s="839"/>
      <c r="J225" s="839"/>
      <c r="K225" s="840"/>
      <c r="L225" s="841"/>
      <c r="M225" s="841"/>
      <c r="N225" s="842"/>
      <c r="O225" s="842"/>
      <c r="P225" s="843"/>
      <c r="Q225" s="843"/>
      <c r="R225" s="843"/>
      <c r="S225" s="844">
        <f t="shared" si="38"/>
        <v>0</v>
      </c>
      <c r="T225" s="838"/>
      <c r="U225" s="842"/>
      <c r="V225" s="843"/>
      <c r="W225" s="843"/>
      <c r="X225" s="843"/>
      <c r="Y225" s="843"/>
      <c r="Z225" s="843"/>
      <c r="AA225" s="837"/>
      <c r="AB225" s="837"/>
      <c r="AC225" s="845">
        <f t="shared" si="39"/>
        <v>0</v>
      </c>
      <c r="AD225" s="846">
        <f t="shared" si="40"/>
        <v>0</v>
      </c>
      <c r="AE225" s="847">
        <f t="shared" si="41"/>
        <v>0</v>
      </c>
      <c r="AF225" s="855">
        <f t="shared" si="34"/>
        <v>0</v>
      </c>
      <c r="AG225" s="848">
        <f>IF('Input Sheet'!$C$15="Yes",'Input Sheet'!$F$8,0)</f>
        <v>0</v>
      </c>
      <c r="AH225" s="846">
        <f>IF('Input Sheet'!$C$15="Yes",Rates!$E$45,0)</f>
        <v>0</v>
      </c>
      <c r="AI225" s="849">
        <f>IF('Input Sheet'!$C$15="Yes",'Input Sheet'!$F$11,0)</f>
        <v>0</v>
      </c>
      <c r="AJ225" s="850">
        <f>IF('Input Sheet'!$C$15="Yes",'Input Sheet'!$F$7,0)</f>
        <v>0</v>
      </c>
      <c r="AK225" s="856">
        <f t="shared" si="35"/>
        <v>0</v>
      </c>
      <c r="AL225" s="856">
        <f t="shared" si="36"/>
        <v>0</v>
      </c>
      <c r="AM225" s="856">
        <f t="shared" si="42"/>
        <v>0</v>
      </c>
      <c r="AN225" s="856">
        <f t="shared" si="37"/>
        <v>0</v>
      </c>
      <c r="AO225" s="852">
        <f t="shared" si="43"/>
        <v>0</v>
      </c>
      <c r="AP225" s="853">
        <f t="shared" si="44"/>
        <v>0</v>
      </c>
      <c r="AQ225" s="854">
        <f>IFERROR(P225*'Input Sheet'!$F$8/(((AI225)*AK225*2)-AN225),0)</f>
        <v>0</v>
      </c>
      <c r="AR225" s="854">
        <f>IFERROR(($P225-$AF225)*'Input Sheet'!$F$8/(((AI225)*AK225*2)-AN225),0)</f>
        <v>0</v>
      </c>
    </row>
    <row r="226" spans="2:44" s="798" customFormat="1" ht="30" customHeight="1" thickBot="1" x14ac:dyDescent="0.3">
      <c r="B226" s="835"/>
      <c r="C226" s="836"/>
      <c r="D226" s="836"/>
      <c r="E226" s="837"/>
      <c r="F226" s="837"/>
      <c r="G226" s="838"/>
      <c r="H226" s="838"/>
      <c r="I226" s="839"/>
      <c r="J226" s="839"/>
      <c r="K226" s="840"/>
      <c r="L226" s="841"/>
      <c r="M226" s="841"/>
      <c r="N226" s="842"/>
      <c r="O226" s="842"/>
      <c r="P226" s="843"/>
      <c r="Q226" s="843"/>
      <c r="R226" s="843"/>
      <c r="S226" s="844">
        <f t="shared" si="38"/>
        <v>0</v>
      </c>
      <c r="T226" s="838"/>
      <c r="U226" s="842"/>
      <c r="V226" s="843"/>
      <c r="W226" s="843"/>
      <c r="X226" s="843"/>
      <c r="Y226" s="843"/>
      <c r="Z226" s="843"/>
      <c r="AA226" s="837"/>
      <c r="AB226" s="837"/>
      <c r="AC226" s="845">
        <f t="shared" si="39"/>
        <v>0</v>
      </c>
      <c r="AD226" s="846">
        <f t="shared" si="40"/>
        <v>0</v>
      </c>
      <c r="AE226" s="847">
        <f t="shared" si="41"/>
        <v>0</v>
      </c>
      <c r="AF226" s="855">
        <f t="shared" si="34"/>
        <v>0</v>
      </c>
      <c r="AG226" s="848">
        <f>IF('Input Sheet'!$C$15="Yes",'Input Sheet'!$F$8,0)</f>
        <v>0</v>
      </c>
      <c r="AH226" s="846">
        <f>IF('Input Sheet'!$C$15="Yes",Rates!$E$45,0)</f>
        <v>0</v>
      </c>
      <c r="AI226" s="849">
        <f>IF('Input Sheet'!$C$15="Yes",'Input Sheet'!$F$11,0)</f>
        <v>0</v>
      </c>
      <c r="AJ226" s="850">
        <f>IF('Input Sheet'!$C$15="Yes",'Input Sheet'!$F$7,0)</f>
        <v>0</v>
      </c>
      <c r="AK226" s="856">
        <f t="shared" si="35"/>
        <v>0</v>
      </c>
      <c r="AL226" s="856">
        <f t="shared" si="36"/>
        <v>0</v>
      </c>
      <c r="AM226" s="856">
        <f t="shared" si="42"/>
        <v>0</v>
      </c>
      <c r="AN226" s="856">
        <f t="shared" si="37"/>
        <v>0</v>
      </c>
      <c r="AO226" s="852">
        <f t="shared" si="43"/>
        <v>0</v>
      </c>
      <c r="AP226" s="853">
        <f t="shared" si="44"/>
        <v>0</v>
      </c>
      <c r="AQ226" s="854">
        <f>IFERROR(P226*'Input Sheet'!$F$8/(((AI226)*AK226*2)-AN226),0)</f>
        <v>0</v>
      </c>
      <c r="AR226" s="854">
        <f>IFERROR(($P226-$AF226)*'Input Sheet'!$F$8/(((AI226)*AK226*2)-AN226),0)</f>
        <v>0</v>
      </c>
    </row>
    <row r="227" spans="2:44" s="798" customFormat="1" ht="30" customHeight="1" thickBot="1" x14ac:dyDescent="0.3">
      <c r="B227" s="835"/>
      <c r="C227" s="836"/>
      <c r="D227" s="836"/>
      <c r="E227" s="837"/>
      <c r="F227" s="837"/>
      <c r="G227" s="838"/>
      <c r="H227" s="838"/>
      <c r="I227" s="839"/>
      <c r="J227" s="839"/>
      <c r="K227" s="840"/>
      <c r="L227" s="841"/>
      <c r="M227" s="841"/>
      <c r="N227" s="842"/>
      <c r="O227" s="842"/>
      <c r="P227" s="843"/>
      <c r="Q227" s="843"/>
      <c r="R227" s="843"/>
      <c r="S227" s="844">
        <f t="shared" si="38"/>
        <v>0</v>
      </c>
      <c r="T227" s="838"/>
      <c r="U227" s="842"/>
      <c r="V227" s="843"/>
      <c r="W227" s="843"/>
      <c r="X227" s="843"/>
      <c r="Y227" s="843"/>
      <c r="Z227" s="843"/>
      <c r="AA227" s="837"/>
      <c r="AB227" s="837"/>
      <c r="AC227" s="845">
        <f t="shared" si="39"/>
        <v>0</v>
      </c>
      <c r="AD227" s="846">
        <f t="shared" si="40"/>
        <v>0</v>
      </c>
      <c r="AE227" s="847">
        <f t="shared" si="41"/>
        <v>0</v>
      </c>
      <c r="AF227" s="855">
        <f t="shared" si="34"/>
        <v>0</v>
      </c>
      <c r="AG227" s="848">
        <f>IF('Input Sheet'!$C$15="Yes",'Input Sheet'!$F$8,0)</f>
        <v>0</v>
      </c>
      <c r="AH227" s="846">
        <f>IF('Input Sheet'!$C$15="Yes",Rates!$E$45,0)</f>
        <v>0</v>
      </c>
      <c r="AI227" s="849">
        <f>IF('Input Sheet'!$C$15="Yes",'Input Sheet'!$F$11,0)</f>
        <v>0</v>
      </c>
      <c r="AJ227" s="850">
        <f>IF('Input Sheet'!$C$15="Yes",'Input Sheet'!$F$7,0)</f>
        <v>0</v>
      </c>
      <c r="AK227" s="856">
        <f t="shared" si="35"/>
        <v>0</v>
      </c>
      <c r="AL227" s="856">
        <f t="shared" si="36"/>
        <v>0</v>
      </c>
      <c r="AM227" s="856">
        <f t="shared" si="42"/>
        <v>0</v>
      </c>
      <c r="AN227" s="856">
        <f t="shared" si="37"/>
        <v>0</v>
      </c>
      <c r="AO227" s="852">
        <f t="shared" si="43"/>
        <v>0</v>
      </c>
      <c r="AP227" s="853">
        <f t="shared" si="44"/>
        <v>0</v>
      </c>
      <c r="AQ227" s="854">
        <f>IFERROR(P227*'Input Sheet'!$F$8/(((AI227)*AK227*2)-AN227),0)</f>
        <v>0</v>
      </c>
      <c r="AR227" s="854">
        <f>IFERROR(($P227-$AF227)*'Input Sheet'!$F$8/(((AI227)*AK227*2)-AN227),0)</f>
        <v>0</v>
      </c>
    </row>
    <row r="228" spans="2:44" s="798" customFormat="1" ht="30" customHeight="1" thickBot="1" x14ac:dyDescent="0.3">
      <c r="B228" s="835"/>
      <c r="C228" s="836"/>
      <c r="D228" s="836"/>
      <c r="E228" s="837"/>
      <c r="F228" s="837"/>
      <c r="G228" s="838"/>
      <c r="H228" s="838"/>
      <c r="I228" s="839"/>
      <c r="J228" s="839"/>
      <c r="K228" s="840"/>
      <c r="L228" s="841"/>
      <c r="M228" s="841"/>
      <c r="N228" s="842"/>
      <c r="O228" s="842"/>
      <c r="P228" s="843"/>
      <c r="Q228" s="843"/>
      <c r="R228" s="843"/>
      <c r="S228" s="844">
        <f t="shared" si="38"/>
        <v>0</v>
      </c>
      <c r="T228" s="838"/>
      <c r="U228" s="842"/>
      <c r="V228" s="843"/>
      <c r="W228" s="843"/>
      <c r="X228" s="843"/>
      <c r="Y228" s="843"/>
      <c r="Z228" s="843"/>
      <c r="AA228" s="837"/>
      <c r="AB228" s="837"/>
      <c r="AC228" s="845">
        <f t="shared" si="39"/>
        <v>0</v>
      </c>
      <c r="AD228" s="846">
        <f t="shared" si="40"/>
        <v>0</v>
      </c>
      <c r="AE228" s="847">
        <f t="shared" si="41"/>
        <v>0</v>
      </c>
      <c r="AF228" s="855">
        <f t="shared" si="34"/>
        <v>0</v>
      </c>
      <c r="AG228" s="848">
        <f>IF('Input Sheet'!$C$15="Yes",'Input Sheet'!$F$8,0)</f>
        <v>0</v>
      </c>
      <c r="AH228" s="846">
        <f>IF('Input Sheet'!$C$15="Yes",Rates!$E$45,0)</f>
        <v>0</v>
      </c>
      <c r="AI228" s="849">
        <f>IF('Input Sheet'!$C$15="Yes",'Input Sheet'!$F$11,0)</f>
        <v>0</v>
      </c>
      <c r="AJ228" s="850">
        <f>IF('Input Sheet'!$C$15="Yes",'Input Sheet'!$F$7,0)</f>
        <v>0</v>
      </c>
      <c r="AK228" s="856">
        <f t="shared" si="35"/>
        <v>0</v>
      </c>
      <c r="AL228" s="856">
        <f t="shared" si="36"/>
        <v>0</v>
      </c>
      <c r="AM228" s="856">
        <f t="shared" si="42"/>
        <v>0</v>
      </c>
      <c r="AN228" s="856">
        <f t="shared" si="37"/>
        <v>0</v>
      </c>
      <c r="AO228" s="852">
        <f t="shared" si="43"/>
        <v>0</v>
      </c>
      <c r="AP228" s="853">
        <f t="shared" si="44"/>
        <v>0</v>
      </c>
      <c r="AQ228" s="854">
        <f>IFERROR(P228*'Input Sheet'!$F$8/(((AI228)*AK228*2)-AN228),0)</f>
        <v>0</v>
      </c>
      <c r="AR228" s="854">
        <f>IFERROR(($P228-$AF228)*'Input Sheet'!$F$8/(((AI228)*AK228*2)-AN228),0)</f>
        <v>0</v>
      </c>
    </row>
    <row r="229" spans="2:44" s="798" customFormat="1" ht="30" customHeight="1" thickBot="1" x14ac:dyDescent="0.3">
      <c r="B229" s="835"/>
      <c r="C229" s="836"/>
      <c r="D229" s="836"/>
      <c r="E229" s="837"/>
      <c r="F229" s="837"/>
      <c r="G229" s="838"/>
      <c r="H229" s="838"/>
      <c r="I229" s="839"/>
      <c r="J229" s="839"/>
      <c r="K229" s="840"/>
      <c r="L229" s="841"/>
      <c r="M229" s="841"/>
      <c r="N229" s="842"/>
      <c r="O229" s="842"/>
      <c r="P229" s="843"/>
      <c r="Q229" s="843"/>
      <c r="R229" s="843"/>
      <c r="S229" s="844">
        <f t="shared" si="38"/>
        <v>0</v>
      </c>
      <c r="T229" s="838"/>
      <c r="U229" s="842"/>
      <c r="V229" s="843"/>
      <c r="W229" s="843"/>
      <c r="X229" s="843"/>
      <c r="Y229" s="843"/>
      <c r="Z229" s="843"/>
      <c r="AA229" s="837"/>
      <c r="AB229" s="837"/>
      <c r="AC229" s="845">
        <f t="shared" si="39"/>
        <v>0</v>
      </c>
      <c r="AD229" s="846">
        <f t="shared" si="40"/>
        <v>0</v>
      </c>
      <c r="AE229" s="847">
        <f t="shared" si="41"/>
        <v>0</v>
      </c>
      <c r="AF229" s="855">
        <f t="shared" si="34"/>
        <v>0</v>
      </c>
      <c r="AG229" s="848">
        <f>IF('Input Sheet'!$C$15="Yes",'Input Sheet'!$F$8,0)</f>
        <v>0</v>
      </c>
      <c r="AH229" s="846">
        <f>IF('Input Sheet'!$C$15="Yes",Rates!$E$45,0)</f>
        <v>0</v>
      </c>
      <c r="AI229" s="849">
        <f>IF('Input Sheet'!$C$15="Yes",'Input Sheet'!$F$11,0)</f>
        <v>0</v>
      </c>
      <c r="AJ229" s="850">
        <f>IF('Input Sheet'!$C$15="Yes",'Input Sheet'!$F$7,0)</f>
        <v>0</v>
      </c>
      <c r="AK229" s="856">
        <f t="shared" si="35"/>
        <v>0</v>
      </c>
      <c r="AL229" s="856">
        <f t="shared" si="36"/>
        <v>0</v>
      </c>
      <c r="AM229" s="856">
        <f t="shared" si="42"/>
        <v>0</v>
      </c>
      <c r="AN229" s="856">
        <f t="shared" si="37"/>
        <v>0</v>
      </c>
      <c r="AO229" s="852">
        <f t="shared" si="43"/>
        <v>0</v>
      </c>
      <c r="AP229" s="853">
        <f t="shared" si="44"/>
        <v>0</v>
      </c>
      <c r="AQ229" s="854">
        <f>IFERROR(P229*'Input Sheet'!$F$8/(((AI229)*AK229*2)-AN229),0)</f>
        <v>0</v>
      </c>
      <c r="AR229" s="854">
        <f>IFERROR(($P229-$AF229)*'Input Sheet'!$F$8/(((AI229)*AK229*2)-AN229),0)</f>
        <v>0</v>
      </c>
    </row>
    <row r="230" spans="2:44" s="798" customFormat="1" ht="30" customHeight="1" thickBot="1" x14ac:dyDescent="0.3">
      <c r="B230" s="835"/>
      <c r="C230" s="836"/>
      <c r="D230" s="836"/>
      <c r="E230" s="837"/>
      <c r="F230" s="837"/>
      <c r="G230" s="838"/>
      <c r="H230" s="838"/>
      <c r="I230" s="839"/>
      <c r="J230" s="839"/>
      <c r="K230" s="840"/>
      <c r="L230" s="841"/>
      <c r="M230" s="841"/>
      <c r="N230" s="842"/>
      <c r="O230" s="842"/>
      <c r="P230" s="843"/>
      <c r="Q230" s="843"/>
      <c r="R230" s="843"/>
      <c r="S230" s="844">
        <f t="shared" si="38"/>
        <v>0</v>
      </c>
      <c r="T230" s="838"/>
      <c r="U230" s="842"/>
      <c r="V230" s="843"/>
      <c r="W230" s="843"/>
      <c r="X230" s="843"/>
      <c r="Y230" s="843"/>
      <c r="Z230" s="843"/>
      <c r="AA230" s="837"/>
      <c r="AB230" s="837"/>
      <c r="AC230" s="845">
        <f t="shared" si="39"/>
        <v>0</v>
      </c>
      <c r="AD230" s="846">
        <f t="shared" si="40"/>
        <v>0</v>
      </c>
      <c r="AE230" s="847">
        <f t="shared" si="41"/>
        <v>0</v>
      </c>
      <c r="AF230" s="855">
        <f t="shared" si="34"/>
        <v>0</v>
      </c>
      <c r="AG230" s="848">
        <f>IF('Input Sheet'!$C$15="Yes",'Input Sheet'!$F$8,0)</f>
        <v>0</v>
      </c>
      <c r="AH230" s="846">
        <f>IF('Input Sheet'!$C$15="Yes",Rates!$E$45,0)</f>
        <v>0</v>
      </c>
      <c r="AI230" s="849">
        <f>IF('Input Sheet'!$C$15="Yes",'Input Sheet'!$F$11,0)</f>
        <v>0</v>
      </c>
      <c r="AJ230" s="850">
        <f>IF('Input Sheet'!$C$15="Yes",'Input Sheet'!$F$7,0)</f>
        <v>0</v>
      </c>
      <c r="AK230" s="856">
        <f t="shared" si="35"/>
        <v>0</v>
      </c>
      <c r="AL230" s="856">
        <f t="shared" si="36"/>
        <v>0</v>
      </c>
      <c r="AM230" s="856">
        <f t="shared" si="42"/>
        <v>0</v>
      </c>
      <c r="AN230" s="856">
        <f t="shared" si="37"/>
        <v>0</v>
      </c>
      <c r="AO230" s="852">
        <f t="shared" si="43"/>
        <v>0</v>
      </c>
      <c r="AP230" s="853">
        <f t="shared" si="44"/>
        <v>0</v>
      </c>
      <c r="AQ230" s="854">
        <f>IFERROR(P230*'Input Sheet'!$F$8/(((AI230)*AK230*2)-AN230),0)</f>
        <v>0</v>
      </c>
      <c r="AR230" s="854">
        <f>IFERROR(($P230-$AF230)*'Input Sheet'!$F$8/(((AI230)*AK230*2)-AN230),0)</f>
        <v>0</v>
      </c>
    </row>
    <row r="231" spans="2:44" s="798" customFormat="1" ht="30" customHeight="1" thickBot="1" x14ac:dyDescent="0.3">
      <c r="B231" s="835"/>
      <c r="C231" s="836"/>
      <c r="D231" s="836"/>
      <c r="E231" s="837"/>
      <c r="F231" s="837"/>
      <c r="G231" s="838"/>
      <c r="H231" s="838"/>
      <c r="I231" s="839"/>
      <c r="J231" s="839"/>
      <c r="K231" s="840"/>
      <c r="L231" s="841"/>
      <c r="M231" s="841"/>
      <c r="N231" s="842"/>
      <c r="O231" s="842"/>
      <c r="P231" s="843"/>
      <c r="Q231" s="843"/>
      <c r="R231" s="843"/>
      <c r="S231" s="844">
        <f t="shared" si="38"/>
        <v>0</v>
      </c>
      <c r="T231" s="838"/>
      <c r="U231" s="842"/>
      <c r="V231" s="843"/>
      <c r="W231" s="843"/>
      <c r="X231" s="843"/>
      <c r="Y231" s="843"/>
      <c r="Z231" s="843"/>
      <c r="AA231" s="837"/>
      <c r="AB231" s="837"/>
      <c r="AC231" s="845">
        <f t="shared" si="39"/>
        <v>0</v>
      </c>
      <c r="AD231" s="846">
        <f t="shared" si="40"/>
        <v>0</v>
      </c>
      <c r="AE231" s="847">
        <f t="shared" si="41"/>
        <v>0</v>
      </c>
      <c r="AF231" s="855">
        <f t="shared" si="34"/>
        <v>0</v>
      </c>
      <c r="AG231" s="848">
        <f>IF('Input Sheet'!$C$15="Yes",'Input Sheet'!$F$8,0)</f>
        <v>0</v>
      </c>
      <c r="AH231" s="846">
        <f>IF('Input Sheet'!$C$15="Yes",Rates!$E$45,0)</f>
        <v>0</v>
      </c>
      <c r="AI231" s="849">
        <f>IF('Input Sheet'!$C$15="Yes",'Input Sheet'!$F$11,0)</f>
        <v>0</v>
      </c>
      <c r="AJ231" s="850">
        <f>IF('Input Sheet'!$C$15="Yes",'Input Sheet'!$F$7,0)</f>
        <v>0</v>
      </c>
      <c r="AK231" s="856">
        <f t="shared" si="35"/>
        <v>0</v>
      </c>
      <c r="AL231" s="856">
        <f t="shared" si="36"/>
        <v>0</v>
      </c>
      <c r="AM231" s="856">
        <f t="shared" si="42"/>
        <v>0</v>
      </c>
      <c r="AN231" s="856">
        <f t="shared" si="37"/>
        <v>0</v>
      </c>
      <c r="AO231" s="852">
        <f t="shared" si="43"/>
        <v>0</v>
      </c>
      <c r="AP231" s="853">
        <f t="shared" si="44"/>
        <v>0</v>
      </c>
      <c r="AQ231" s="854">
        <f>IFERROR(P231*'Input Sheet'!$F$8/(((AI231)*AK231*2)-AN231),0)</f>
        <v>0</v>
      </c>
      <c r="AR231" s="854">
        <f>IFERROR(($P231-$AF231)*'Input Sheet'!$F$8/(((AI231)*AK231*2)-AN231),0)</f>
        <v>0</v>
      </c>
    </row>
    <row r="232" spans="2:44" s="798" customFormat="1" ht="30" customHeight="1" thickBot="1" x14ac:dyDescent="0.3">
      <c r="B232" s="835"/>
      <c r="C232" s="836"/>
      <c r="D232" s="836"/>
      <c r="E232" s="837"/>
      <c r="F232" s="837"/>
      <c r="G232" s="838"/>
      <c r="H232" s="838"/>
      <c r="I232" s="839"/>
      <c r="J232" s="839"/>
      <c r="K232" s="840"/>
      <c r="L232" s="841"/>
      <c r="M232" s="841"/>
      <c r="N232" s="842"/>
      <c r="O232" s="842"/>
      <c r="P232" s="843"/>
      <c r="Q232" s="843"/>
      <c r="R232" s="843"/>
      <c r="S232" s="844">
        <f t="shared" si="38"/>
        <v>0</v>
      </c>
      <c r="T232" s="838"/>
      <c r="U232" s="842"/>
      <c r="V232" s="843"/>
      <c r="W232" s="843"/>
      <c r="X232" s="843"/>
      <c r="Y232" s="843"/>
      <c r="Z232" s="843"/>
      <c r="AA232" s="837"/>
      <c r="AB232" s="837"/>
      <c r="AC232" s="845">
        <f t="shared" si="39"/>
        <v>0</v>
      </c>
      <c r="AD232" s="846">
        <f t="shared" si="40"/>
        <v>0</v>
      </c>
      <c r="AE232" s="847">
        <f t="shared" si="41"/>
        <v>0</v>
      </c>
      <c r="AF232" s="855">
        <f t="shared" si="34"/>
        <v>0</v>
      </c>
      <c r="AG232" s="848">
        <f>IF('Input Sheet'!$C$15="Yes",'Input Sheet'!$F$8,0)</f>
        <v>0</v>
      </c>
      <c r="AH232" s="846">
        <f>IF('Input Sheet'!$C$15="Yes",Rates!$E$45,0)</f>
        <v>0</v>
      </c>
      <c r="AI232" s="849">
        <f>IF('Input Sheet'!$C$15="Yes",'Input Sheet'!$F$11,0)</f>
        <v>0</v>
      </c>
      <c r="AJ232" s="850">
        <f>IF('Input Sheet'!$C$15="Yes",'Input Sheet'!$F$7,0)</f>
        <v>0</v>
      </c>
      <c r="AK232" s="856">
        <f t="shared" si="35"/>
        <v>0</v>
      </c>
      <c r="AL232" s="856">
        <f t="shared" si="36"/>
        <v>0</v>
      </c>
      <c r="AM232" s="856">
        <f t="shared" si="42"/>
        <v>0</v>
      </c>
      <c r="AN232" s="856">
        <f t="shared" si="37"/>
        <v>0</v>
      </c>
      <c r="AO232" s="852">
        <f t="shared" si="43"/>
        <v>0</v>
      </c>
      <c r="AP232" s="853">
        <f t="shared" si="44"/>
        <v>0</v>
      </c>
      <c r="AQ232" s="854">
        <f>IFERROR(P232*'Input Sheet'!$F$8/(((AI232)*AK232*2)-AN232),0)</f>
        <v>0</v>
      </c>
      <c r="AR232" s="854">
        <f>IFERROR(($P232-$AF232)*'Input Sheet'!$F$8/(((AI232)*AK232*2)-AN232),0)</f>
        <v>0</v>
      </c>
    </row>
    <row r="233" spans="2:44" s="798" customFormat="1" ht="30" customHeight="1" thickBot="1" x14ac:dyDescent="0.3">
      <c r="B233" s="835"/>
      <c r="C233" s="836"/>
      <c r="D233" s="836"/>
      <c r="E233" s="837"/>
      <c r="F233" s="837"/>
      <c r="G233" s="838"/>
      <c r="H233" s="838"/>
      <c r="I233" s="839"/>
      <c r="J233" s="839"/>
      <c r="K233" s="840"/>
      <c r="L233" s="841"/>
      <c r="M233" s="841"/>
      <c r="N233" s="842"/>
      <c r="O233" s="842"/>
      <c r="P233" s="843"/>
      <c r="Q233" s="843"/>
      <c r="R233" s="843"/>
      <c r="S233" s="844">
        <f t="shared" si="38"/>
        <v>0</v>
      </c>
      <c r="T233" s="838"/>
      <c r="U233" s="842"/>
      <c r="V233" s="843"/>
      <c r="W233" s="843"/>
      <c r="X233" s="843"/>
      <c r="Y233" s="843"/>
      <c r="Z233" s="843"/>
      <c r="AA233" s="837"/>
      <c r="AB233" s="837"/>
      <c r="AC233" s="845">
        <f t="shared" si="39"/>
        <v>0</v>
      </c>
      <c r="AD233" s="846">
        <f t="shared" si="40"/>
        <v>0</v>
      </c>
      <c r="AE233" s="847">
        <f t="shared" si="41"/>
        <v>0</v>
      </c>
      <c r="AF233" s="855">
        <f t="shared" si="34"/>
        <v>0</v>
      </c>
      <c r="AG233" s="848">
        <f>IF('Input Sheet'!$C$15="Yes",'Input Sheet'!$F$8,0)</f>
        <v>0</v>
      </c>
      <c r="AH233" s="846">
        <f>IF('Input Sheet'!$C$15="Yes",Rates!$E$45,0)</f>
        <v>0</v>
      </c>
      <c r="AI233" s="849">
        <f>IF('Input Sheet'!$C$15="Yes",'Input Sheet'!$F$11,0)</f>
        <v>0</v>
      </c>
      <c r="AJ233" s="850">
        <f>IF('Input Sheet'!$C$15="Yes",'Input Sheet'!$F$7,0)</f>
        <v>0</v>
      </c>
      <c r="AK233" s="856">
        <f t="shared" si="35"/>
        <v>0</v>
      </c>
      <c r="AL233" s="856">
        <f t="shared" si="36"/>
        <v>0</v>
      </c>
      <c r="AM233" s="856">
        <f t="shared" si="42"/>
        <v>0</v>
      </c>
      <c r="AN233" s="856">
        <f t="shared" si="37"/>
        <v>0</v>
      </c>
      <c r="AO233" s="852">
        <f t="shared" si="43"/>
        <v>0</v>
      </c>
      <c r="AP233" s="853">
        <f t="shared" si="44"/>
        <v>0</v>
      </c>
      <c r="AQ233" s="854">
        <f>IFERROR(P233*'Input Sheet'!$F$8/(((AI233)*AK233*2)-AN233),0)</f>
        <v>0</v>
      </c>
      <c r="AR233" s="854">
        <f>IFERROR(($P233-$AF233)*'Input Sheet'!$F$8/(((AI233)*AK233*2)-AN233),0)</f>
        <v>0</v>
      </c>
    </row>
    <row r="234" spans="2:44" s="798" customFormat="1" ht="30" customHeight="1" thickBot="1" x14ac:dyDescent="0.3">
      <c r="B234" s="835"/>
      <c r="C234" s="836"/>
      <c r="D234" s="836"/>
      <c r="E234" s="837"/>
      <c r="F234" s="837"/>
      <c r="G234" s="838"/>
      <c r="H234" s="838"/>
      <c r="I234" s="839"/>
      <c r="J234" s="839"/>
      <c r="K234" s="840"/>
      <c r="L234" s="841"/>
      <c r="M234" s="841"/>
      <c r="N234" s="842"/>
      <c r="O234" s="842"/>
      <c r="P234" s="843"/>
      <c r="Q234" s="843"/>
      <c r="R234" s="843"/>
      <c r="S234" s="844">
        <f t="shared" si="38"/>
        <v>0</v>
      </c>
      <c r="T234" s="838"/>
      <c r="U234" s="842"/>
      <c r="V234" s="843"/>
      <c r="W234" s="843"/>
      <c r="X234" s="843"/>
      <c r="Y234" s="843"/>
      <c r="Z234" s="843"/>
      <c r="AA234" s="837"/>
      <c r="AB234" s="837"/>
      <c r="AC234" s="845">
        <f t="shared" si="39"/>
        <v>0</v>
      </c>
      <c r="AD234" s="846">
        <f t="shared" si="40"/>
        <v>0</v>
      </c>
      <c r="AE234" s="847">
        <f t="shared" si="41"/>
        <v>0</v>
      </c>
      <c r="AF234" s="855">
        <f t="shared" si="34"/>
        <v>0</v>
      </c>
      <c r="AG234" s="848">
        <f>IF('Input Sheet'!$C$15="Yes",'Input Sheet'!$F$8,0)</f>
        <v>0</v>
      </c>
      <c r="AH234" s="846">
        <f>IF('Input Sheet'!$C$15="Yes",Rates!$E$45,0)</f>
        <v>0</v>
      </c>
      <c r="AI234" s="849">
        <f>IF('Input Sheet'!$C$15="Yes",'Input Sheet'!$F$11,0)</f>
        <v>0</v>
      </c>
      <c r="AJ234" s="850">
        <f>IF('Input Sheet'!$C$15="Yes",'Input Sheet'!$F$7,0)</f>
        <v>0</v>
      </c>
      <c r="AK234" s="856">
        <f t="shared" si="35"/>
        <v>0</v>
      </c>
      <c r="AL234" s="856">
        <f t="shared" si="36"/>
        <v>0</v>
      </c>
      <c r="AM234" s="856">
        <f t="shared" si="42"/>
        <v>0</v>
      </c>
      <c r="AN234" s="856">
        <f t="shared" si="37"/>
        <v>0</v>
      </c>
      <c r="AO234" s="852">
        <f t="shared" si="43"/>
        <v>0</v>
      </c>
      <c r="AP234" s="853">
        <f t="shared" si="44"/>
        <v>0</v>
      </c>
      <c r="AQ234" s="854">
        <f>IFERROR(P234*'Input Sheet'!$F$8/(((AI234)*AK234*2)-AN234),0)</f>
        <v>0</v>
      </c>
      <c r="AR234" s="854">
        <f>IFERROR(($P234-$AF234)*'Input Sheet'!$F$8/(((AI234)*AK234*2)-AN234),0)</f>
        <v>0</v>
      </c>
    </row>
    <row r="235" spans="2:44" s="798" customFormat="1" ht="30" customHeight="1" thickBot="1" x14ac:dyDescent="0.3">
      <c r="B235" s="835"/>
      <c r="C235" s="836"/>
      <c r="D235" s="836"/>
      <c r="E235" s="837"/>
      <c r="F235" s="837"/>
      <c r="G235" s="838"/>
      <c r="H235" s="838"/>
      <c r="I235" s="839"/>
      <c r="J235" s="839"/>
      <c r="K235" s="840"/>
      <c r="L235" s="841"/>
      <c r="M235" s="841"/>
      <c r="N235" s="842"/>
      <c r="O235" s="842"/>
      <c r="P235" s="843"/>
      <c r="Q235" s="843"/>
      <c r="R235" s="843"/>
      <c r="S235" s="844">
        <f t="shared" si="38"/>
        <v>0</v>
      </c>
      <c r="T235" s="838"/>
      <c r="U235" s="842"/>
      <c r="V235" s="843"/>
      <c r="W235" s="843"/>
      <c r="X235" s="843"/>
      <c r="Y235" s="843"/>
      <c r="Z235" s="843"/>
      <c r="AA235" s="837"/>
      <c r="AB235" s="837"/>
      <c r="AC235" s="845">
        <f t="shared" si="39"/>
        <v>0</v>
      </c>
      <c r="AD235" s="846">
        <f t="shared" si="40"/>
        <v>0</v>
      </c>
      <c r="AE235" s="847">
        <f t="shared" si="41"/>
        <v>0</v>
      </c>
      <c r="AF235" s="855">
        <f t="shared" si="34"/>
        <v>0</v>
      </c>
      <c r="AG235" s="848">
        <f>IF('Input Sheet'!$C$15="Yes",'Input Sheet'!$F$8,0)</f>
        <v>0</v>
      </c>
      <c r="AH235" s="846">
        <f>IF('Input Sheet'!$C$15="Yes",Rates!$E$45,0)</f>
        <v>0</v>
      </c>
      <c r="AI235" s="849">
        <f>IF('Input Sheet'!$C$15="Yes",'Input Sheet'!$F$11,0)</f>
        <v>0</v>
      </c>
      <c r="AJ235" s="850">
        <f>IF('Input Sheet'!$C$15="Yes",'Input Sheet'!$F$7,0)</f>
        <v>0</v>
      </c>
      <c r="AK235" s="856">
        <f t="shared" si="35"/>
        <v>0</v>
      </c>
      <c r="AL235" s="856">
        <f t="shared" si="36"/>
        <v>0</v>
      </c>
      <c r="AM235" s="856">
        <f t="shared" si="42"/>
        <v>0</v>
      </c>
      <c r="AN235" s="856">
        <f t="shared" si="37"/>
        <v>0</v>
      </c>
      <c r="AO235" s="852">
        <f t="shared" si="43"/>
        <v>0</v>
      </c>
      <c r="AP235" s="853">
        <f t="shared" si="44"/>
        <v>0</v>
      </c>
      <c r="AQ235" s="854">
        <f>IFERROR(P235*'Input Sheet'!$F$8/(((AI235)*AK235*2)-AN235),0)</f>
        <v>0</v>
      </c>
      <c r="AR235" s="854">
        <f>IFERROR(($P235-$AF235)*'Input Sheet'!$F$8/(((AI235)*AK235*2)-AN235),0)</f>
        <v>0</v>
      </c>
    </row>
    <row r="236" spans="2:44" s="798" customFormat="1" ht="30" customHeight="1" thickBot="1" x14ac:dyDescent="0.3">
      <c r="B236" s="835"/>
      <c r="C236" s="836"/>
      <c r="D236" s="836"/>
      <c r="E236" s="837"/>
      <c r="F236" s="837"/>
      <c r="G236" s="838"/>
      <c r="H236" s="838"/>
      <c r="I236" s="839"/>
      <c r="J236" s="839"/>
      <c r="K236" s="840"/>
      <c r="L236" s="841"/>
      <c r="M236" s="841"/>
      <c r="N236" s="842"/>
      <c r="O236" s="842"/>
      <c r="P236" s="843"/>
      <c r="Q236" s="843"/>
      <c r="R236" s="843"/>
      <c r="S236" s="844">
        <f t="shared" si="38"/>
        <v>0</v>
      </c>
      <c r="T236" s="838"/>
      <c r="U236" s="842"/>
      <c r="V236" s="843"/>
      <c r="W236" s="843"/>
      <c r="X236" s="843"/>
      <c r="Y236" s="843"/>
      <c r="Z236" s="843"/>
      <c r="AA236" s="837"/>
      <c r="AB236" s="837"/>
      <c r="AC236" s="845">
        <f t="shared" si="39"/>
        <v>0</v>
      </c>
      <c r="AD236" s="846">
        <f t="shared" si="40"/>
        <v>0</v>
      </c>
      <c r="AE236" s="847">
        <f t="shared" si="41"/>
        <v>0</v>
      </c>
      <c r="AF236" s="855">
        <f t="shared" si="34"/>
        <v>0</v>
      </c>
      <c r="AG236" s="848">
        <f>IF('Input Sheet'!$C$15="Yes",'Input Sheet'!$F$8,0)</f>
        <v>0</v>
      </c>
      <c r="AH236" s="846">
        <f>IF('Input Sheet'!$C$15="Yes",Rates!$E$45,0)</f>
        <v>0</v>
      </c>
      <c r="AI236" s="849">
        <f>IF('Input Sheet'!$C$15="Yes",'Input Sheet'!$F$11,0)</f>
        <v>0</v>
      </c>
      <c r="AJ236" s="850">
        <f>IF('Input Sheet'!$C$15="Yes",'Input Sheet'!$F$7,0)</f>
        <v>0</v>
      </c>
      <c r="AK236" s="856">
        <f t="shared" si="35"/>
        <v>0</v>
      </c>
      <c r="AL236" s="856">
        <f t="shared" si="36"/>
        <v>0</v>
      </c>
      <c r="AM236" s="856">
        <f t="shared" si="42"/>
        <v>0</v>
      </c>
      <c r="AN236" s="856">
        <f t="shared" si="37"/>
        <v>0</v>
      </c>
      <c r="AO236" s="852">
        <f t="shared" si="43"/>
        <v>0</v>
      </c>
      <c r="AP236" s="853">
        <f t="shared" si="44"/>
        <v>0</v>
      </c>
      <c r="AQ236" s="854">
        <f>IFERROR(P236*'Input Sheet'!$F$8/(((AI236)*AK236*2)-AN236),0)</f>
        <v>0</v>
      </c>
      <c r="AR236" s="854">
        <f>IFERROR(($P236-$AF236)*'Input Sheet'!$F$8/(((AI236)*AK236*2)-AN236),0)</f>
        <v>0</v>
      </c>
    </row>
    <row r="237" spans="2:44" s="798" customFormat="1" ht="30" customHeight="1" thickBot="1" x14ac:dyDescent="0.3">
      <c r="B237" s="835"/>
      <c r="C237" s="836"/>
      <c r="D237" s="836"/>
      <c r="E237" s="837"/>
      <c r="F237" s="837"/>
      <c r="G237" s="838"/>
      <c r="H237" s="838"/>
      <c r="I237" s="839"/>
      <c r="J237" s="839"/>
      <c r="K237" s="840"/>
      <c r="L237" s="841"/>
      <c r="M237" s="841"/>
      <c r="N237" s="842"/>
      <c r="O237" s="842"/>
      <c r="P237" s="843"/>
      <c r="Q237" s="843"/>
      <c r="R237" s="843"/>
      <c r="S237" s="844">
        <f t="shared" si="38"/>
        <v>0</v>
      </c>
      <c r="T237" s="838"/>
      <c r="U237" s="842"/>
      <c r="V237" s="843"/>
      <c r="W237" s="843"/>
      <c r="X237" s="843"/>
      <c r="Y237" s="843"/>
      <c r="Z237" s="843"/>
      <c r="AA237" s="837"/>
      <c r="AB237" s="837"/>
      <c r="AC237" s="845">
        <f t="shared" si="39"/>
        <v>0</v>
      </c>
      <c r="AD237" s="846">
        <f t="shared" si="40"/>
        <v>0</v>
      </c>
      <c r="AE237" s="847">
        <f t="shared" si="41"/>
        <v>0</v>
      </c>
      <c r="AF237" s="855">
        <f t="shared" si="34"/>
        <v>0</v>
      </c>
      <c r="AG237" s="848">
        <f>IF('Input Sheet'!$C$15="Yes",'Input Sheet'!$F$8,0)</f>
        <v>0</v>
      </c>
      <c r="AH237" s="846">
        <f>IF('Input Sheet'!$C$15="Yes",Rates!$E$45,0)</f>
        <v>0</v>
      </c>
      <c r="AI237" s="849">
        <f>IF('Input Sheet'!$C$15="Yes",'Input Sheet'!$F$11,0)</f>
        <v>0</v>
      </c>
      <c r="AJ237" s="850">
        <f>IF('Input Sheet'!$C$15="Yes",'Input Sheet'!$F$7,0)</f>
        <v>0</v>
      </c>
      <c r="AK237" s="856">
        <f t="shared" si="35"/>
        <v>0</v>
      </c>
      <c r="AL237" s="856">
        <f t="shared" si="36"/>
        <v>0</v>
      </c>
      <c r="AM237" s="856">
        <f t="shared" si="42"/>
        <v>0</v>
      </c>
      <c r="AN237" s="856">
        <f t="shared" si="37"/>
        <v>0</v>
      </c>
      <c r="AO237" s="852">
        <f t="shared" si="43"/>
        <v>0</v>
      </c>
      <c r="AP237" s="853">
        <f t="shared" si="44"/>
        <v>0</v>
      </c>
      <c r="AQ237" s="854">
        <f>IFERROR(P237*'Input Sheet'!$F$8/(((AI237)*AK237*2)-AN237),0)</f>
        <v>0</v>
      </c>
      <c r="AR237" s="854">
        <f>IFERROR(($P237-$AF237)*'Input Sheet'!$F$8/(((AI237)*AK237*2)-AN237),0)</f>
        <v>0</v>
      </c>
    </row>
    <row r="238" spans="2:44" s="798" customFormat="1" ht="30" customHeight="1" thickBot="1" x14ac:dyDescent="0.3">
      <c r="B238" s="835"/>
      <c r="C238" s="836"/>
      <c r="D238" s="836"/>
      <c r="E238" s="837"/>
      <c r="F238" s="837"/>
      <c r="G238" s="838"/>
      <c r="H238" s="838"/>
      <c r="I238" s="839"/>
      <c r="J238" s="839"/>
      <c r="K238" s="840"/>
      <c r="L238" s="841"/>
      <c r="M238" s="841"/>
      <c r="N238" s="842"/>
      <c r="O238" s="842"/>
      <c r="P238" s="843"/>
      <c r="Q238" s="843"/>
      <c r="R238" s="843"/>
      <c r="S238" s="844">
        <f t="shared" si="38"/>
        <v>0</v>
      </c>
      <c r="T238" s="838"/>
      <c r="U238" s="842"/>
      <c r="V238" s="843"/>
      <c r="W238" s="843"/>
      <c r="X238" s="843"/>
      <c r="Y238" s="843"/>
      <c r="Z238" s="843"/>
      <c r="AA238" s="837"/>
      <c r="AB238" s="837"/>
      <c r="AC238" s="845">
        <f t="shared" si="39"/>
        <v>0</v>
      </c>
      <c r="AD238" s="846">
        <f t="shared" si="40"/>
        <v>0</v>
      </c>
      <c r="AE238" s="847">
        <f t="shared" si="41"/>
        <v>0</v>
      </c>
      <c r="AF238" s="855">
        <f t="shared" si="34"/>
        <v>0</v>
      </c>
      <c r="AG238" s="848">
        <f>IF('Input Sheet'!$C$15="Yes",'Input Sheet'!$F$8,0)</f>
        <v>0</v>
      </c>
      <c r="AH238" s="846">
        <f>IF('Input Sheet'!$C$15="Yes",Rates!$E$45,0)</f>
        <v>0</v>
      </c>
      <c r="AI238" s="849">
        <f>IF('Input Sheet'!$C$15="Yes",'Input Sheet'!$F$11,0)</f>
        <v>0</v>
      </c>
      <c r="AJ238" s="850">
        <f>IF('Input Sheet'!$C$15="Yes",'Input Sheet'!$F$7,0)</f>
        <v>0</v>
      </c>
      <c r="AK238" s="856">
        <f t="shared" si="35"/>
        <v>0</v>
      </c>
      <c r="AL238" s="856">
        <f t="shared" si="36"/>
        <v>0</v>
      </c>
      <c r="AM238" s="856">
        <f t="shared" si="42"/>
        <v>0</v>
      </c>
      <c r="AN238" s="856">
        <f t="shared" si="37"/>
        <v>0</v>
      </c>
      <c r="AO238" s="852">
        <f t="shared" si="43"/>
        <v>0</v>
      </c>
      <c r="AP238" s="853">
        <f t="shared" si="44"/>
        <v>0</v>
      </c>
      <c r="AQ238" s="854">
        <f>IFERROR(P238*'Input Sheet'!$F$8/(((AI238)*AK238*2)-AN238),0)</f>
        <v>0</v>
      </c>
      <c r="AR238" s="854">
        <f>IFERROR(($P238-$AF238)*'Input Sheet'!$F$8/(((AI238)*AK238*2)-AN238),0)</f>
        <v>0</v>
      </c>
    </row>
    <row r="239" spans="2:44" s="798" customFormat="1" ht="30" customHeight="1" thickBot="1" x14ac:dyDescent="0.3">
      <c r="B239" s="835"/>
      <c r="C239" s="836"/>
      <c r="D239" s="836"/>
      <c r="E239" s="837"/>
      <c r="F239" s="837"/>
      <c r="G239" s="838"/>
      <c r="H239" s="838"/>
      <c r="I239" s="839"/>
      <c r="J239" s="839"/>
      <c r="K239" s="840"/>
      <c r="L239" s="841"/>
      <c r="M239" s="841"/>
      <c r="N239" s="842"/>
      <c r="O239" s="842"/>
      <c r="P239" s="843"/>
      <c r="Q239" s="843"/>
      <c r="R239" s="843"/>
      <c r="S239" s="844">
        <f t="shared" si="38"/>
        <v>0</v>
      </c>
      <c r="T239" s="838"/>
      <c r="U239" s="842"/>
      <c r="V239" s="843"/>
      <c r="W239" s="843"/>
      <c r="X239" s="843"/>
      <c r="Y239" s="843"/>
      <c r="Z239" s="843"/>
      <c r="AA239" s="837"/>
      <c r="AB239" s="837"/>
      <c r="AC239" s="845">
        <f t="shared" si="39"/>
        <v>0</v>
      </c>
      <c r="AD239" s="846">
        <f t="shared" si="40"/>
        <v>0</v>
      </c>
      <c r="AE239" s="847">
        <f t="shared" si="41"/>
        <v>0</v>
      </c>
      <c r="AF239" s="855">
        <f t="shared" si="34"/>
        <v>0</v>
      </c>
      <c r="AG239" s="848">
        <f>IF('Input Sheet'!$C$15="Yes",'Input Sheet'!$F$8,0)</f>
        <v>0</v>
      </c>
      <c r="AH239" s="846">
        <f>IF('Input Sheet'!$C$15="Yes",Rates!$E$45,0)</f>
        <v>0</v>
      </c>
      <c r="AI239" s="849">
        <f>IF('Input Sheet'!$C$15="Yes",'Input Sheet'!$F$11,0)</f>
        <v>0</v>
      </c>
      <c r="AJ239" s="850">
        <f>IF('Input Sheet'!$C$15="Yes",'Input Sheet'!$F$7,0)</f>
        <v>0</v>
      </c>
      <c r="AK239" s="856">
        <f t="shared" si="35"/>
        <v>0</v>
      </c>
      <c r="AL239" s="856">
        <f t="shared" si="36"/>
        <v>0</v>
      </c>
      <c r="AM239" s="856">
        <f t="shared" si="42"/>
        <v>0</v>
      </c>
      <c r="AN239" s="856">
        <f t="shared" si="37"/>
        <v>0</v>
      </c>
      <c r="AO239" s="852">
        <f t="shared" si="43"/>
        <v>0</v>
      </c>
      <c r="AP239" s="853">
        <f t="shared" si="44"/>
        <v>0</v>
      </c>
      <c r="AQ239" s="854">
        <f>IFERROR(P239*'Input Sheet'!$F$8/(((AI239)*AK239*2)-AN239),0)</f>
        <v>0</v>
      </c>
      <c r="AR239" s="854">
        <f>IFERROR(($P239-$AF239)*'Input Sheet'!$F$8/(((AI239)*AK239*2)-AN239),0)</f>
        <v>0</v>
      </c>
    </row>
    <row r="240" spans="2:44" s="798" customFormat="1" ht="30" customHeight="1" thickBot="1" x14ac:dyDescent="0.3">
      <c r="B240" s="835"/>
      <c r="C240" s="836"/>
      <c r="D240" s="836"/>
      <c r="E240" s="837"/>
      <c r="F240" s="837"/>
      <c r="G240" s="838"/>
      <c r="H240" s="838"/>
      <c r="I240" s="839"/>
      <c r="J240" s="839"/>
      <c r="K240" s="840"/>
      <c r="L240" s="841"/>
      <c r="M240" s="841"/>
      <c r="N240" s="842"/>
      <c r="O240" s="842"/>
      <c r="P240" s="843"/>
      <c r="Q240" s="843"/>
      <c r="R240" s="843"/>
      <c r="S240" s="844">
        <f t="shared" si="38"/>
        <v>0</v>
      </c>
      <c r="T240" s="838"/>
      <c r="U240" s="842"/>
      <c r="V240" s="843"/>
      <c r="W240" s="843"/>
      <c r="X240" s="843"/>
      <c r="Y240" s="843"/>
      <c r="Z240" s="843"/>
      <c r="AA240" s="837"/>
      <c r="AB240" s="837"/>
      <c r="AC240" s="845">
        <f t="shared" si="39"/>
        <v>0</v>
      </c>
      <c r="AD240" s="846">
        <f t="shared" si="40"/>
        <v>0</v>
      </c>
      <c r="AE240" s="847">
        <f t="shared" si="41"/>
        <v>0</v>
      </c>
      <c r="AF240" s="855">
        <f t="shared" si="34"/>
        <v>0</v>
      </c>
      <c r="AG240" s="848">
        <f>IF('Input Sheet'!$C$15="Yes",'Input Sheet'!$F$8,0)</f>
        <v>0</v>
      </c>
      <c r="AH240" s="846">
        <f>IF('Input Sheet'!$C$15="Yes",Rates!$E$45,0)</f>
        <v>0</v>
      </c>
      <c r="AI240" s="849">
        <f>IF('Input Sheet'!$C$15="Yes",'Input Sheet'!$F$11,0)</f>
        <v>0</v>
      </c>
      <c r="AJ240" s="850">
        <f>IF('Input Sheet'!$C$15="Yes",'Input Sheet'!$F$7,0)</f>
        <v>0</v>
      </c>
      <c r="AK240" s="856">
        <f t="shared" si="35"/>
        <v>0</v>
      </c>
      <c r="AL240" s="856">
        <f t="shared" si="36"/>
        <v>0</v>
      </c>
      <c r="AM240" s="856">
        <f t="shared" si="42"/>
        <v>0</v>
      </c>
      <c r="AN240" s="856">
        <f t="shared" si="37"/>
        <v>0</v>
      </c>
      <c r="AO240" s="852">
        <f t="shared" si="43"/>
        <v>0</v>
      </c>
      <c r="AP240" s="853">
        <f t="shared" si="44"/>
        <v>0</v>
      </c>
      <c r="AQ240" s="854">
        <f>IFERROR(P240*'Input Sheet'!$F$8/(((AI240)*AK240*2)-AN240),0)</f>
        <v>0</v>
      </c>
      <c r="AR240" s="854">
        <f>IFERROR(($P240-$AF240)*'Input Sheet'!$F$8/(((AI240)*AK240*2)-AN240),0)</f>
        <v>0</v>
      </c>
    </row>
    <row r="241" spans="2:44" s="798" customFormat="1" ht="30" customHeight="1" thickBot="1" x14ac:dyDescent="0.3">
      <c r="B241" s="835"/>
      <c r="C241" s="836"/>
      <c r="D241" s="836"/>
      <c r="E241" s="837"/>
      <c r="F241" s="837"/>
      <c r="G241" s="838"/>
      <c r="H241" s="838"/>
      <c r="I241" s="839"/>
      <c r="J241" s="839"/>
      <c r="K241" s="840"/>
      <c r="L241" s="841"/>
      <c r="M241" s="841"/>
      <c r="N241" s="842"/>
      <c r="O241" s="842"/>
      <c r="P241" s="843"/>
      <c r="Q241" s="843"/>
      <c r="R241" s="843"/>
      <c r="S241" s="844">
        <f t="shared" si="38"/>
        <v>0</v>
      </c>
      <c r="T241" s="838"/>
      <c r="U241" s="842"/>
      <c r="V241" s="843"/>
      <c r="W241" s="843"/>
      <c r="X241" s="843"/>
      <c r="Y241" s="843"/>
      <c r="Z241" s="843"/>
      <c r="AA241" s="837"/>
      <c r="AB241" s="837"/>
      <c r="AC241" s="845">
        <f t="shared" si="39"/>
        <v>0</v>
      </c>
      <c r="AD241" s="846">
        <f t="shared" si="40"/>
        <v>0</v>
      </c>
      <c r="AE241" s="847">
        <f t="shared" si="41"/>
        <v>0</v>
      </c>
      <c r="AF241" s="855">
        <f t="shared" si="34"/>
        <v>0</v>
      </c>
      <c r="AG241" s="848">
        <f>IF('Input Sheet'!$C$15="Yes",'Input Sheet'!$F$8,0)</f>
        <v>0</v>
      </c>
      <c r="AH241" s="846">
        <f>IF('Input Sheet'!$C$15="Yes",Rates!$E$45,0)</f>
        <v>0</v>
      </c>
      <c r="AI241" s="849">
        <f>IF('Input Sheet'!$C$15="Yes",'Input Sheet'!$F$11,0)</f>
        <v>0</v>
      </c>
      <c r="AJ241" s="850">
        <f>IF('Input Sheet'!$C$15="Yes",'Input Sheet'!$F$7,0)</f>
        <v>0</v>
      </c>
      <c r="AK241" s="856">
        <f t="shared" si="35"/>
        <v>0</v>
      </c>
      <c r="AL241" s="856">
        <f t="shared" si="36"/>
        <v>0</v>
      </c>
      <c r="AM241" s="856">
        <f t="shared" si="42"/>
        <v>0</v>
      </c>
      <c r="AN241" s="856">
        <f t="shared" si="37"/>
        <v>0</v>
      </c>
      <c r="AO241" s="852">
        <f t="shared" si="43"/>
        <v>0</v>
      </c>
      <c r="AP241" s="853">
        <f t="shared" si="44"/>
        <v>0</v>
      </c>
      <c r="AQ241" s="854">
        <f>IFERROR(P241*'Input Sheet'!$F$8/(((AI241)*AK241*2)-AN241),0)</f>
        <v>0</v>
      </c>
      <c r="AR241" s="854">
        <f>IFERROR(($P241-$AF241)*'Input Sheet'!$F$8/(((AI241)*AK241*2)-AN241),0)</f>
        <v>0</v>
      </c>
    </row>
    <row r="242" spans="2:44" s="798" customFormat="1" ht="30" customHeight="1" thickBot="1" x14ac:dyDescent="0.3">
      <c r="B242" s="835"/>
      <c r="C242" s="836"/>
      <c r="D242" s="836"/>
      <c r="E242" s="837"/>
      <c r="F242" s="837"/>
      <c r="G242" s="838"/>
      <c r="H242" s="838"/>
      <c r="I242" s="839"/>
      <c r="J242" s="839"/>
      <c r="K242" s="840"/>
      <c r="L242" s="841"/>
      <c r="M242" s="841"/>
      <c r="N242" s="842"/>
      <c r="O242" s="842"/>
      <c r="P242" s="843"/>
      <c r="Q242" s="843"/>
      <c r="R242" s="843"/>
      <c r="S242" s="844">
        <f t="shared" si="38"/>
        <v>0</v>
      </c>
      <c r="T242" s="838"/>
      <c r="U242" s="842"/>
      <c r="V242" s="843"/>
      <c r="W242" s="843"/>
      <c r="X242" s="843"/>
      <c r="Y242" s="843"/>
      <c r="Z242" s="843"/>
      <c r="AA242" s="837"/>
      <c r="AB242" s="837"/>
      <c r="AC242" s="845">
        <f t="shared" si="39"/>
        <v>0</v>
      </c>
      <c r="AD242" s="846">
        <f t="shared" si="40"/>
        <v>0</v>
      </c>
      <c r="AE242" s="847">
        <f t="shared" si="41"/>
        <v>0</v>
      </c>
      <c r="AF242" s="855">
        <f t="shared" si="34"/>
        <v>0</v>
      </c>
      <c r="AG242" s="848">
        <f>IF('Input Sheet'!$C$15="Yes",'Input Sheet'!$F$8,0)</f>
        <v>0</v>
      </c>
      <c r="AH242" s="846">
        <f>IF('Input Sheet'!$C$15="Yes",Rates!$E$45,0)</f>
        <v>0</v>
      </c>
      <c r="AI242" s="849">
        <f>IF('Input Sheet'!$C$15="Yes",'Input Sheet'!$F$11,0)</f>
        <v>0</v>
      </c>
      <c r="AJ242" s="850">
        <f>IF('Input Sheet'!$C$15="Yes",'Input Sheet'!$F$7,0)</f>
        <v>0</v>
      </c>
      <c r="AK242" s="856">
        <f t="shared" si="35"/>
        <v>0</v>
      </c>
      <c r="AL242" s="856">
        <f t="shared" si="36"/>
        <v>0</v>
      </c>
      <c r="AM242" s="856">
        <f t="shared" si="42"/>
        <v>0</v>
      </c>
      <c r="AN242" s="856">
        <f t="shared" si="37"/>
        <v>0</v>
      </c>
      <c r="AO242" s="852">
        <f t="shared" si="43"/>
        <v>0</v>
      </c>
      <c r="AP242" s="853">
        <f t="shared" si="44"/>
        <v>0</v>
      </c>
      <c r="AQ242" s="854">
        <f>IFERROR(P242*'Input Sheet'!$F$8/(((AI242)*AK242*2)-AN242),0)</f>
        <v>0</v>
      </c>
      <c r="AR242" s="854">
        <f>IFERROR(($P242-$AF242)*'Input Sheet'!$F$8/(((AI242)*AK242*2)-AN242),0)</f>
        <v>0</v>
      </c>
    </row>
    <row r="243" spans="2:44" s="798" customFormat="1" ht="30" customHeight="1" thickBot="1" x14ac:dyDescent="0.3">
      <c r="B243" s="835"/>
      <c r="C243" s="836"/>
      <c r="D243" s="836"/>
      <c r="E243" s="837"/>
      <c r="F243" s="837"/>
      <c r="G243" s="838"/>
      <c r="H243" s="838"/>
      <c r="I243" s="839"/>
      <c r="J243" s="839"/>
      <c r="K243" s="840"/>
      <c r="L243" s="841"/>
      <c r="M243" s="841"/>
      <c r="N243" s="842"/>
      <c r="O243" s="842"/>
      <c r="P243" s="843"/>
      <c r="Q243" s="843"/>
      <c r="R243" s="843"/>
      <c r="S243" s="844">
        <f t="shared" si="38"/>
        <v>0</v>
      </c>
      <c r="T243" s="838"/>
      <c r="U243" s="842"/>
      <c r="V243" s="843"/>
      <c r="W243" s="843"/>
      <c r="X243" s="843"/>
      <c r="Y243" s="843"/>
      <c r="Z243" s="843"/>
      <c r="AA243" s="837"/>
      <c r="AB243" s="837"/>
      <c r="AC243" s="845">
        <f t="shared" si="39"/>
        <v>0</v>
      </c>
      <c r="AD243" s="846">
        <f t="shared" si="40"/>
        <v>0</v>
      </c>
      <c r="AE243" s="847">
        <f t="shared" si="41"/>
        <v>0</v>
      </c>
      <c r="AF243" s="855">
        <f t="shared" si="34"/>
        <v>0</v>
      </c>
      <c r="AG243" s="848">
        <f>IF('Input Sheet'!$C$15="Yes",'Input Sheet'!$F$8,0)</f>
        <v>0</v>
      </c>
      <c r="AH243" s="846">
        <f>IF('Input Sheet'!$C$15="Yes",Rates!$E$45,0)</f>
        <v>0</v>
      </c>
      <c r="AI243" s="849">
        <f>IF('Input Sheet'!$C$15="Yes",'Input Sheet'!$F$11,0)</f>
        <v>0</v>
      </c>
      <c r="AJ243" s="850">
        <f>IF('Input Sheet'!$C$15="Yes",'Input Sheet'!$F$7,0)</f>
        <v>0</v>
      </c>
      <c r="AK243" s="856">
        <f t="shared" si="35"/>
        <v>0</v>
      </c>
      <c r="AL243" s="856">
        <f t="shared" si="36"/>
        <v>0</v>
      </c>
      <c r="AM243" s="856">
        <f t="shared" si="42"/>
        <v>0</v>
      </c>
      <c r="AN243" s="856">
        <f t="shared" si="37"/>
        <v>0</v>
      </c>
      <c r="AO243" s="852">
        <f t="shared" si="43"/>
        <v>0</v>
      </c>
      <c r="AP243" s="853">
        <f t="shared" si="44"/>
        <v>0</v>
      </c>
      <c r="AQ243" s="854">
        <f>IFERROR(P243*'Input Sheet'!$F$8/(((AI243)*AK243*2)-AN243),0)</f>
        <v>0</v>
      </c>
      <c r="AR243" s="854">
        <f>IFERROR(($P243-$AF243)*'Input Sheet'!$F$8/(((AI243)*AK243*2)-AN243),0)</f>
        <v>0</v>
      </c>
    </row>
    <row r="244" spans="2:44" s="798" customFormat="1" ht="30" customHeight="1" thickBot="1" x14ac:dyDescent="0.3">
      <c r="B244" s="835"/>
      <c r="C244" s="836"/>
      <c r="D244" s="836"/>
      <c r="E244" s="837"/>
      <c r="F244" s="837"/>
      <c r="G244" s="838"/>
      <c r="H244" s="838"/>
      <c r="I244" s="839"/>
      <c r="J244" s="839"/>
      <c r="K244" s="840"/>
      <c r="L244" s="841"/>
      <c r="M244" s="841"/>
      <c r="N244" s="842"/>
      <c r="O244" s="842"/>
      <c r="P244" s="843"/>
      <c r="Q244" s="843"/>
      <c r="R244" s="843"/>
      <c r="S244" s="844">
        <f t="shared" si="38"/>
        <v>0</v>
      </c>
      <c r="T244" s="838"/>
      <c r="U244" s="842"/>
      <c r="V244" s="843"/>
      <c r="W244" s="843"/>
      <c r="X244" s="843"/>
      <c r="Y244" s="843"/>
      <c r="Z244" s="843"/>
      <c r="AA244" s="837"/>
      <c r="AB244" s="837"/>
      <c r="AC244" s="845">
        <f t="shared" si="39"/>
        <v>0</v>
      </c>
      <c r="AD244" s="846">
        <f t="shared" si="40"/>
        <v>0</v>
      </c>
      <c r="AE244" s="847">
        <f t="shared" si="41"/>
        <v>0</v>
      </c>
      <c r="AF244" s="855">
        <f t="shared" si="34"/>
        <v>0</v>
      </c>
      <c r="AG244" s="848">
        <f>IF('Input Sheet'!$C$15="Yes",'Input Sheet'!$F$8,0)</f>
        <v>0</v>
      </c>
      <c r="AH244" s="846">
        <f>IF('Input Sheet'!$C$15="Yes",Rates!$E$45,0)</f>
        <v>0</v>
      </c>
      <c r="AI244" s="849">
        <f>IF('Input Sheet'!$C$15="Yes",'Input Sheet'!$F$11,0)</f>
        <v>0</v>
      </c>
      <c r="AJ244" s="850">
        <f>IF('Input Sheet'!$C$15="Yes",'Input Sheet'!$F$7,0)</f>
        <v>0</v>
      </c>
      <c r="AK244" s="856">
        <f t="shared" si="35"/>
        <v>0</v>
      </c>
      <c r="AL244" s="856">
        <f t="shared" si="36"/>
        <v>0</v>
      </c>
      <c r="AM244" s="856">
        <f t="shared" si="42"/>
        <v>0</v>
      </c>
      <c r="AN244" s="856">
        <f t="shared" si="37"/>
        <v>0</v>
      </c>
      <c r="AO244" s="852">
        <f t="shared" si="43"/>
        <v>0</v>
      </c>
      <c r="AP244" s="853">
        <f t="shared" si="44"/>
        <v>0</v>
      </c>
      <c r="AQ244" s="854">
        <f>IFERROR(P244*'Input Sheet'!$F$8/(((AI244)*AK244*2)-AN244),0)</f>
        <v>0</v>
      </c>
      <c r="AR244" s="854">
        <f>IFERROR(($P244-$AF244)*'Input Sheet'!$F$8/(((AI244)*AK244*2)-AN244),0)</f>
        <v>0</v>
      </c>
    </row>
    <row r="245" spans="2:44" s="798" customFormat="1" ht="30" customHeight="1" thickBot="1" x14ac:dyDescent="0.3">
      <c r="B245" s="835"/>
      <c r="C245" s="836"/>
      <c r="D245" s="836"/>
      <c r="E245" s="837"/>
      <c r="F245" s="837"/>
      <c r="G245" s="838"/>
      <c r="H245" s="838"/>
      <c r="I245" s="839"/>
      <c r="J245" s="839"/>
      <c r="K245" s="840"/>
      <c r="L245" s="841"/>
      <c r="M245" s="841"/>
      <c r="N245" s="842"/>
      <c r="O245" s="842"/>
      <c r="P245" s="843"/>
      <c r="Q245" s="843"/>
      <c r="R245" s="843"/>
      <c r="S245" s="844">
        <f t="shared" si="38"/>
        <v>0</v>
      </c>
      <c r="T245" s="838"/>
      <c r="U245" s="842"/>
      <c r="V245" s="843"/>
      <c r="W245" s="843"/>
      <c r="X245" s="843"/>
      <c r="Y245" s="843"/>
      <c r="Z245" s="843"/>
      <c r="AA245" s="837"/>
      <c r="AB245" s="837"/>
      <c r="AC245" s="845">
        <f t="shared" si="39"/>
        <v>0</v>
      </c>
      <c r="AD245" s="846">
        <f t="shared" si="40"/>
        <v>0</v>
      </c>
      <c r="AE245" s="847">
        <f t="shared" si="41"/>
        <v>0</v>
      </c>
      <c r="AF245" s="855">
        <f t="shared" si="34"/>
        <v>0</v>
      </c>
      <c r="AG245" s="848">
        <f>IF('Input Sheet'!$C$15="Yes",'Input Sheet'!$F$8,0)</f>
        <v>0</v>
      </c>
      <c r="AH245" s="846">
        <f>IF('Input Sheet'!$C$15="Yes",Rates!$E$45,0)</f>
        <v>0</v>
      </c>
      <c r="AI245" s="849">
        <f>IF('Input Sheet'!$C$15="Yes",'Input Sheet'!$F$11,0)</f>
        <v>0</v>
      </c>
      <c r="AJ245" s="850">
        <f>IF('Input Sheet'!$C$15="Yes",'Input Sheet'!$F$7,0)</f>
        <v>0</v>
      </c>
      <c r="AK245" s="856">
        <f t="shared" si="35"/>
        <v>0</v>
      </c>
      <c r="AL245" s="856">
        <f t="shared" si="36"/>
        <v>0</v>
      </c>
      <c r="AM245" s="856">
        <f t="shared" si="42"/>
        <v>0</v>
      </c>
      <c r="AN245" s="856">
        <f t="shared" si="37"/>
        <v>0</v>
      </c>
      <c r="AO245" s="852">
        <f t="shared" si="43"/>
        <v>0</v>
      </c>
      <c r="AP245" s="853">
        <f t="shared" si="44"/>
        <v>0</v>
      </c>
      <c r="AQ245" s="854">
        <f>IFERROR(P245*'Input Sheet'!$F$8/(((AI245)*AK245*2)-AN245),0)</f>
        <v>0</v>
      </c>
      <c r="AR245" s="854">
        <f>IFERROR(($P245-$AF245)*'Input Sheet'!$F$8/(((AI245)*AK245*2)-AN245),0)</f>
        <v>0</v>
      </c>
    </row>
    <row r="246" spans="2:44" s="798" customFormat="1" ht="30" customHeight="1" thickBot="1" x14ac:dyDescent="0.3">
      <c r="B246" s="835"/>
      <c r="C246" s="836"/>
      <c r="D246" s="836"/>
      <c r="E246" s="837"/>
      <c r="F246" s="837"/>
      <c r="G246" s="838"/>
      <c r="H246" s="838"/>
      <c r="I246" s="839"/>
      <c r="J246" s="839"/>
      <c r="K246" s="840"/>
      <c r="L246" s="841"/>
      <c r="M246" s="841"/>
      <c r="N246" s="842"/>
      <c r="O246" s="842"/>
      <c r="P246" s="843"/>
      <c r="Q246" s="843"/>
      <c r="R246" s="843"/>
      <c r="S246" s="844">
        <f t="shared" si="38"/>
        <v>0</v>
      </c>
      <c r="T246" s="838"/>
      <c r="U246" s="842"/>
      <c r="V246" s="843"/>
      <c r="W246" s="843"/>
      <c r="X246" s="843"/>
      <c r="Y246" s="843"/>
      <c r="Z246" s="843"/>
      <c r="AA246" s="837"/>
      <c r="AB246" s="837"/>
      <c r="AC246" s="845">
        <f t="shared" si="39"/>
        <v>0</v>
      </c>
      <c r="AD246" s="846">
        <f t="shared" si="40"/>
        <v>0</v>
      </c>
      <c r="AE246" s="847">
        <f t="shared" si="41"/>
        <v>0</v>
      </c>
      <c r="AF246" s="855">
        <f t="shared" si="34"/>
        <v>0</v>
      </c>
      <c r="AG246" s="848">
        <f>IF('Input Sheet'!$C$15="Yes",'Input Sheet'!$F$8,0)</f>
        <v>0</v>
      </c>
      <c r="AH246" s="846">
        <f>IF('Input Sheet'!$C$15="Yes",Rates!$E$45,0)</f>
        <v>0</v>
      </c>
      <c r="AI246" s="849">
        <f>IF('Input Sheet'!$C$15="Yes",'Input Sheet'!$F$11,0)</f>
        <v>0</v>
      </c>
      <c r="AJ246" s="850">
        <f>IF('Input Sheet'!$C$15="Yes",'Input Sheet'!$F$7,0)</f>
        <v>0</v>
      </c>
      <c r="AK246" s="856">
        <f t="shared" si="35"/>
        <v>0</v>
      </c>
      <c r="AL246" s="856">
        <f t="shared" si="36"/>
        <v>0</v>
      </c>
      <c r="AM246" s="856">
        <f t="shared" si="42"/>
        <v>0</v>
      </c>
      <c r="AN246" s="856">
        <f t="shared" si="37"/>
        <v>0</v>
      </c>
      <c r="AO246" s="852">
        <f t="shared" si="43"/>
        <v>0</v>
      </c>
      <c r="AP246" s="853">
        <f t="shared" si="44"/>
        <v>0</v>
      </c>
      <c r="AQ246" s="854">
        <f>IFERROR(P246*'Input Sheet'!$F$8/(((AI246)*AK246*2)-AN246),0)</f>
        <v>0</v>
      </c>
      <c r="AR246" s="854">
        <f>IFERROR(($P246-$AF246)*'Input Sheet'!$F$8/(((AI246)*AK246*2)-AN246),0)</f>
        <v>0</v>
      </c>
    </row>
    <row r="247" spans="2:44" s="798" customFormat="1" ht="30" customHeight="1" thickBot="1" x14ac:dyDescent="0.3">
      <c r="B247" s="835"/>
      <c r="C247" s="836"/>
      <c r="D247" s="836"/>
      <c r="E247" s="837"/>
      <c r="F247" s="837"/>
      <c r="G247" s="838"/>
      <c r="H247" s="838"/>
      <c r="I247" s="839"/>
      <c r="J247" s="839"/>
      <c r="K247" s="840"/>
      <c r="L247" s="841"/>
      <c r="M247" s="841"/>
      <c r="N247" s="842"/>
      <c r="O247" s="842"/>
      <c r="P247" s="843"/>
      <c r="Q247" s="843"/>
      <c r="R247" s="843"/>
      <c r="S247" s="844">
        <f t="shared" si="38"/>
        <v>0</v>
      </c>
      <c r="T247" s="838"/>
      <c r="U247" s="842"/>
      <c r="V247" s="843"/>
      <c r="W247" s="843"/>
      <c r="X247" s="843"/>
      <c r="Y247" s="843"/>
      <c r="Z247" s="843"/>
      <c r="AA247" s="837"/>
      <c r="AB247" s="837"/>
      <c r="AC247" s="845">
        <f t="shared" si="39"/>
        <v>0</v>
      </c>
      <c r="AD247" s="846">
        <f t="shared" si="40"/>
        <v>0</v>
      </c>
      <c r="AE247" s="847">
        <f t="shared" si="41"/>
        <v>0</v>
      </c>
      <c r="AF247" s="855">
        <f t="shared" si="34"/>
        <v>0</v>
      </c>
      <c r="AG247" s="848">
        <f>IF('Input Sheet'!$C$15="Yes",'Input Sheet'!$F$8,0)</f>
        <v>0</v>
      </c>
      <c r="AH247" s="846">
        <f>IF('Input Sheet'!$C$15="Yes",Rates!$E$45,0)</f>
        <v>0</v>
      </c>
      <c r="AI247" s="849">
        <f>IF('Input Sheet'!$C$15="Yes",'Input Sheet'!$F$11,0)</f>
        <v>0</v>
      </c>
      <c r="AJ247" s="850">
        <f>IF('Input Sheet'!$C$15="Yes",'Input Sheet'!$F$7,0)</f>
        <v>0</v>
      </c>
      <c r="AK247" s="856">
        <f t="shared" si="35"/>
        <v>0</v>
      </c>
      <c r="AL247" s="856">
        <f t="shared" si="36"/>
        <v>0</v>
      </c>
      <c r="AM247" s="856">
        <f t="shared" si="42"/>
        <v>0</v>
      </c>
      <c r="AN247" s="856">
        <f t="shared" si="37"/>
        <v>0</v>
      </c>
      <c r="AO247" s="852">
        <f t="shared" si="43"/>
        <v>0</v>
      </c>
      <c r="AP247" s="853">
        <f t="shared" si="44"/>
        <v>0</v>
      </c>
      <c r="AQ247" s="854">
        <f>IFERROR(P247*'Input Sheet'!$F$8/(((AI247)*AK247*2)-AN247),0)</f>
        <v>0</v>
      </c>
      <c r="AR247" s="854">
        <f>IFERROR(($P247-$AF247)*'Input Sheet'!$F$8/(((AI247)*AK247*2)-AN247),0)</f>
        <v>0</v>
      </c>
    </row>
    <row r="248" spans="2:44" s="798" customFormat="1" ht="30" customHeight="1" thickBot="1" x14ac:dyDescent="0.3">
      <c r="B248" s="835"/>
      <c r="C248" s="836"/>
      <c r="D248" s="836"/>
      <c r="E248" s="837"/>
      <c r="F248" s="837"/>
      <c r="G248" s="838"/>
      <c r="H248" s="838"/>
      <c r="I248" s="839"/>
      <c r="J248" s="839"/>
      <c r="K248" s="840"/>
      <c r="L248" s="841"/>
      <c r="M248" s="841"/>
      <c r="N248" s="842"/>
      <c r="O248" s="842"/>
      <c r="P248" s="843"/>
      <c r="Q248" s="843"/>
      <c r="R248" s="843"/>
      <c r="S248" s="844">
        <f t="shared" si="38"/>
        <v>0</v>
      </c>
      <c r="T248" s="838"/>
      <c r="U248" s="842"/>
      <c r="V248" s="843"/>
      <c r="W248" s="843"/>
      <c r="X248" s="843"/>
      <c r="Y248" s="843"/>
      <c r="Z248" s="843"/>
      <c r="AA248" s="837"/>
      <c r="AB248" s="837"/>
      <c r="AC248" s="845">
        <f t="shared" si="39"/>
        <v>0</v>
      </c>
      <c r="AD248" s="846">
        <f t="shared" si="40"/>
        <v>0</v>
      </c>
      <c r="AE248" s="847">
        <f t="shared" si="41"/>
        <v>0</v>
      </c>
      <c r="AF248" s="855">
        <f t="shared" si="34"/>
        <v>0</v>
      </c>
      <c r="AG248" s="848">
        <f>IF('Input Sheet'!$C$15="Yes",'Input Sheet'!$F$8,0)</f>
        <v>0</v>
      </c>
      <c r="AH248" s="846">
        <f>IF('Input Sheet'!$C$15="Yes",Rates!$E$45,0)</f>
        <v>0</v>
      </c>
      <c r="AI248" s="849">
        <f>IF('Input Sheet'!$C$15="Yes",'Input Sheet'!$F$11,0)</f>
        <v>0</v>
      </c>
      <c r="AJ248" s="850">
        <f>IF('Input Sheet'!$C$15="Yes",'Input Sheet'!$F$7,0)</f>
        <v>0</v>
      </c>
      <c r="AK248" s="856">
        <f t="shared" si="35"/>
        <v>0</v>
      </c>
      <c r="AL248" s="856">
        <f t="shared" si="36"/>
        <v>0</v>
      </c>
      <c r="AM248" s="856">
        <f t="shared" si="42"/>
        <v>0</v>
      </c>
      <c r="AN248" s="856">
        <f t="shared" si="37"/>
        <v>0</v>
      </c>
      <c r="AO248" s="852">
        <f t="shared" si="43"/>
        <v>0</v>
      </c>
      <c r="AP248" s="853">
        <f t="shared" si="44"/>
        <v>0</v>
      </c>
      <c r="AQ248" s="854">
        <f>IFERROR(P248*'Input Sheet'!$F$8/(((AI248)*AK248*2)-AN248),0)</f>
        <v>0</v>
      </c>
      <c r="AR248" s="854">
        <f>IFERROR(($P248-$AF248)*'Input Sheet'!$F$8/(((AI248)*AK248*2)-AN248),0)</f>
        <v>0</v>
      </c>
    </row>
    <row r="249" spans="2:44" s="798" customFormat="1" ht="30" customHeight="1" thickBot="1" x14ac:dyDescent="0.3">
      <c r="B249" s="835"/>
      <c r="C249" s="836"/>
      <c r="D249" s="836"/>
      <c r="E249" s="837"/>
      <c r="F249" s="837"/>
      <c r="G249" s="838"/>
      <c r="H249" s="838"/>
      <c r="I249" s="839"/>
      <c r="J249" s="839"/>
      <c r="K249" s="840"/>
      <c r="L249" s="841"/>
      <c r="M249" s="841"/>
      <c r="N249" s="842"/>
      <c r="O249" s="842"/>
      <c r="P249" s="843"/>
      <c r="Q249" s="843"/>
      <c r="R249" s="843"/>
      <c r="S249" s="844">
        <f t="shared" si="38"/>
        <v>0</v>
      </c>
      <c r="T249" s="838"/>
      <c r="U249" s="842"/>
      <c r="V249" s="843"/>
      <c r="W249" s="843"/>
      <c r="X249" s="843"/>
      <c r="Y249" s="843"/>
      <c r="Z249" s="843"/>
      <c r="AA249" s="837"/>
      <c r="AB249" s="837"/>
      <c r="AC249" s="845">
        <f t="shared" si="39"/>
        <v>0</v>
      </c>
      <c r="AD249" s="846">
        <f t="shared" si="40"/>
        <v>0</v>
      </c>
      <c r="AE249" s="847">
        <f t="shared" si="41"/>
        <v>0</v>
      </c>
      <c r="AF249" s="855">
        <f t="shared" si="34"/>
        <v>0</v>
      </c>
      <c r="AG249" s="848">
        <f>IF('Input Sheet'!$C$15="Yes",'Input Sheet'!$F$8,0)</f>
        <v>0</v>
      </c>
      <c r="AH249" s="846">
        <f>IF('Input Sheet'!$C$15="Yes",Rates!$E$45,0)</f>
        <v>0</v>
      </c>
      <c r="AI249" s="849">
        <f>IF('Input Sheet'!$C$15="Yes",'Input Sheet'!$F$11,0)</f>
        <v>0</v>
      </c>
      <c r="AJ249" s="850">
        <f>IF('Input Sheet'!$C$15="Yes",'Input Sheet'!$F$7,0)</f>
        <v>0</v>
      </c>
      <c r="AK249" s="856">
        <f t="shared" si="35"/>
        <v>0</v>
      </c>
      <c r="AL249" s="856">
        <f t="shared" si="36"/>
        <v>0</v>
      </c>
      <c r="AM249" s="856">
        <f t="shared" si="42"/>
        <v>0</v>
      </c>
      <c r="AN249" s="856">
        <f t="shared" si="37"/>
        <v>0</v>
      </c>
      <c r="AO249" s="852">
        <f t="shared" si="43"/>
        <v>0</v>
      </c>
      <c r="AP249" s="853">
        <f t="shared" si="44"/>
        <v>0</v>
      </c>
      <c r="AQ249" s="854">
        <f>IFERROR(P249*'Input Sheet'!$F$8/(((AI249)*AK249*2)-AN249),0)</f>
        <v>0</v>
      </c>
      <c r="AR249" s="854">
        <f>IFERROR(($P249-$AF249)*'Input Sheet'!$F$8/(((AI249)*AK249*2)-AN249),0)</f>
        <v>0</v>
      </c>
    </row>
    <row r="250" spans="2:44" s="798" customFormat="1" ht="30" customHeight="1" thickBot="1" x14ac:dyDescent="0.3">
      <c r="B250" s="835"/>
      <c r="C250" s="836"/>
      <c r="D250" s="836"/>
      <c r="E250" s="837"/>
      <c r="F250" s="837"/>
      <c r="G250" s="838"/>
      <c r="H250" s="838"/>
      <c r="I250" s="839"/>
      <c r="J250" s="839"/>
      <c r="K250" s="840"/>
      <c r="L250" s="841"/>
      <c r="M250" s="841"/>
      <c r="N250" s="842"/>
      <c r="O250" s="842"/>
      <c r="P250" s="843"/>
      <c r="Q250" s="843"/>
      <c r="R250" s="843"/>
      <c r="S250" s="844">
        <f t="shared" si="38"/>
        <v>0</v>
      </c>
      <c r="T250" s="838"/>
      <c r="U250" s="842"/>
      <c r="V250" s="843"/>
      <c r="W250" s="843"/>
      <c r="X250" s="843"/>
      <c r="Y250" s="843"/>
      <c r="Z250" s="843"/>
      <c r="AA250" s="837"/>
      <c r="AB250" s="837"/>
      <c r="AC250" s="845">
        <f t="shared" si="39"/>
        <v>0</v>
      </c>
      <c r="AD250" s="846">
        <f t="shared" si="40"/>
        <v>0</v>
      </c>
      <c r="AE250" s="847">
        <f t="shared" si="41"/>
        <v>0</v>
      </c>
      <c r="AF250" s="855">
        <f t="shared" si="34"/>
        <v>0</v>
      </c>
      <c r="AG250" s="848">
        <f>IF('Input Sheet'!$C$15="Yes",'Input Sheet'!$F$8,0)</f>
        <v>0</v>
      </c>
      <c r="AH250" s="846">
        <f>IF('Input Sheet'!$C$15="Yes",Rates!$E$45,0)</f>
        <v>0</v>
      </c>
      <c r="AI250" s="849">
        <f>IF('Input Sheet'!$C$15="Yes",'Input Sheet'!$F$11,0)</f>
        <v>0</v>
      </c>
      <c r="AJ250" s="850">
        <f>IF('Input Sheet'!$C$15="Yes",'Input Sheet'!$F$7,0)</f>
        <v>0</v>
      </c>
      <c r="AK250" s="856">
        <f t="shared" si="35"/>
        <v>0</v>
      </c>
      <c r="AL250" s="856">
        <f t="shared" si="36"/>
        <v>0</v>
      </c>
      <c r="AM250" s="856">
        <f t="shared" si="42"/>
        <v>0</v>
      </c>
      <c r="AN250" s="856">
        <f t="shared" si="37"/>
        <v>0</v>
      </c>
      <c r="AO250" s="852">
        <f t="shared" si="43"/>
        <v>0</v>
      </c>
      <c r="AP250" s="853">
        <f t="shared" si="44"/>
        <v>0</v>
      </c>
      <c r="AQ250" s="854">
        <f>IFERROR(P250*'Input Sheet'!$F$8/(((AI250)*AK250*2)-AN250),0)</f>
        <v>0</v>
      </c>
      <c r="AR250" s="854">
        <f>IFERROR(($P250-$AF250)*'Input Sheet'!$F$8/(((AI250)*AK250*2)-AN250),0)</f>
        <v>0</v>
      </c>
    </row>
    <row r="251" spans="2:44" s="798" customFormat="1" ht="30" customHeight="1" thickBot="1" x14ac:dyDescent="0.3">
      <c r="B251" s="835"/>
      <c r="C251" s="836"/>
      <c r="D251" s="836"/>
      <c r="E251" s="837"/>
      <c r="F251" s="837"/>
      <c r="G251" s="838"/>
      <c r="H251" s="838"/>
      <c r="I251" s="839"/>
      <c r="J251" s="839"/>
      <c r="K251" s="840"/>
      <c r="L251" s="841"/>
      <c r="M251" s="841"/>
      <c r="N251" s="842"/>
      <c r="O251" s="842"/>
      <c r="P251" s="843"/>
      <c r="Q251" s="843"/>
      <c r="R251" s="843"/>
      <c r="S251" s="844">
        <f t="shared" si="38"/>
        <v>0</v>
      </c>
      <c r="T251" s="838"/>
      <c r="U251" s="842"/>
      <c r="V251" s="843"/>
      <c r="W251" s="843"/>
      <c r="X251" s="843"/>
      <c r="Y251" s="843"/>
      <c r="Z251" s="843"/>
      <c r="AA251" s="837"/>
      <c r="AB251" s="837"/>
      <c r="AC251" s="845">
        <f t="shared" si="39"/>
        <v>0</v>
      </c>
      <c r="AD251" s="846">
        <f t="shared" si="40"/>
        <v>0</v>
      </c>
      <c r="AE251" s="847">
        <f t="shared" si="41"/>
        <v>0</v>
      </c>
      <c r="AF251" s="855">
        <f t="shared" si="34"/>
        <v>0</v>
      </c>
      <c r="AG251" s="848">
        <f>IF('Input Sheet'!$C$15="Yes",'Input Sheet'!$F$8,0)</f>
        <v>0</v>
      </c>
      <c r="AH251" s="846">
        <f>IF('Input Sheet'!$C$15="Yes",Rates!$E$45,0)</f>
        <v>0</v>
      </c>
      <c r="AI251" s="849">
        <f>IF('Input Sheet'!$C$15="Yes",'Input Sheet'!$F$11,0)</f>
        <v>0</v>
      </c>
      <c r="AJ251" s="850">
        <f>IF('Input Sheet'!$C$15="Yes",'Input Sheet'!$F$7,0)</f>
        <v>0</v>
      </c>
      <c r="AK251" s="856">
        <f t="shared" si="35"/>
        <v>0</v>
      </c>
      <c r="AL251" s="856">
        <f t="shared" si="36"/>
        <v>0</v>
      </c>
      <c r="AM251" s="856">
        <f t="shared" si="42"/>
        <v>0</v>
      </c>
      <c r="AN251" s="856">
        <f t="shared" si="37"/>
        <v>0</v>
      </c>
      <c r="AO251" s="852">
        <f t="shared" si="43"/>
        <v>0</v>
      </c>
      <c r="AP251" s="853">
        <f t="shared" si="44"/>
        <v>0</v>
      </c>
      <c r="AQ251" s="854">
        <f>IFERROR(P251*'Input Sheet'!$F$8/(((AI251)*AK251*2)-AN251),0)</f>
        <v>0</v>
      </c>
      <c r="AR251" s="854">
        <f>IFERROR(($P251-$AF251)*'Input Sheet'!$F$8/(((AI251)*AK251*2)-AN251),0)</f>
        <v>0</v>
      </c>
    </row>
    <row r="252" spans="2:44" s="798" customFormat="1" ht="30" customHeight="1" thickBot="1" x14ac:dyDescent="0.3">
      <c r="B252" s="835"/>
      <c r="C252" s="836"/>
      <c r="D252" s="836"/>
      <c r="E252" s="837"/>
      <c r="F252" s="837"/>
      <c r="G252" s="838"/>
      <c r="H252" s="838"/>
      <c r="I252" s="839"/>
      <c r="J252" s="839"/>
      <c r="K252" s="840"/>
      <c r="L252" s="841"/>
      <c r="M252" s="841"/>
      <c r="N252" s="842"/>
      <c r="O252" s="842"/>
      <c r="P252" s="843"/>
      <c r="Q252" s="843"/>
      <c r="R252" s="843"/>
      <c r="S252" s="844">
        <f t="shared" si="38"/>
        <v>0</v>
      </c>
      <c r="T252" s="838"/>
      <c r="U252" s="842"/>
      <c r="V252" s="843"/>
      <c r="W252" s="843"/>
      <c r="X252" s="843"/>
      <c r="Y252" s="843"/>
      <c r="Z252" s="843"/>
      <c r="AA252" s="837"/>
      <c r="AB252" s="837"/>
      <c r="AC252" s="845">
        <f t="shared" si="39"/>
        <v>0</v>
      </c>
      <c r="AD252" s="846">
        <f t="shared" si="40"/>
        <v>0</v>
      </c>
      <c r="AE252" s="847">
        <f t="shared" si="41"/>
        <v>0</v>
      </c>
      <c r="AF252" s="855">
        <f t="shared" si="34"/>
        <v>0</v>
      </c>
      <c r="AG252" s="848">
        <f>IF('Input Sheet'!$C$15="Yes",'Input Sheet'!$F$8,0)</f>
        <v>0</v>
      </c>
      <c r="AH252" s="846">
        <f>IF('Input Sheet'!$C$15="Yes",Rates!$E$45,0)</f>
        <v>0</v>
      </c>
      <c r="AI252" s="849">
        <f>IF('Input Sheet'!$C$15="Yes",'Input Sheet'!$F$11,0)</f>
        <v>0</v>
      </c>
      <c r="AJ252" s="850">
        <f>IF('Input Sheet'!$C$15="Yes",'Input Sheet'!$F$7,0)</f>
        <v>0</v>
      </c>
      <c r="AK252" s="856">
        <f t="shared" si="35"/>
        <v>0</v>
      </c>
      <c r="AL252" s="856">
        <f t="shared" si="36"/>
        <v>0</v>
      </c>
      <c r="AM252" s="856">
        <f t="shared" si="42"/>
        <v>0</v>
      </c>
      <c r="AN252" s="856">
        <f t="shared" si="37"/>
        <v>0</v>
      </c>
      <c r="AO252" s="852">
        <f t="shared" si="43"/>
        <v>0</v>
      </c>
      <c r="AP252" s="853">
        <f t="shared" si="44"/>
        <v>0</v>
      </c>
      <c r="AQ252" s="854">
        <f>IFERROR(P252*'Input Sheet'!$F$8/(((AI252)*AK252*2)-AN252),0)</f>
        <v>0</v>
      </c>
      <c r="AR252" s="854">
        <f>IFERROR(($P252-$AF252)*'Input Sheet'!$F$8/(((AI252)*AK252*2)-AN252),0)</f>
        <v>0</v>
      </c>
    </row>
    <row r="253" spans="2:44" s="798" customFormat="1" ht="30" customHeight="1" thickBot="1" x14ac:dyDescent="0.3">
      <c r="B253" s="835"/>
      <c r="C253" s="836"/>
      <c r="D253" s="836"/>
      <c r="E253" s="837"/>
      <c r="F253" s="837"/>
      <c r="G253" s="838"/>
      <c r="H253" s="838"/>
      <c r="I253" s="839"/>
      <c r="J253" s="839"/>
      <c r="K253" s="840"/>
      <c r="L253" s="841"/>
      <c r="M253" s="841"/>
      <c r="N253" s="842"/>
      <c r="O253" s="842"/>
      <c r="P253" s="843"/>
      <c r="Q253" s="843"/>
      <c r="R253" s="843"/>
      <c r="S253" s="844">
        <f t="shared" si="38"/>
        <v>0</v>
      </c>
      <c r="T253" s="838"/>
      <c r="U253" s="842"/>
      <c r="V253" s="843"/>
      <c r="W253" s="843"/>
      <c r="X253" s="843"/>
      <c r="Y253" s="843"/>
      <c r="Z253" s="843"/>
      <c r="AA253" s="837"/>
      <c r="AB253" s="837"/>
      <c r="AC253" s="845">
        <f t="shared" si="39"/>
        <v>0</v>
      </c>
      <c r="AD253" s="846">
        <f t="shared" si="40"/>
        <v>0</v>
      </c>
      <c r="AE253" s="847">
        <f t="shared" si="41"/>
        <v>0</v>
      </c>
      <c r="AF253" s="855">
        <f t="shared" si="34"/>
        <v>0</v>
      </c>
      <c r="AG253" s="848">
        <f>IF('Input Sheet'!$C$15="Yes",'Input Sheet'!$F$8,0)</f>
        <v>0</v>
      </c>
      <c r="AH253" s="846">
        <f>IF('Input Sheet'!$C$15="Yes",Rates!$E$45,0)</f>
        <v>0</v>
      </c>
      <c r="AI253" s="849">
        <f>IF('Input Sheet'!$C$15="Yes",'Input Sheet'!$F$11,0)</f>
        <v>0</v>
      </c>
      <c r="AJ253" s="850">
        <f>IF('Input Sheet'!$C$15="Yes",'Input Sheet'!$F$7,0)</f>
        <v>0</v>
      </c>
      <c r="AK253" s="856">
        <f t="shared" si="35"/>
        <v>0</v>
      </c>
      <c r="AL253" s="856">
        <f t="shared" si="36"/>
        <v>0</v>
      </c>
      <c r="AM253" s="856">
        <f t="shared" si="42"/>
        <v>0</v>
      </c>
      <c r="AN253" s="856">
        <f t="shared" si="37"/>
        <v>0</v>
      </c>
      <c r="AO253" s="852">
        <f t="shared" si="43"/>
        <v>0</v>
      </c>
      <c r="AP253" s="853">
        <f t="shared" si="44"/>
        <v>0</v>
      </c>
      <c r="AQ253" s="854">
        <f>IFERROR(P253*'Input Sheet'!$F$8/(((AI253)*AK253*2)-AN253),0)</f>
        <v>0</v>
      </c>
      <c r="AR253" s="854">
        <f>IFERROR(($P253-$AF253)*'Input Sheet'!$F$8/(((AI253)*AK253*2)-AN253),0)</f>
        <v>0</v>
      </c>
    </row>
    <row r="254" spans="2:44" s="798" customFormat="1" ht="30" customHeight="1" thickBot="1" x14ac:dyDescent="0.3">
      <c r="B254" s="835"/>
      <c r="C254" s="836"/>
      <c r="D254" s="836"/>
      <c r="E254" s="837"/>
      <c r="F254" s="837"/>
      <c r="G254" s="838"/>
      <c r="H254" s="838"/>
      <c r="I254" s="839"/>
      <c r="J254" s="839"/>
      <c r="K254" s="840"/>
      <c r="L254" s="841"/>
      <c r="M254" s="841"/>
      <c r="N254" s="842"/>
      <c r="O254" s="842"/>
      <c r="P254" s="843"/>
      <c r="Q254" s="843"/>
      <c r="R254" s="843"/>
      <c r="S254" s="844">
        <f t="shared" si="38"/>
        <v>0</v>
      </c>
      <c r="T254" s="838"/>
      <c r="U254" s="842"/>
      <c r="V254" s="843"/>
      <c r="W254" s="843"/>
      <c r="X254" s="843"/>
      <c r="Y254" s="843"/>
      <c r="Z254" s="843"/>
      <c r="AA254" s="837"/>
      <c r="AB254" s="837"/>
      <c r="AC254" s="845">
        <f t="shared" si="39"/>
        <v>0</v>
      </c>
      <c r="AD254" s="846">
        <f t="shared" si="40"/>
        <v>0</v>
      </c>
      <c r="AE254" s="847">
        <f t="shared" si="41"/>
        <v>0</v>
      </c>
      <c r="AF254" s="855">
        <f t="shared" si="34"/>
        <v>0</v>
      </c>
      <c r="AG254" s="848">
        <f>IF('Input Sheet'!$C$15="Yes",'Input Sheet'!$F$8,0)</f>
        <v>0</v>
      </c>
      <c r="AH254" s="846">
        <f>IF('Input Sheet'!$C$15="Yes",Rates!$E$45,0)</f>
        <v>0</v>
      </c>
      <c r="AI254" s="849">
        <f>IF('Input Sheet'!$C$15="Yes",'Input Sheet'!$F$11,0)</f>
        <v>0</v>
      </c>
      <c r="AJ254" s="850">
        <f>IF('Input Sheet'!$C$15="Yes",'Input Sheet'!$F$7,0)</f>
        <v>0</v>
      </c>
      <c r="AK254" s="856">
        <f t="shared" si="35"/>
        <v>0</v>
      </c>
      <c r="AL254" s="856">
        <f t="shared" si="36"/>
        <v>0</v>
      </c>
      <c r="AM254" s="856">
        <f t="shared" si="42"/>
        <v>0</v>
      </c>
      <c r="AN254" s="856">
        <f t="shared" si="37"/>
        <v>0</v>
      </c>
      <c r="AO254" s="852">
        <f t="shared" si="43"/>
        <v>0</v>
      </c>
      <c r="AP254" s="853">
        <f t="shared" si="44"/>
        <v>0</v>
      </c>
      <c r="AQ254" s="854">
        <f>IFERROR(P254*'Input Sheet'!$F$8/(((AI254)*AK254*2)-AN254),0)</f>
        <v>0</v>
      </c>
      <c r="AR254" s="854">
        <f>IFERROR(($P254-$AF254)*'Input Sheet'!$F$8/(((AI254)*AK254*2)-AN254),0)</f>
        <v>0</v>
      </c>
    </row>
    <row r="255" spans="2:44" s="798" customFormat="1" ht="30" customHeight="1" thickBot="1" x14ac:dyDescent="0.3">
      <c r="B255" s="835"/>
      <c r="C255" s="836"/>
      <c r="D255" s="836"/>
      <c r="E255" s="837"/>
      <c r="F255" s="837"/>
      <c r="G255" s="838"/>
      <c r="H255" s="838"/>
      <c r="I255" s="839"/>
      <c r="J255" s="839"/>
      <c r="K255" s="840"/>
      <c r="L255" s="841"/>
      <c r="M255" s="841"/>
      <c r="N255" s="842"/>
      <c r="O255" s="842"/>
      <c r="P255" s="843"/>
      <c r="Q255" s="843"/>
      <c r="R255" s="843"/>
      <c r="S255" s="844">
        <f t="shared" si="38"/>
        <v>0</v>
      </c>
      <c r="T255" s="838"/>
      <c r="U255" s="842"/>
      <c r="V255" s="843"/>
      <c r="W255" s="843"/>
      <c r="X255" s="843"/>
      <c r="Y255" s="843"/>
      <c r="Z255" s="843"/>
      <c r="AA255" s="837"/>
      <c r="AB255" s="837"/>
      <c r="AC255" s="845">
        <f t="shared" si="39"/>
        <v>0</v>
      </c>
      <c r="AD255" s="846">
        <f t="shared" si="40"/>
        <v>0</v>
      </c>
      <c r="AE255" s="847">
        <f t="shared" si="41"/>
        <v>0</v>
      </c>
      <c r="AF255" s="855">
        <f t="shared" si="34"/>
        <v>0</v>
      </c>
      <c r="AG255" s="848">
        <f>IF('Input Sheet'!$C$15="Yes",'Input Sheet'!$F$8,0)</f>
        <v>0</v>
      </c>
      <c r="AH255" s="846">
        <f>IF('Input Sheet'!$C$15="Yes",Rates!$E$45,0)</f>
        <v>0</v>
      </c>
      <c r="AI255" s="849">
        <f>IF('Input Sheet'!$C$15="Yes",'Input Sheet'!$F$11,0)</f>
        <v>0</v>
      </c>
      <c r="AJ255" s="850">
        <f>IF('Input Sheet'!$C$15="Yes",'Input Sheet'!$F$7,0)</f>
        <v>0</v>
      </c>
      <c r="AK255" s="856">
        <f t="shared" si="35"/>
        <v>0</v>
      </c>
      <c r="AL255" s="856">
        <f t="shared" si="36"/>
        <v>0</v>
      </c>
      <c r="AM255" s="856">
        <f t="shared" si="42"/>
        <v>0</v>
      </c>
      <c r="AN255" s="856">
        <f t="shared" si="37"/>
        <v>0</v>
      </c>
      <c r="AO255" s="852">
        <f t="shared" si="43"/>
        <v>0</v>
      </c>
      <c r="AP255" s="853">
        <f t="shared" si="44"/>
        <v>0</v>
      </c>
      <c r="AQ255" s="854">
        <f>IFERROR(P255*'Input Sheet'!$F$8/(((AI255)*AK255*2)-AN255),0)</f>
        <v>0</v>
      </c>
      <c r="AR255" s="854">
        <f>IFERROR(($P255-$AF255)*'Input Sheet'!$F$8/(((AI255)*AK255*2)-AN255),0)</f>
        <v>0</v>
      </c>
    </row>
    <row r="256" spans="2:44" s="798" customFormat="1" ht="30" customHeight="1" thickBot="1" x14ac:dyDescent="0.3">
      <c r="B256" s="835"/>
      <c r="C256" s="836"/>
      <c r="D256" s="836"/>
      <c r="E256" s="837"/>
      <c r="F256" s="837"/>
      <c r="G256" s="838"/>
      <c r="H256" s="838"/>
      <c r="I256" s="839"/>
      <c r="J256" s="839"/>
      <c r="K256" s="840"/>
      <c r="L256" s="841"/>
      <c r="M256" s="841"/>
      <c r="N256" s="842"/>
      <c r="O256" s="842"/>
      <c r="P256" s="843"/>
      <c r="Q256" s="843"/>
      <c r="R256" s="843"/>
      <c r="S256" s="844">
        <f t="shared" si="38"/>
        <v>0</v>
      </c>
      <c r="T256" s="838"/>
      <c r="U256" s="842"/>
      <c r="V256" s="843"/>
      <c r="W256" s="843"/>
      <c r="X256" s="843"/>
      <c r="Y256" s="843"/>
      <c r="Z256" s="843"/>
      <c r="AA256" s="837"/>
      <c r="AB256" s="837"/>
      <c r="AC256" s="845">
        <f t="shared" si="39"/>
        <v>0</v>
      </c>
      <c r="AD256" s="846">
        <f t="shared" si="40"/>
        <v>0</v>
      </c>
      <c r="AE256" s="847">
        <f t="shared" si="41"/>
        <v>0</v>
      </c>
      <c r="AF256" s="855">
        <f t="shared" si="34"/>
        <v>0</v>
      </c>
      <c r="AG256" s="848">
        <f>IF('Input Sheet'!$C$15="Yes",'Input Sheet'!$F$8,0)</f>
        <v>0</v>
      </c>
      <c r="AH256" s="846">
        <f>IF('Input Sheet'!$C$15="Yes",Rates!$E$45,0)</f>
        <v>0</v>
      </c>
      <c r="AI256" s="849">
        <f>IF('Input Sheet'!$C$15="Yes",'Input Sheet'!$F$11,0)</f>
        <v>0</v>
      </c>
      <c r="AJ256" s="850">
        <f>IF('Input Sheet'!$C$15="Yes",'Input Sheet'!$F$7,0)</f>
        <v>0</v>
      </c>
      <c r="AK256" s="856">
        <f t="shared" si="35"/>
        <v>0</v>
      </c>
      <c r="AL256" s="856">
        <f t="shared" si="36"/>
        <v>0</v>
      </c>
      <c r="AM256" s="856">
        <f t="shared" si="42"/>
        <v>0</v>
      </c>
      <c r="AN256" s="856">
        <f t="shared" si="37"/>
        <v>0</v>
      </c>
      <c r="AO256" s="852">
        <f t="shared" si="43"/>
        <v>0</v>
      </c>
      <c r="AP256" s="853">
        <f t="shared" si="44"/>
        <v>0</v>
      </c>
      <c r="AQ256" s="854">
        <f>IFERROR(P256*'Input Sheet'!$F$8/(((AI256)*AK256*2)-AN256),0)</f>
        <v>0</v>
      </c>
      <c r="AR256" s="854">
        <f>IFERROR(($P256-$AF256)*'Input Sheet'!$F$8/(((AI256)*AK256*2)-AN256),0)</f>
        <v>0</v>
      </c>
    </row>
    <row r="257" spans="2:44" s="798" customFormat="1" ht="30" customHeight="1" thickBot="1" x14ac:dyDescent="0.3">
      <c r="B257" s="835"/>
      <c r="C257" s="836"/>
      <c r="D257" s="836"/>
      <c r="E257" s="837"/>
      <c r="F257" s="837"/>
      <c r="G257" s="838"/>
      <c r="H257" s="838"/>
      <c r="I257" s="839"/>
      <c r="J257" s="839"/>
      <c r="K257" s="840"/>
      <c r="L257" s="841"/>
      <c r="M257" s="841"/>
      <c r="N257" s="842"/>
      <c r="O257" s="842"/>
      <c r="P257" s="843"/>
      <c r="Q257" s="843"/>
      <c r="R257" s="843"/>
      <c r="S257" s="844">
        <f t="shared" si="38"/>
        <v>0</v>
      </c>
      <c r="T257" s="838"/>
      <c r="U257" s="842"/>
      <c r="V257" s="843"/>
      <c r="W257" s="843"/>
      <c r="X257" s="843"/>
      <c r="Y257" s="843"/>
      <c r="Z257" s="843"/>
      <c r="AA257" s="837"/>
      <c r="AB257" s="837"/>
      <c r="AC257" s="845">
        <f t="shared" si="39"/>
        <v>0</v>
      </c>
      <c r="AD257" s="846">
        <f t="shared" si="40"/>
        <v>0</v>
      </c>
      <c r="AE257" s="847">
        <f t="shared" si="41"/>
        <v>0</v>
      </c>
      <c r="AF257" s="855">
        <f t="shared" si="34"/>
        <v>0</v>
      </c>
      <c r="AG257" s="848">
        <f>IF('Input Sheet'!$C$15="Yes",'Input Sheet'!$F$8,0)</f>
        <v>0</v>
      </c>
      <c r="AH257" s="846">
        <f>IF('Input Sheet'!$C$15="Yes",Rates!$E$45,0)</f>
        <v>0</v>
      </c>
      <c r="AI257" s="849">
        <f>IF('Input Sheet'!$C$15="Yes",'Input Sheet'!$F$11,0)</f>
        <v>0</v>
      </c>
      <c r="AJ257" s="850">
        <f>IF('Input Sheet'!$C$15="Yes",'Input Sheet'!$F$7,0)</f>
        <v>0</v>
      </c>
      <c r="AK257" s="856">
        <f t="shared" si="35"/>
        <v>0</v>
      </c>
      <c r="AL257" s="856">
        <f t="shared" si="36"/>
        <v>0</v>
      </c>
      <c r="AM257" s="856">
        <f t="shared" si="42"/>
        <v>0</v>
      </c>
      <c r="AN257" s="856">
        <f t="shared" si="37"/>
        <v>0</v>
      </c>
      <c r="AO257" s="852">
        <f t="shared" si="43"/>
        <v>0</v>
      </c>
      <c r="AP257" s="853">
        <f t="shared" si="44"/>
        <v>0</v>
      </c>
      <c r="AQ257" s="854">
        <f>IFERROR(P257*'Input Sheet'!$F$8/(((AI257)*AK257*2)-AN257),0)</f>
        <v>0</v>
      </c>
      <c r="AR257" s="854">
        <f>IFERROR(($P257-$AF257)*'Input Sheet'!$F$8/(((AI257)*AK257*2)-AN257),0)</f>
        <v>0</v>
      </c>
    </row>
    <row r="258" spans="2:44" s="798" customFormat="1" ht="30" customHeight="1" thickBot="1" x14ac:dyDescent="0.3">
      <c r="B258" s="835"/>
      <c r="C258" s="836"/>
      <c r="D258" s="836"/>
      <c r="E258" s="837"/>
      <c r="F258" s="837"/>
      <c r="G258" s="838"/>
      <c r="H258" s="838"/>
      <c r="I258" s="839"/>
      <c r="J258" s="839"/>
      <c r="K258" s="840"/>
      <c r="L258" s="841"/>
      <c r="M258" s="841"/>
      <c r="N258" s="842"/>
      <c r="O258" s="842"/>
      <c r="P258" s="843"/>
      <c r="Q258" s="843"/>
      <c r="R258" s="843"/>
      <c r="S258" s="844">
        <f t="shared" si="38"/>
        <v>0</v>
      </c>
      <c r="T258" s="838"/>
      <c r="U258" s="842"/>
      <c r="V258" s="843"/>
      <c r="W258" s="843"/>
      <c r="X258" s="843"/>
      <c r="Y258" s="843"/>
      <c r="Z258" s="843"/>
      <c r="AA258" s="837"/>
      <c r="AB258" s="837"/>
      <c r="AC258" s="845">
        <f t="shared" si="39"/>
        <v>0</v>
      </c>
      <c r="AD258" s="846">
        <f t="shared" si="40"/>
        <v>0</v>
      </c>
      <c r="AE258" s="847">
        <f t="shared" si="41"/>
        <v>0</v>
      </c>
      <c r="AF258" s="855">
        <f t="shared" si="34"/>
        <v>0</v>
      </c>
      <c r="AG258" s="848">
        <f>IF('Input Sheet'!$C$15="Yes",'Input Sheet'!$F$8,0)</f>
        <v>0</v>
      </c>
      <c r="AH258" s="846">
        <f>IF('Input Sheet'!$C$15="Yes",Rates!$E$45,0)</f>
        <v>0</v>
      </c>
      <c r="AI258" s="849">
        <f>IF('Input Sheet'!$C$15="Yes",'Input Sheet'!$F$11,0)</f>
        <v>0</v>
      </c>
      <c r="AJ258" s="850">
        <f>IF('Input Sheet'!$C$15="Yes",'Input Sheet'!$F$7,0)</f>
        <v>0</v>
      </c>
      <c r="AK258" s="856">
        <f t="shared" si="35"/>
        <v>0</v>
      </c>
      <c r="AL258" s="856">
        <f t="shared" si="36"/>
        <v>0</v>
      </c>
      <c r="AM258" s="856">
        <f t="shared" si="42"/>
        <v>0</v>
      </c>
      <c r="AN258" s="856">
        <f t="shared" si="37"/>
        <v>0</v>
      </c>
      <c r="AO258" s="852">
        <f t="shared" si="43"/>
        <v>0</v>
      </c>
      <c r="AP258" s="853">
        <f t="shared" si="44"/>
        <v>0</v>
      </c>
      <c r="AQ258" s="854">
        <f>IFERROR(P258*'Input Sheet'!$F$8/(((AI258)*AK258*2)-AN258),0)</f>
        <v>0</v>
      </c>
      <c r="AR258" s="854">
        <f>IFERROR(($P258-$AF258)*'Input Sheet'!$F$8/(((AI258)*AK258*2)-AN258),0)</f>
        <v>0</v>
      </c>
    </row>
    <row r="259" spans="2:44" s="798" customFormat="1" ht="30" customHeight="1" thickBot="1" x14ac:dyDescent="0.3">
      <c r="B259" s="835"/>
      <c r="C259" s="836"/>
      <c r="D259" s="836"/>
      <c r="E259" s="837"/>
      <c r="F259" s="837"/>
      <c r="G259" s="838"/>
      <c r="H259" s="838"/>
      <c r="I259" s="839"/>
      <c r="J259" s="839"/>
      <c r="K259" s="840"/>
      <c r="L259" s="841"/>
      <c r="M259" s="841"/>
      <c r="N259" s="842"/>
      <c r="O259" s="842"/>
      <c r="P259" s="843"/>
      <c r="Q259" s="843"/>
      <c r="R259" s="843"/>
      <c r="S259" s="844">
        <f t="shared" si="38"/>
        <v>0</v>
      </c>
      <c r="T259" s="838"/>
      <c r="U259" s="842"/>
      <c r="V259" s="843"/>
      <c r="W259" s="843"/>
      <c r="X259" s="843"/>
      <c r="Y259" s="843"/>
      <c r="Z259" s="843"/>
      <c r="AA259" s="837"/>
      <c r="AB259" s="837"/>
      <c r="AC259" s="845">
        <f t="shared" si="39"/>
        <v>0</v>
      </c>
      <c r="AD259" s="846">
        <f t="shared" si="40"/>
        <v>0</v>
      </c>
      <c r="AE259" s="847">
        <f t="shared" si="41"/>
        <v>0</v>
      </c>
      <c r="AF259" s="855">
        <f t="shared" si="34"/>
        <v>0</v>
      </c>
      <c r="AG259" s="848">
        <f>IF('Input Sheet'!$C$15="Yes",'Input Sheet'!$F$8,0)</f>
        <v>0</v>
      </c>
      <c r="AH259" s="846">
        <f>IF('Input Sheet'!$C$15="Yes",Rates!$E$45,0)</f>
        <v>0</v>
      </c>
      <c r="AI259" s="849">
        <f>IF('Input Sheet'!$C$15="Yes",'Input Sheet'!$F$11,0)</f>
        <v>0</v>
      </c>
      <c r="AJ259" s="850">
        <f>IF('Input Sheet'!$C$15="Yes",'Input Sheet'!$F$7,0)</f>
        <v>0</v>
      </c>
      <c r="AK259" s="856">
        <f t="shared" si="35"/>
        <v>0</v>
      </c>
      <c r="AL259" s="856">
        <f t="shared" si="36"/>
        <v>0</v>
      </c>
      <c r="AM259" s="856">
        <f t="shared" si="42"/>
        <v>0</v>
      </c>
      <c r="AN259" s="856">
        <f t="shared" si="37"/>
        <v>0</v>
      </c>
      <c r="AO259" s="852">
        <f t="shared" si="43"/>
        <v>0</v>
      </c>
      <c r="AP259" s="853">
        <f t="shared" si="44"/>
        <v>0</v>
      </c>
      <c r="AQ259" s="854">
        <f>IFERROR(P259*'Input Sheet'!$F$8/(((AI259)*AK259*2)-AN259),0)</f>
        <v>0</v>
      </c>
      <c r="AR259" s="854">
        <f>IFERROR(($P259-$AF259)*'Input Sheet'!$F$8/(((AI259)*AK259*2)-AN259),0)</f>
        <v>0</v>
      </c>
    </row>
    <row r="260" spans="2:44" s="798" customFormat="1" ht="30" customHeight="1" thickBot="1" x14ac:dyDescent="0.3">
      <c r="B260" s="835"/>
      <c r="C260" s="836"/>
      <c r="D260" s="836"/>
      <c r="E260" s="837"/>
      <c r="F260" s="837"/>
      <c r="G260" s="838"/>
      <c r="H260" s="838"/>
      <c r="I260" s="839"/>
      <c r="J260" s="839"/>
      <c r="K260" s="840"/>
      <c r="L260" s="841"/>
      <c r="M260" s="841"/>
      <c r="N260" s="842"/>
      <c r="O260" s="842"/>
      <c r="P260" s="843"/>
      <c r="Q260" s="843"/>
      <c r="R260" s="843"/>
      <c r="S260" s="844">
        <f t="shared" si="38"/>
        <v>0</v>
      </c>
      <c r="T260" s="838"/>
      <c r="U260" s="842"/>
      <c r="V260" s="843"/>
      <c r="W260" s="843"/>
      <c r="X260" s="843"/>
      <c r="Y260" s="843"/>
      <c r="Z260" s="843"/>
      <c r="AA260" s="837"/>
      <c r="AB260" s="837"/>
      <c r="AC260" s="845">
        <f t="shared" si="39"/>
        <v>0</v>
      </c>
      <c r="AD260" s="846">
        <f t="shared" si="40"/>
        <v>0</v>
      </c>
      <c r="AE260" s="847">
        <f t="shared" si="41"/>
        <v>0</v>
      </c>
      <c r="AF260" s="855">
        <f t="shared" si="34"/>
        <v>0</v>
      </c>
      <c r="AG260" s="848">
        <f>IF('Input Sheet'!$C$15="Yes",'Input Sheet'!$F$8,0)</f>
        <v>0</v>
      </c>
      <c r="AH260" s="846">
        <f>IF('Input Sheet'!$C$15="Yes",Rates!$E$45,0)</f>
        <v>0</v>
      </c>
      <c r="AI260" s="849">
        <f>IF('Input Sheet'!$C$15="Yes",'Input Sheet'!$F$11,0)</f>
        <v>0</v>
      </c>
      <c r="AJ260" s="850">
        <f>IF('Input Sheet'!$C$15="Yes",'Input Sheet'!$F$7,0)</f>
        <v>0</v>
      </c>
      <c r="AK260" s="856">
        <f t="shared" si="35"/>
        <v>0</v>
      </c>
      <c r="AL260" s="856">
        <f t="shared" si="36"/>
        <v>0</v>
      </c>
      <c r="AM260" s="856">
        <f t="shared" si="42"/>
        <v>0</v>
      </c>
      <c r="AN260" s="856">
        <f t="shared" si="37"/>
        <v>0</v>
      </c>
      <c r="AO260" s="852">
        <f t="shared" si="43"/>
        <v>0</v>
      </c>
      <c r="AP260" s="853">
        <f t="shared" si="44"/>
        <v>0</v>
      </c>
      <c r="AQ260" s="854">
        <f>IFERROR(P260*'Input Sheet'!$F$8/(((AI260)*AK260*2)-AN260),0)</f>
        <v>0</v>
      </c>
      <c r="AR260" s="854">
        <f>IFERROR(($P260-$AF260)*'Input Sheet'!$F$8/(((AI260)*AK260*2)-AN260),0)</f>
        <v>0</v>
      </c>
    </row>
    <row r="261" spans="2:44" s="798" customFormat="1" ht="30" customHeight="1" thickBot="1" x14ac:dyDescent="0.3">
      <c r="B261" s="835"/>
      <c r="C261" s="836"/>
      <c r="D261" s="836"/>
      <c r="E261" s="837"/>
      <c r="F261" s="837"/>
      <c r="G261" s="838"/>
      <c r="H261" s="838"/>
      <c r="I261" s="839"/>
      <c r="J261" s="839"/>
      <c r="K261" s="840"/>
      <c r="L261" s="841"/>
      <c r="M261" s="841"/>
      <c r="N261" s="842"/>
      <c r="O261" s="842"/>
      <c r="P261" s="843"/>
      <c r="Q261" s="843"/>
      <c r="R261" s="843"/>
      <c r="S261" s="844">
        <f t="shared" si="38"/>
        <v>0</v>
      </c>
      <c r="T261" s="838"/>
      <c r="U261" s="842"/>
      <c r="V261" s="843"/>
      <c r="W261" s="843"/>
      <c r="X261" s="843"/>
      <c r="Y261" s="843"/>
      <c r="Z261" s="843"/>
      <c r="AA261" s="837"/>
      <c r="AB261" s="837"/>
      <c r="AC261" s="845">
        <f t="shared" si="39"/>
        <v>0</v>
      </c>
      <c r="AD261" s="846">
        <f t="shared" si="40"/>
        <v>0</v>
      </c>
      <c r="AE261" s="847">
        <f t="shared" si="41"/>
        <v>0</v>
      </c>
      <c r="AF261" s="855">
        <f t="shared" si="34"/>
        <v>0</v>
      </c>
      <c r="AG261" s="848">
        <f>IF('Input Sheet'!$C$15="Yes",'Input Sheet'!$F$8,0)</f>
        <v>0</v>
      </c>
      <c r="AH261" s="846">
        <f>IF('Input Sheet'!$C$15="Yes",Rates!$E$45,0)</f>
        <v>0</v>
      </c>
      <c r="AI261" s="849">
        <f>IF('Input Sheet'!$C$15="Yes",'Input Sheet'!$F$11,0)</f>
        <v>0</v>
      </c>
      <c r="AJ261" s="850">
        <f>IF('Input Sheet'!$C$15="Yes",'Input Sheet'!$F$7,0)</f>
        <v>0</v>
      </c>
      <c r="AK261" s="856">
        <f t="shared" si="35"/>
        <v>0</v>
      </c>
      <c r="AL261" s="856">
        <f t="shared" si="36"/>
        <v>0</v>
      </c>
      <c r="AM261" s="856">
        <f t="shared" si="42"/>
        <v>0</v>
      </c>
      <c r="AN261" s="856">
        <f t="shared" si="37"/>
        <v>0</v>
      </c>
      <c r="AO261" s="852">
        <f t="shared" si="43"/>
        <v>0</v>
      </c>
      <c r="AP261" s="853">
        <f t="shared" si="44"/>
        <v>0</v>
      </c>
      <c r="AQ261" s="854">
        <f>IFERROR(P261*'Input Sheet'!$F$8/(((AI261)*AK261*2)-AN261),0)</f>
        <v>0</v>
      </c>
      <c r="AR261" s="854">
        <f>IFERROR(($P261-$AF261)*'Input Sheet'!$F$8/(((AI261)*AK261*2)-AN261),0)</f>
        <v>0</v>
      </c>
    </row>
    <row r="262" spans="2:44" s="798" customFormat="1" ht="30" customHeight="1" thickBot="1" x14ac:dyDescent="0.3">
      <c r="B262" s="835"/>
      <c r="C262" s="836"/>
      <c r="D262" s="836"/>
      <c r="E262" s="837"/>
      <c r="F262" s="837"/>
      <c r="G262" s="838"/>
      <c r="H262" s="838"/>
      <c r="I262" s="839"/>
      <c r="J262" s="839"/>
      <c r="K262" s="840"/>
      <c r="L262" s="841"/>
      <c r="M262" s="841"/>
      <c r="N262" s="842"/>
      <c r="O262" s="842"/>
      <c r="P262" s="843"/>
      <c r="Q262" s="843"/>
      <c r="R262" s="843"/>
      <c r="S262" s="844">
        <f t="shared" si="38"/>
        <v>0</v>
      </c>
      <c r="T262" s="838"/>
      <c r="U262" s="842"/>
      <c r="V262" s="843"/>
      <c r="W262" s="843"/>
      <c r="X262" s="843"/>
      <c r="Y262" s="843"/>
      <c r="Z262" s="843"/>
      <c r="AA262" s="837"/>
      <c r="AB262" s="837"/>
      <c r="AC262" s="845">
        <f t="shared" si="39"/>
        <v>0</v>
      </c>
      <c r="AD262" s="846">
        <f t="shared" si="40"/>
        <v>0</v>
      </c>
      <c r="AE262" s="847">
        <f t="shared" si="41"/>
        <v>0</v>
      </c>
      <c r="AF262" s="855">
        <f t="shared" si="34"/>
        <v>0</v>
      </c>
      <c r="AG262" s="848">
        <f>IF('Input Sheet'!$C$15="Yes",'Input Sheet'!$F$8,0)</f>
        <v>0</v>
      </c>
      <c r="AH262" s="846">
        <f>IF('Input Sheet'!$C$15="Yes",Rates!$E$45,0)</f>
        <v>0</v>
      </c>
      <c r="AI262" s="849">
        <f>IF('Input Sheet'!$C$15="Yes",'Input Sheet'!$F$11,0)</f>
        <v>0</v>
      </c>
      <c r="AJ262" s="850">
        <f>IF('Input Sheet'!$C$15="Yes",'Input Sheet'!$F$7,0)</f>
        <v>0</v>
      </c>
      <c r="AK262" s="856">
        <f t="shared" si="35"/>
        <v>0</v>
      </c>
      <c r="AL262" s="856">
        <f t="shared" si="36"/>
        <v>0</v>
      </c>
      <c r="AM262" s="856">
        <f t="shared" si="42"/>
        <v>0</v>
      </c>
      <c r="AN262" s="856">
        <f t="shared" si="37"/>
        <v>0</v>
      </c>
      <c r="AO262" s="852">
        <f t="shared" si="43"/>
        <v>0</v>
      </c>
      <c r="AP262" s="853">
        <f t="shared" si="44"/>
        <v>0</v>
      </c>
      <c r="AQ262" s="854">
        <f>IFERROR(P262*'Input Sheet'!$F$8/(((AI262)*AK262*2)-AN262),0)</f>
        <v>0</v>
      </c>
      <c r="AR262" s="854">
        <f>IFERROR(($P262-$AF262)*'Input Sheet'!$F$8/(((AI262)*AK262*2)-AN262),0)</f>
        <v>0</v>
      </c>
    </row>
    <row r="263" spans="2:44" s="798" customFormat="1" ht="30" customHeight="1" thickBot="1" x14ac:dyDescent="0.3">
      <c r="B263" s="835"/>
      <c r="C263" s="836"/>
      <c r="D263" s="836"/>
      <c r="E263" s="837"/>
      <c r="F263" s="837"/>
      <c r="G263" s="838"/>
      <c r="H263" s="838"/>
      <c r="I263" s="839"/>
      <c r="J263" s="839"/>
      <c r="K263" s="840"/>
      <c r="L263" s="841"/>
      <c r="M263" s="841"/>
      <c r="N263" s="842"/>
      <c r="O263" s="842"/>
      <c r="P263" s="843"/>
      <c r="Q263" s="843"/>
      <c r="R263" s="843"/>
      <c r="S263" s="844">
        <f t="shared" si="38"/>
        <v>0</v>
      </c>
      <c r="T263" s="838"/>
      <c r="U263" s="842"/>
      <c r="V263" s="843"/>
      <c r="W263" s="843"/>
      <c r="X263" s="843"/>
      <c r="Y263" s="843"/>
      <c r="Z263" s="843"/>
      <c r="AA263" s="837"/>
      <c r="AB263" s="837"/>
      <c r="AC263" s="845">
        <f t="shared" si="39"/>
        <v>0</v>
      </c>
      <c r="AD263" s="846">
        <f t="shared" si="40"/>
        <v>0</v>
      </c>
      <c r="AE263" s="847">
        <f t="shared" si="41"/>
        <v>0</v>
      </c>
      <c r="AF263" s="855">
        <f t="shared" si="34"/>
        <v>0</v>
      </c>
      <c r="AG263" s="848">
        <f>IF('Input Sheet'!$C$15="Yes",'Input Sheet'!$F$8,0)</f>
        <v>0</v>
      </c>
      <c r="AH263" s="846">
        <f>IF('Input Sheet'!$C$15="Yes",Rates!$E$45,0)</f>
        <v>0</v>
      </c>
      <c r="AI263" s="849">
        <f>IF('Input Sheet'!$C$15="Yes",'Input Sheet'!$F$11,0)</f>
        <v>0</v>
      </c>
      <c r="AJ263" s="850">
        <f>IF('Input Sheet'!$C$15="Yes",'Input Sheet'!$F$7,0)</f>
        <v>0</v>
      </c>
      <c r="AK263" s="856">
        <f t="shared" si="35"/>
        <v>0</v>
      </c>
      <c r="AL263" s="856">
        <f t="shared" si="36"/>
        <v>0</v>
      </c>
      <c r="AM263" s="856">
        <f t="shared" si="42"/>
        <v>0</v>
      </c>
      <c r="AN263" s="856">
        <f t="shared" si="37"/>
        <v>0</v>
      </c>
      <c r="AO263" s="852">
        <f t="shared" si="43"/>
        <v>0</v>
      </c>
      <c r="AP263" s="853">
        <f t="shared" si="44"/>
        <v>0</v>
      </c>
      <c r="AQ263" s="854">
        <f>IFERROR(P263*'Input Sheet'!$F$8/(((AI263)*AK263*2)-AN263),0)</f>
        <v>0</v>
      </c>
      <c r="AR263" s="854">
        <f>IFERROR(($P263-$AF263)*'Input Sheet'!$F$8/(((AI263)*AK263*2)-AN263),0)</f>
        <v>0</v>
      </c>
    </row>
    <row r="264" spans="2:44" s="798" customFormat="1" ht="30" customHeight="1" thickBot="1" x14ac:dyDescent="0.3">
      <c r="B264" s="835"/>
      <c r="C264" s="836"/>
      <c r="D264" s="836"/>
      <c r="E264" s="837"/>
      <c r="F264" s="837"/>
      <c r="G264" s="838"/>
      <c r="H264" s="838"/>
      <c r="I264" s="839"/>
      <c r="J264" s="839"/>
      <c r="K264" s="840"/>
      <c r="L264" s="841"/>
      <c r="M264" s="841"/>
      <c r="N264" s="842"/>
      <c r="O264" s="842"/>
      <c r="P264" s="843"/>
      <c r="Q264" s="843"/>
      <c r="R264" s="843"/>
      <c r="S264" s="844">
        <f t="shared" si="38"/>
        <v>0</v>
      </c>
      <c r="T264" s="838"/>
      <c r="U264" s="842"/>
      <c r="V264" s="843"/>
      <c r="W264" s="843"/>
      <c r="X264" s="843"/>
      <c r="Y264" s="843"/>
      <c r="Z264" s="843"/>
      <c r="AA264" s="837"/>
      <c r="AB264" s="837"/>
      <c r="AC264" s="845">
        <f t="shared" si="39"/>
        <v>0</v>
      </c>
      <c r="AD264" s="846">
        <f t="shared" si="40"/>
        <v>0</v>
      </c>
      <c r="AE264" s="847">
        <f t="shared" si="41"/>
        <v>0</v>
      </c>
      <c r="AF264" s="855">
        <f t="shared" si="34"/>
        <v>0</v>
      </c>
      <c r="AG264" s="848">
        <f>IF('Input Sheet'!$C$15="Yes",'Input Sheet'!$F$8,0)</f>
        <v>0</v>
      </c>
      <c r="AH264" s="846">
        <f>IF('Input Sheet'!$C$15="Yes",Rates!$E$45,0)</f>
        <v>0</v>
      </c>
      <c r="AI264" s="849">
        <f>IF('Input Sheet'!$C$15="Yes",'Input Sheet'!$F$11,0)</f>
        <v>0</v>
      </c>
      <c r="AJ264" s="850">
        <f>IF('Input Sheet'!$C$15="Yes",'Input Sheet'!$F$7,0)</f>
        <v>0</v>
      </c>
      <c r="AK264" s="856">
        <f t="shared" si="35"/>
        <v>0</v>
      </c>
      <c r="AL264" s="856">
        <f t="shared" si="36"/>
        <v>0</v>
      </c>
      <c r="AM264" s="856">
        <f t="shared" si="42"/>
        <v>0</v>
      </c>
      <c r="AN264" s="856">
        <f t="shared" si="37"/>
        <v>0</v>
      </c>
      <c r="AO264" s="852">
        <f t="shared" si="43"/>
        <v>0</v>
      </c>
      <c r="AP264" s="853">
        <f t="shared" si="44"/>
        <v>0</v>
      </c>
      <c r="AQ264" s="854">
        <f>IFERROR(P264*'Input Sheet'!$F$8/(((AI264)*AK264*2)-AN264),0)</f>
        <v>0</v>
      </c>
      <c r="AR264" s="854">
        <f>IFERROR(($P264-$AF264)*'Input Sheet'!$F$8/(((AI264)*AK264*2)-AN264),0)</f>
        <v>0</v>
      </c>
    </row>
    <row r="265" spans="2:44" s="798" customFormat="1" ht="30" customHeight="1" thickBot="1" x14ac:dyDescent="0.3">
      <c r="B265" s="835"/>
      <c r="C265" s="836"/>
      <c r="D265" s="836"/>
      <c r="E265" s="837"/>
      <c r="F265" s="837"/>
      <c r="G265" s="838"/>
      <c r="H265" s="838"/>
      <c r="I265" s="839"/>
      <c r="J265" s="839"/>
      <c r="K265" s="840"/>
      <c r="L265" s="841"/>
      <c r="M265" s="841"/>
      <c r="N265" s="842"/>
      <c r="O265" s="842"/>
      <c r="P265" s="843"/>
      <c r="Q265" s="843"/>
      <c r="R265" s="843"/>
      <c r="S265" s="844">
        <f t="shared" si="38"/>
        <v>0</v>
      </c>
      <c r="T265" s="838"/>
      <c r="U265" s="842"/>
      <c r="V265" s="843"/>
      <c r="W265" s="843"/>
      <c r="X265" s="843"/>
      <c r="Y265" s="843"/>
      <c r="Z265" s="843"/>
      <c r="AA265" s="837"/>
      <c r="AB265" s="837"/>
      <c r="AC265" s="845">
        <f t="shared" si="39"/>
        <v>0</v>
      </c>
      <c r="AD265" s="846">
        <f t="shared" si="40"/>
        <v>0</v>
      </c>
      <c r="AE265" s="847">
        <f t="shared" si="41"/>
        <v>0</v>
      </c>
      <c r="AF265" s="855">
        <f t="shared" ref="AF265:AF328" si="45">SUM($Q265:$W265)</f>
        <v>0</v>
      </c>
      <c r="AG265" s="848">
        <f>IF('Input Sheet'!$C$15="Yes",'Input Sheet'!$F$8,0)</f>
        <v>0</v>
      </c>
      <c r="AH265" s="846">
        <f>IF('Input Sheet'!$C$15="Yes",Rates!$E$45,0)</f>
        <v>0</v>
      </c>
      <c r="AI265" s="849">
        <f>IF('Input Sheet'!$C$15="Yes",'Input Sheet'!$F$11,0)</f>
        <v>0</v>
      </c>
      <c r="AJ265" s="850">
        <f>IF('Input Sheet'!$C$15="Yes",'Input Sheet'!$F$7,0)</f>
        <v>0</v>
      </c>
      <c r="AK265" s="856">
        <f t="shared" ref="AK265:AK328" si="46">L265*S265</f>
        <v>0</v>
      </c>
      <c r="AL265" s="856">
        <f t="shared" ref="AL265:AL328" si="47">(AK265)-(AK265*AH265)-(AK265*AP265*(AJ265/12))</f>
        <v>0</v>
      </c>
      <c r="AM265" s="856">
        <f t="shared" si="42"/>
        <v>0</v>
      </c>
      <c r="AN265" s="856">
        <f t="shared" ref="AN265:AN328" si="48">AK265*AP265*AJ265/12</f>
        <v>0</v>
      </c>
      <c r="AO265" s="852">
        <f t="shared" si="43"/>
        <v>0</v>
      </c>
      <c r="AP265" s="853">
        <f t="shared" si="44"/>
        <v>0</v>
      </c>
      <c r="AQ265" s="854">
        <f>IFERROR(P265*'Input Sheet'!$F$8/(((AI265)*AK265*2)-AN265),0)</f>
        <v>0</v>
      </c>
      <c r="AR265" s="854">
        <f>IFERROR(($P265-$AF265)*'Input Sheet'!$F$8/(((AI265)*AK265*2)-AN265),0)</f>
        <v>0</v>
      </c>
    </row>
    <row r="266" spans="2:44" s="798" customFormat="1" ht="30" customHeight="1" thickBot="1" x14ac:dyDescent="0.3">
      <c r="B266" s="835"/>
      <c r="C266" s="836"/>
      <c r="D266" s="836"/>
      <c r="E266" s="837"/>
      <c r="F266" s="837"/>
      <c r="G266" s="838"/>
      <c r="H266" s="838"/>
      <c r="I266" s="839"/>
      <c r="J266" s="839"/>
      <c r="K266" s="840"/>
      <c r="L266" s="841"/>
      <c r="M266" s="841"/>
      <c r="N266" s="842"/>
      <c r="O266" s="842"/>
      <c r="P266" s="843"/>
      <c r="Q266" s="843"/>
      <c r="R266" s="843"/>
      <c r="S266" s="844">
        <f t="shared" ref="S266:S329" si="49">IFERROR(M266/L266,0)</f>
        <v>0</v>
      </c>
      <c r="T266" s="838"/>
      <c r="U266" s="842"/>
      <c r="V266" s="843"/>
      <c r="W266" s="843"/>
      <c r="X266" s="843"/>
      <c r="Y266" s="843"/>
      <c r="Z266" s="843"/>
      <c r="AA266" s="837"/>
      <c r="AB266" s="837"/>
      <c r="AC266" s="845">
        <f t="shared" ref="AC266:AC329" si="50">IFERROR(L266/K266,0)</f>
        <v>0</v>
      </c>
      <c r="AD266" s="846">
        <f t="shared" ref="AD266:AD329" si="51">IFERROR(P266*12/L266,0)</f>
        <v>0</v>
      </c>
      <c r="AE266" s="847">
        <f t="shared" ref="AE266:AE329" si="52">IFERROR(P266*12/K266,0)</f>
        <v>0</v>
      </c>
      <c r="AF266" s="855">
        <f t="shared" si="45"/>
        <v>0</v>
      </c>
      <c r="AG266" s="848">
        <f>IF('Input Sheet'!$C$15="Yes",'Input Sheet'!$F$8,0)</f>
        <v>0</v>
      </c>
      <c r="AH266" s="846">
        <f>IF('Input Sheet'!$C$15="Yes",Rates!$E$45,0)</f>
        <v>0</v>
      </c>
      <c r="AI266" s="849">
        <f>IF('Input Sheet'!$C$15="Yes",'Input Sheet'!$F$11,0)</f>
        <v>0</v>
      </c>
      <c r="AJ266" s="850">
        <f>IF('Input Sheet'!$C$15="Yes",'Input Sheet'!$F$7,0)</f>
        <v>0</v>
      </c>
      <c r="AK266" s="856">
        <f t="shared" si="46"/>
        <v>0</v>
      </c>
      <c r="AL266" s="856">
        <f t="shared" si="47"/>
        <v>0</v>
      </c>
      <c r="AM266" s="856">
        <f t="shared" ref="AM266:AM329" si="53">(AL266)+(AK266*0.75%)</f>
        <v>0</v>
      </c>
      <c r="AN266" s="856">
        <f t="shared" si="48"/>
        <v>0</v>
      </c>
      <c r="AO266" s="852">
        <f t="shared" ref="AO266:AO329" si="54">IFERROR(AM266/L266,0)</f>
        <v>0</v>
      </c>
      <c r="AP266" s="853">
        <f t="shared" ref="AP266:AP329" si="55">AI266</f>
        <v>0</v>
      </c>
      <c r="AQ266" s="854">
        <f>IFERROR(P266*'Input Sheet'!$F$8/(((AI266)*AK266*2)-AN266),0)</f>
        <v>0</v>
      </c>
      <c r="AR266" s="854">
        <f>IFERROR(($P266-$AF266)*'Input Sheet'!$F$8/(((AI266)*AK266*2)-AN266),0)</f>
        <v>0</v>
      </c>
    </row>
    <row r="267" spans="2:44" s="798" customFormat="1" ht="30" customHeight="1" thickBot="1" x14ac:dyDescent="0.3">
      <c r="B267" s="835"/>
      <c r="C267" s="836"/>
      <c r="D267" s="836"/>
      <c r="E267" s="837"/>
      <c r="F267" s="837"/>
      <c r="G267" s="838"/>
      <c r="H267" s="838"/>
      <c r="I267" s="839"/>
      <c r="J267" s="839"/>
      <c r="K267" s="840"/>
      <c r="L267" s="841"/>
      <c r="M267" s="841"/>
      <c r="N267" s="842"/>
      <c r="O267" s="842"/>
      <c r="P267" s="843"/>
      <c r="Q267" s="843"/>
      <c r="R267" s="843"/>
      <c r="S267" s="844">
        <f t="shared" si="49"/>
        <v>0</v>
      </c>
      <c r="T267" s="838"/>
      <c r="U267" s="842"/>
      <c r="V267" s="843"/>
      <c r="W267" s="843"/>
      <c r="X267" s="843"/>
      <c r="Y267" s="843"/>
      <c r="Z267" s="843"/>
      <c r="AA267" s="837"/>
      <c r="AB267" s="837"/>
      <c r="AC267" s="845">
        <f t="shared" si="50"/>
        <v>0</v>
      </c>
      <c r="AD267" s="846">
        <f t="shared" si="51"/>
        <v>0</v>
      </c>
      <c r="AE267" s="847">
        <f t="shared" si="52"/>
        <v>0</v>
      </c>
      <c r="AF267" s="855">
        <f t="shared" si="45"/>
        <v>0</v>
      </c>
      <c r="AG267" s="848">
        <f>IF('Input Sheet'!$C$15="Yes",'Input Sheet'!$F$8,0)</f>
        <v>0</v>
      </c>
      <c r="AH267" s="846">
        <f>IF('Input Sheet'!$C$15="Yes",Rates!$E$45,0)</f>
        <v>0</v>
      </c>
      <c r="AI267" s="849">
        <f>IF('Input Sheet'!$C$15="Yes",'Input Sheet'!$F$11,0)</f>
        <v>0</v>
      </c>
      <c r="AJ267" s="850">
        <f>IF('Input Sheet'!$C$15="Yes",'Input Sheet'!$F$7,0)</f>
        <v>0</v>
      </c>
      <c r="AK267" s="856">
        <f t="shared" si="46"/>
        <v>0</v>
      </c>
      <c r="AL267" s="856">
        <f t="shared" si="47"/>
        <v>0</v>
      </c>
      <c r="AM267" s="856">
        <f t="shared" si="53"/>
        <v>0</v>
      </c>
      <c r="AN267" s="856">
        <f t="shared" si="48"/>
        <v>0</v>
      </c>
      <c r="AO267" s="852">
        <f t="shared" si="54"/>
        <v>0</v>
      </c>
      <c r="AP267" s="853">
        <f t="shared" si="55"/>
        <v>0</v>
      </c>
      <c r="AQ267" s="854">
        <f>IFERROR(P267*'Input Sheet'!$F$8/(((AI267)*AK267*2)-AN267),0)</f>
        <v>0</v>
      </c>
      <c r="AR267" s="854">
        <f>IFERROR(($P267-$AF267)*'Input Sheet'!$F$8/(((AI267)*AK267*2)-AN267),0)</f>
        <v>0</v>
      </c>
    </row>
    <row r="268" spans="2:44" s="798" customFormat="1" ht="30" customHeight="1" thickBot="1" x14ac:dyDescent="0.3">
      <c r="B268" s="835"/>
      <c r="C268" s="836"/>
      <c r="D268" s="836"/>
      <c r="E268" s="837"/>
      <c r="F268" s="837"/>
      <c r="G268" s="838"/>
      <c r="H268" s="838"/>
      <c r="I268" s="839"/>
      <c r="J268" s="839"/>
      <c r="K268" s="840"/>
      <c r="L268" s="841"/>
      <c r="M268" s="841"/>
      <c r="N268" s="842"/>
      <c r="O268" s="842"/>
      <c r="P268" s="843"/>
      <c r="Q268" s="843"/>
      <c r="R268" s="843"/>
      <c r="S268" s="844">
        <f t="shared" si="49"/>
        <v>0</v>
      </c>
      <c r="T268" s="838"/>
      <c r="U268" s="842"/>
      <c r="V268" s="843"/>
      <c r="W268" s="843"/>
      <c r="X268" s="843"/>
      <c r="Y268" s="843"/>
      <c r="Z268" s="843"/>
      <c r="AA268" s="837"/>
      <c r="AB268" s="837"/>
      <c r="AC268" s="845">
        <f t="shared" si="50"/>
        <v>0</v>
      </c>
      <c r="AD268" s="846">
        <f t="shared" si="51"/>
        <v>0</v>
      </c>
      <c r="AE268" s="847">
        <f t="shared" si="52"/>
        <v>0</v>
      </c>
      <c r="AF268" s="855">
        <f t="shared" si="45"/>
        <v>0</v>
      </c>
      <c r="AG268" s="848">
        <f>IF('Input Sheet'!$C$15="Yes",'Input Sheet'!$F$8,0)</f>
        <v>0</v>
      </c>
      <c r="AH268" s="846">
        <f>IF('Input Sheet'!$C$15="Yes",Rates!$E$45,0)</f>
        <v>0</v>
      </c>
      <c r="AI268" s="849">
        <f>IF('Input Sheet'!$C$15="Yes",'Input Sheet'!$F$11,0)</f>
        <v>0</v>
      </c>
      <c r="AJ268" s="850">
        <f>IF('Input Sheet'!$C$15="Yes",'Input Sheet'!$F$7,0)</f>
        <v>0</v>
      </c>
      <c r="AK268" s="856">
        <f t="shared" si="46"/>
        <v>0</v>
      </c>
      <c r="AL268" s="856">
        <f t="shared" si="47"/>
        <v>0</v>
      </c>
      <c r="AM268" s="856">
        <f t="shared" si="53"/>
        <v>0</v>
      </c>
      <c r="AN268" s="856">
        <f t="shared" si="48"/>
        <v>0</v>
      </c>
      <c r="AO268" s="852">
        <f t="shared" si="54"/>
        <v>0</v>
      </c>
      <c r="AP268" s="853">
        <f t="shared" si="55"/>
        <v>0</v>
      </c>
      <c r="AQ268" s="854">
        <f>IFERROR(P268*'Input Sheet'!$F$8/(((AI268)*AK268*2)-AN268),0)</f>
        <v>0</v>
      </c>
      <c r="AR268" s="854">
        <f>IFERROR(($P268-$AF268)*'Input Sheet'!$F$8/(((AI268)*AK268*2)-AN268),0)</f>
        <v>0</v>
      </c>
    </row>
    <row r="269" spans="2:44" s="798" customFormat="1" ht="30" customHeight="1" thickBot="1" x14ac:dyDescent="0.3">
      <c r="B269" s="835"/>
      <c r="C269" s="836"/>
      <c r="D269" s="836"/>
      <c r="E269" s="837"/>
      <c r="F269" s="837"/>
      <c r="G269" s="838"/>
      <c r="H269" s="838"/>
      <c r="I269" s="839"/>
      <c r="J269" s="839"/>
      <c r="K269" s="840"/>
      <c r="L269" s="841"/>
      <c r="M269" s="841"/>
      <c r="N269" s="842"/>
      <c r="O269" s="842"/>
      <c r="P269" s="843"/>
      <c r="Q269" s="843"/>
      <c r="R269" s="843"/>
      <c r="S269" s="844">
        <f t="shared" si="49"/>
        <v>0</v>
      </c>
      <c r="T269" s="838"/>
      <c r="U269" s="842"/>
      <c r="V269" s="843"/>
      <c r="W269" s="843"/>
      <c r="X269" s="843"/>
      <c r="Y269" s="843"/>
      <c r="Z269" s="843"/>
      <c r="AA269" s="837"/>
      <c r="AB269" s="837"/>
      <c r="AC269" s="845">
        <f t="shared" si="50"/>
        <v>0</v>
      </c>
      <c r="AD269" s="846">
        <f t="shared" si="51"/>
        <v>0</v>
      </c>
      <c r="AE269" s="847">
        <f t="shared" si="52"/>
        <v>0</v>
      </c>
      <c r="AF269" s="855">
        <f t="shared" si="45"/>
        <v>0</v>
      </c>
      <c r="AG269" s="848">
        <f>IF('Input Sheet'!$C$15="Yes",'Input Sheet'!$F$8,0)</f>
        <v>0</v>
      </c>
      <c r="AH269" s="846">
        <f>IF('Input Sheet'!$C$15="Yes",Rates!$E$45,0)</f>
        <v>0</v>
      </c>
      <c r="AI269" s="849">
        <f>IF('Input Sheet'!$C$15="Yes",'Input Sheet'!$F$11,0)</f>
        <v>0</v>
      </c>
      <c r="AJ269" s="850">
        <f>IF('Input Sheet'!$C$15="Yes",'Input Sheet'!$F$7,0)</f>
        <v>0</v>
      </c>
      <c r="AK269" s="856">
        <f t="shared" si="46"/>
        <v>0</v>
      </c>
      <c r="AL269" s="856">
        <f t="shared" si="47"/>
        <v>0</v>
      </c>
      <c r="AM269" s="856">
        <f t="shared" si="53"/>
        <v>0</v>
      </c>
      <c r="AN269" s="856">
        <f t="shared" si="48"/>
        <v>0</v>
      </c>
      <c r="AO269" s="852">
        <f t="shared" si="54"/>
        <v>0</v>
      </c>
      <c r="AP269" s="853">
        <f t="shared" si="55"/>
        <v>0</v>
      </c>
      <c r="AQ269" s="854">
        <f>IFERROR(P269*'Input Sheet'!$F$8/(((AI269)*AK269*2)-AN269),0)</f>
        <v>0</v>
      </c>
      <c r="AR269" s="854">
        <f>IFERROR(($P269-$AF269)*'Input Sheet'!$F$8/(((AI269)*AK269*2)-AN269),0)</f>
        <v>0</v>
      </c>
    </row>
    <row r="270" spans="2:44" s="798" customFormat="1" ht="30" customHeight="1" thickBot="1" x14ac:dyDescent="0.3">
      <c r="B270" s="835"/>
      <c r="C270" s="836"/>
      <c r="D270" s="836"/>
      <c r="E270" s="837"/>
      <c r="F270" s="837"/>
      <c r="G270" s="838"/>
      <c r="H270" s="838"/>
      <c r="I270" s="839"/>
      <c r="J270" s="839"/>
      <c r="K270" s="840"/>
      <c r="L270" s="841"/>
      <c r="M270" s="841"/>
      <c r="N270" s="842"/>
      <c r="O270" s="842"/>
      <c r="P270" s="843"/>
      <c r="Q270" s="843"/>
      <c r="R270" s="843"/>
      <c r="S270" s="844">
        <f t="shared" si="49"/>
        <v>0</v>
      </c>
      <c r="T270" s="838"/>
      <c r="U270" s="842"/>
      <c r="V270" s="843"/>
      <c r="W270" s="843"/>
      <c r="X270" s="843"/>
      <c r="Y270" s="843"/>
      <c r="Z270" s="843"/>
      <c r="AA270" s="837"/>
      <c r="AB270" s="837"/>
      <c r="AC270" s="845">
        <f t="shared" si="50"/>
        <v>0</v>
      </c>
      <c r="AD270" s="846">
        <f t="shared" si="51"/>
        <v>0</v>
      </c>
      <c r="AE270" s="847">
        <f t="shared" si="52"/>
        <v>0</v>
      </c>
      <c r="AF270" s="855">
        <f t="shared" si="45"/>
        <v>0</v>
      </c>
      <c r="AG270" s="848">
        <f>IF('Input Sheet'!$C$15="Yes",'Input Sheet'!$F$8,0)</f>
        <v>0</v>
      </c>
      <c r="AH270" s="846">
        <f>IF('Input Sheet'!$C$15="Yes",Rates!$E$45,0)</f>
        <v>0</v>
      </c>
      <c r="AI270" s="849">
        <f>IF('Input Sheet'!$C$15="Yes",'Input Sheet'!$F$11,0)</f>
        <v>0</v>
      </c>
      <c r="AJ270" s="850">
        <f>IF('Input Sheet'!$C$15="Yes",'Input Sheet'!$F$7,0)</f>
        <v>0</v>
      </c>
      <c r="AK270" s="856">
        <f t="shared" si="46"/>
        <v>0</v>
      </c>
      <c r="AL270" s="856">
        <f t="shared" si="47"/>
        <v>0</v>
      </c>
      <c r="AM270" s="856">
        <f t="shared" si="53"/>
        <v>0</v>
      </c>
      <c r="AN270" s="856">
        <f t="shared" si="48"/>
        <v>0</v>
      </c>
      <c r="AO270" s="852">
        <f t="shared" si="54"/>
        <v>0</v>
      </c>
      <c r="AP270" s="853">
        <f t="shared" si="55"/>
        <v>0</v>
      </c>
      <c r="AQ270" s="854">
        <f>IFERROR(P270*'Input Sheet'!$F$8/(((AI270)*AK270*2)-AN270),0)</f>
        <v>0</v>
      </c>
      <c r="AR270" s="854">
        <f>IFERROR(($P270-$AF270)*'Input Sheet'!$F$8/(((AI270)*AK270*2)-AN270),0)</f>
        <v>0</v>
      </c>
    </row>
    <row r="271" spans="2:44" s="798" customFormat="1" ht="30" customHeight="1" thickBot="1" x14ac:dyDescent="0.3">
      <c r="B271" s="835"/>
      <c r="C271" s="836"/>
      <c r="D271" s="836"/>
      <c r="E271" s="837"/>
      <c r="F271" s="837"/>
      <c r="G271" s="838"/>
      <c r="H271" s="838"/>
      <c r="I271" s="839"/>
      <c r="J271" s="839"/>
      <c r="K271" s="840"/>
      <c r="L271" s="841"/>
      <c r="M271" s="841"/>
      <c r="N271" s="842"/>
      <c r="O271" s="842"/>
      <c r="P271" s="843"/>
      <c r="Q271" s="843"/>
      <c r="R271" s="843"/>
      <c r="S271" s="844">
        <f t="shared" si="49"/>
        <v>0</v>
      </c>
      <c r="T271" s="838"/>
      <c r="U271" s="842"/>
      <c r="V271" s="843"/>
      <c r="W271" s="843"/>
      <c r="X271" s="843"/>
      <c r="Y271" s="843"/>
      <c r="Z271" s="843"/>
      <c r="AA271" s="837"/>
      <c r="AB271" s="837"/>
      <c r="AC271" s="845">
        <f t="shared" si="50"/>
        <v>0</v>
      </c>
      <c r="AD271" s="846">
        <f t="shared" si="51"/>
        <v>0</v>
      </c>
      <c r="AE271" s="847">
        <f t="shared" si="52"/>
        <v>0</v>
      </c>
      <c r="AF271" s="855">
        <f t="shared" si="45"/>
        <v>0</v>
      </c>
      <c r="AG271" s="848">
        <f>IF('Input Sheet'!$C$15="Yes",'Input Sheet'!$F$8,0)</f>
        <v>0</v>
      </c>
      <c r="AH271" s="846">
        <f>IF('Input Sheet'!$C$15="Yes",Rates!$E$45,0)</f>
        <v>0</v>
      </c>
      <c r="AI271" s="849">
        <f>IF('Input Sheet'!$C$15="Yes",'Input Sheet'!$F$11,0)</f>
        <v>0</v>
      </c>
      <c r="AJ271" s="850">
        <f>IF('Input Sheet'!$C$15="Yes",'Input Sheet'!$F$7,0)</f>
        <v>0</v>
      </c>
      <c r="AK271" s="856">
        <f t="shared" si="46"/>
        <v>0</v>
      </c>
      <c r="AL271" s="856">
        <f t="shared" si="47"/>
        <v>0</v>
      </c>
      <c r="AM271" s="856">
        <f t="shared" si="53"/>
        <v>0</v>
      </c>
      <c r="AN271" s="856">
        <f t="shared" si="48"/>
        <v>0</v>
      </c>
      <c r="AO271" s="852">
        <f t="shared" si="54"/>
        <v>0</v>
      </c>
      <c r="AP271" s="853">
        <f t="shared" si="55"/>
        <v>0</v>
      </c>
      <c r="AQ271" s="854">
        <f>IFERROR(P271*'Input Sheet'!$F$8/(((AI271)*AK271*2)-AN271),0)</f>
        <v>0</v>
      </c>
      <c r="AR271" s="854">
        <f>IFERROR(($P271-$AF271)*'Input Sheet'!$F$8/(((AI271)*AK271*2)-AN271),0)</f>
        <v>0</v>
      </c>
    </row>
    <row r="272" spans="2:44" s="798" customFormat="1" ht="30" customHeight="1" thickBot="1" x14ac:dyDescent="0.3">
      <c r="B272" s="835"/>
      <c r="C272" s="836"/>
      <c r="D272" s="836"/>
      <c r="E272" s="837"/>
      <c r="F272" s="837"/>
      <c r="G272" s="838"/>
      <c r="H272" s="838"/>
      <c r="I272" s="839"/>
      <c r="J272" s="839"/>
      <c r="K272" s="840"/>
      <c r="L272" s="841"/>
      <c r="M272" s="841"/>
      <c r="N272" s="842"/>
      <c r="O272" s="842"/>
      <c r="P272" s="843"/>
      <c r="Q272" s="843"/>
      <c r="R272" s="843"/>
      <c r="S272" s="844">
        <f t="shared" si="49"/>
        <v>0</v>
      </c>
      <c r="T272" s="838"/>
      <c r="U272" s="842"/>
      <c r="V272" s="843"/>
      <c r="W272" s="843"/>
      <c r="X272" s="843"/>
      <c r="Y272" s="843"/>
      <c r="Z272" s="843"/>
      <c r="AA272" s="837"/>
      <c r="AB272" s="837"/>
      <c r="AC272" s="845">
        <f t="shared" si="50"/>
        <v>0</v>
      </c>
      <c r="AD272" s="846">
        <f t="shared" si="51"/>
        <v>0</v>
      </c>
      <c r="AE272" s="847">
        <f t="shared" si="52"/>
        <v>0</v>
      </c>
      <c r="AF272" s="855">
        <f t="shared" si="45"/>
        <v>0</v>
      </c>
      <c r="AG272" s="848">
        <f>IF('Input Sheet'!$C$15="Yes",'Input Sheet'!$F$8,0)</f>
        <v>0</v>
      </c>
      <c r="AH272" s="846">
        <f>IF('Input Sheet'!$C$15="Yes",Rates!$E$45,0)</f>
        <v>0</v>
      </c>
      <c r="AI272" s="849">
        <f>IF('Input Sheet'!$C$15="Yes",'Input Sheet'!$F$11,0)</f>
        <v>0</v>
      </c>
      <c r="AJ272" s="850">
        <f>IF('Input Sheet'!$C$15="Yes",'Input Sheet'!$F$7,0)</f>
        <v>0</v>
      </c>
      <c r="AK272" s="856">
        <f t="shared" si="46"/>
        <v>0</v>
      </c>
      <c r="AL272" s="856">
        <f t="shared" si="47"/>
        <v>0</v>
      </c>
      <c r="AM272" s="856">
        <f t="shared" si="53"/>
        <v>0</v>
      </c>
      <c r="AN272" s="856">
        <f t="shared" si="48"/>
        <v>0</v>
      </c>
      <c r="AO272" s="852">
        <f t="shared" si="54"/>
        <v>0</v>
      </c>
      <c r="AP272" s="853">
        <f t="shared" si="55"/>
        <v>0</v>
      </c>
      <c r="AQ272" s="854">
        <f>IFERROR(P272*'Input Sheet'!$F$8/(((AI272)*AK272*2)-AN272),0)</f>
        <v>0</v>
      </c>
      <c r="AR272" s="854">
        <f>IFERROR(($P272-$AF272)*'Input Sheet'!$F$8/(((AI272)*AK272*2)-AN272),0)</f>
        <v>0</v>
      </c>
    </row>
    <row r="273" spans="2:44" s="798" customFormat="1" ht="30" customHeight="1" thickBot="1" x14ac:dyDescent="0.3">
      <c r="B273" s="835"/>
      <c r="C273" s="836"/>
      <c r="D273" s="836"/>
      <c r="E273" s="837"/>
      <c r="F273" s="837"/>
      <c r="G273" s="838"/>
      <c r="H273" s="838"/>
      <c r="I273" s="839"/>
      <c r="J273" s="839"/>
      <c r="K273" s="840"/>
      <c r="L273" s="841"/>
      <c r="M273" s="841"/>
      <c r="N273" s="842"/>
      <c r="O273" s="842"/>
      <c r="P273" s="843"/>
      <c r="Q273" s="843"/>
      <c r="R273" s="843"/>
      <c r="S273" s="844">
        <f t="shared" si="49"/>
        <v>0</v>
      </c>
      <c r="T273" s="838"/>
      <c r="U273" s="842"/>
      <c r="V273" s="843"/>
      <c r="W273" s="843"/>
      <c r="X273" s="843"/>
      <c r="Y273" s="843"/>
      <c r="Z273" s="843"/>
      <c r="AA273" s="837"/>
      <c r="AB273" s="837"/>
      <c r="AC273" s="845">
        <f t="shared" si="50"/>
        <v>0</v>
      </c>
      <c r="AD273" s="846">
        <f t="shared" si="51"/>
        <v>0</v>
      </c>
      <c r="AE273" s="847">
        <f t="shared" si="52"/>
        <v>0</v>
      </c>
      <c r="AF273" s="855">
        <f t="shared" si="45"/>
        <v>0</v>
      </c>
      <c r="AG273" s="848">
        <f>IF('Input Sheet'!$C$15="Yes",'Input Sheet'!$F$8,0)</f>
        <v>0</v>
      </c>
      <c r="AH273" s="846">
        <f>IF('Input Sheet'!$C$15="Yes",Rates!$E$45,0)</f>
        <v>0</v>
      </c>
      <c r="AI273" s="849">
        <f>IF('Input Sheet'!$C$15="Yes",'Input Sheet'!$F$11,0)</f>
        <v>0</v>
      </c>
      <c r="AJ273" s="850">
        <f>IF('Input Sheet'!$C$15="Yes",'Input Sheet'!$F$7,0)</f>
        <v>0</v>
      </c>
      <c r="AK273" s="856">
        <f t="shared" si="46"/>
        <v>0</v>
      </c>
      <c r="AL273" s="856">
        <f t="shared" si="47"/>
        <v>0</v>
      </c>
      <c r="AM273" s="856">
        <f t="shared" si="53"/>
        <v>0</v>
      </c>
      <c r="AN273" s="856">
        <f t="shared" si="48"/>
        <v>0</v>
      </c>
      <c r="AO273" s="852">
        <f t="shared" si="54"/>
        <v>0</v>
      </c>
      <c r="AP273" s="853">
        <f t="shared" si="55"/>
        <v>0</v>
      </c>
      <c r="AQ273" s="854">
        <f>IFERROR(P273*'Input Sheet'!$F$8/(((AI273)*AK273*2)-AN273),0)</f>
        <v>0</v>
      </c>
      <c r="AR273" s="854">
        <f>IFERROR(($P273-$AF273)*'Input Sheet'!$F$8/(((AI273)*AK273*2)-AN273),0)</f>
        <v>0</v>
      </c>
    </row>
    <row r="274" spans="2:44" s="798" customFormat="1" ht="30" customHeight="1" thickBot="1" x14ac:dyDescent="0.3">
      <c r="B274" s="835"/>
      <c r="C274" s="836"/>
      <c r="D274" s="836"/>
      <c r="E274" s="837"/>
      <c r="F274" s="837"/>
      <c r="G274" s="838"/>
      <c r="H274" s="838"/>
      <c r="I274" s="839"/>
      <c r="J274" s="839"/>
      <c r="K274" s="840"/>
      <c r="L274" s="841"/>
      <c r="M274" s="841"/>
      <c r="N274" s="842"/>
      <c r="O274" s="842"/>
      <c r="P274" s="843"/>
      <c r="Q274" s="843"/>
      <c r="R274" s="843"/>
      <c r="S274" s="844">
        <f t="shared" si="49"/>
        <v>0</v>
      </c>
      <c r="T274" s="838"/>
      <c r="U274" s="842"/>
      <c r="V274" s="843"/>
      <c r="W274" s="843"/>
      <c r="X274" s="843"/>
      <c r="Y274" s="843"/>
      <c r="Z274" s="843"/>
      <c r="AA274" s="837"/>
      <c r="AB274" s="837"/>
      <c r="AC274" s="845">
        <f t="shared" si="50"/>
        <v>0</v>
      </c>
      <c r="AD274" s="846">
        <f t="shared" si="51"/>
        <v>0</v>
      </c>
      <c r="AE274" s="847">
        <f t="shared" si="52"/>
        <v>0</v>
      </c>
      <c r="AF274" s="855">
        <f t="shared" si="45"/>
        <v>0</v>
      </c>
      <c r="AG274" s="848">
        <f>IF('Input Sheet'!$C$15="Yes",'Input Sheet'!$F$8,0)</f>
        <v>0</v>
      </c>
      <c r="AH274" s="846">
        <f>IF('Input Sheet'!$C$15="Yes",Rates!$E$45,0)</f>
        <v>0</v>
      </c>
      <c r="AI274" s="849">
        <f>IF('Input Sheet'!$C$15="Yes",'Input Sheet'!$F$11,0)</f>
        <v>0</v>
      </c>
      <c r="AJ274" s="850">
        <f>IF('Input Sheet'!$C$15="Yes",'Input Sheet'!$F$7,0)</f>
        <v>0</v>
      </c>
      <c r="AK274" s="856">
        <f t="shared" si="46"/>
        <v>0</v>
      </c>
      <c r="AL274" s="856">
        <f t="shared" si="47"/>
        <v>0</v>
      </c>
      <c r="AM274" s="856">
        <f t="shared" si="53"/>
        <v>0</v>
      </c>
      <c r="AN274" s="856">
        <f t="shared" si="48"/>
        <v>0</v>
      </c>
      <c r="AO274" s="852">
        <f t="shared" si="54"/>
        <v>0</v>
      </c>
      <c r="AP274" s="853">
        <f t="shared" si="55"/>
        <v>0</v>
      </c>
      <c r="AQ274" s="854">
        <f>IFERROR(P274*'Input Sheet'!$F$8/(((AI274)*AK274*2)-AN274),0)</f>
        <v>0</v>
      </c>
      <c r="AR274" s="854">
        <f>IFERROR(($P274-$AF274)*'Input Sheet'!$F$8/(((AI274)*AK274*2)-AN274),0)</f>
        <v>0</v>
      </c>
    </row>
    <row r="275" spans="2:44" s="798" customFormat="1" ht="30" customHeight="1" thickBot="1" x14ac:dyDescent="0.3">
      <c r="B275" s="835"/>
      <c r="C275" s="836"/>
      <c r="D275" s="836"/>
      <c r="E275" s="837"/>
      <c r="F275" s="837"/>
      <c r="G275" s="838"/>
      <c r="H275" s="838"/>
      <c r="I275" s="839"/>
      <c r="J275" s="839"/>
      <c r="K275" s="840"/>
      <c r="L275" s="841"/>
      <c r="M275" s="841"/>
      <c r="N275" s="842"/>
      <c r="O275" s="842"/>
      <c r="P275" s="843"/>
      <c r="Q275" s="843"/>
      <c r="R275" s="843"/>
      <c r="S275" s="844">
        <f t="shared" si="49"/>
        <v>0</v>
      </c>
      <c r="T275" s="838"/>
      <c r="U275" s="842"/>
      <c r="V275" s="843"/>
      <c r="W275" s="843"/>
      <c r="X275" s="843"/>
      <c r="Y275" s="843"/>
      <c r="Z275" s="843"/>
      <c r="AA275" s="837"/>
      <c r="AB275" s="837"/>
      <c r="AC275" s="845">
        <f t="shared" si="50"/>
        <v>0</v>
      </c>
      <c r="AD275" s="846">
        <f t="shared" si="51"/>
        <v>0</v>
      </c>
      <c r="AE275" s="847">
        <f t="shared" si="52"/>
        <v>0</v>
      </c>
      <c r="AF275" s="855">
        <f t="shared" si="45"/>
        <v>0</v>
      </c>
      <c r="AG275" s="848">
        <f>IF('Input Sheet'!$C$15="Yes",'Input Sheet'!$F$8,0)</f>
        <v>0</v>
      </c>
      <c r="AH275" s="846">
        <f>IF('Input Sheet'!$C$15="Yes",Rates!$E$45,0)</f>
        <v>0</v>
      </c>
      <c r="AI275" s="849">
        <f>IF('Input Sheet'!$C$15="Yes",'Input Sheet'!$F$11,0)</f>
        <v>0</v>
      </c>
      <c r="AJ275" s="850">
        <f>IF('Input Sheet'!$C$15="Yes",'Input Sheet'!$F$7,0)</f>
        <v>0</v>
      </c>
      <c r="AK275" s="856">
        <f t="shared" si="46"/>
        <v>0</v>
      </c>
      <c r="AL275" s="856">
        <f t="shared" si="47"/>
        <v>0</v>
      </c>
      <c r="AM275" s="856">
        <f t="shared" si="53"/>
        <v>0</v>
      </c>
      <c r="AN275" s="856">
        <f t="shared" si="48"/>
        <v>0</v>
      </c>
      <c r="AO275" s="852">
        <f t="shared" si="54"/>
        <v>0</v>
      </c>
      <c r="AP275" s="853">
        <f t="shared" si="55"/>
        <v>0</v>
      </c>
      <c r="AQ275" s="854">
        <f>IFERROR(P275*'Input Sheet'!$F$8/(((AI275)*AK275*2)-AN275),0)</f>
        <v>0</v>
      </c>
      <c r="AR275" s="854">
        <f>IFERROR(($P275-$AF275)*'Input Sheet'!$F$8/(((AI275)*AK275*2)-AN275),0)</f>
        <v>0</v>
      </c>
    </row>
    <row r="276" spans="2:44" s="798" customFormat="1" ht="30" customHeight="1" thickBot="1" x14ac:dyDescent="0.3">
      <c r="B276" s="835"/>
      <c r="C276" s="836"/>
      <c r="D276" s="836"/>
      <c r="E276" s="837"/>
      <c r="F276" s="837"/>
      <c r="G276" s="838"/>
      <c r="H276" s="838"/>
      <c r="I276" s="839"/>
      <c r="J276" s="839"/>
      <c r="K276" s="840"/>
      <c r="L276" s="841"/>
      <c r="M276" s="841"/>
      <c r="N276" s="842"/>
      <c r="O276" s="842"/>
      <c r="P276" s="843"/>
      <c r="Q276" s="843"/>
      <c r="R276" s="843"/>
      <c r="S276" s="844">
        <f t="shared" si="49"/>
        <v>0</v>
      </c>
      <c r="T276" s="838"/>
      <c r="U276" s="842"/>
      <c r="V276" s="843"/>
      <c r="W276" s="843"/>
      <c r="X276" s="843"/>
      <c r="Y276" s="843"/>
      <c r="Z276" s="843"/>
      <c r="AA276" s="837"/>
      <c r="AB276" s="837"/>
      <c r="AC276" s="845">
        <f t="shared" si="50"/>
        <v>0</v>
      </c>
      <c r="AD276" s="846">
        <f t="shared" si="51"/>
        <v>0</v>
      </c>
      <c r="AE276" s="847">
        <f t="shared" si="52"/>
        <v>0</v>
      </c>
      <c r="AF276" s="855">
        <f t="shared" si="45"/>
        <v>0</v>
      </c>
      <c r="AG276" s="848">
        <f>IF('Input Sheet'!$C$15="Yes",'Input Sheet'!$F$8,0)</f>
        <v>0</v>
      </c>
      <c r="AH276" s="846">
        <f>IF('Input Sheet'!$C$15="Yes",Rates!$E$45,0)</f>
        <v>0</v>
      </c>
      <c r="AI276" s="849">
        <f>IF('Input Sheet'!$C$15="Yes",'Input Sheet'!$F$11,0)</f>
        <v>0</v>
      </c>
      <c r="AJ276" s="850">
        <f>IF('Input Sheet'!$C$15="Yes",'Input Sheet'!$F$7,0)</f>
        <v>0</v>
      </c>
      <c r="AK276" s="856">
        <f t="shared" si="46"/>
        <v>0</v>
      </c>
      <c r="AL276" s="856">
        <f t="shared" si="47"/>
        <v>0</v>
      </c>
      <c r="AM276" s="856">
        <f t="shared" si="53"/>
        <v>0</v>
      </c>
      <c r="AN276" s="856">
        <f t="shared" si="48"/>
        <v>0</v>
      </c>
      <c r="AO276" s="852">
        <f t="shared" si="54"/>
        <v>0</v>
      </c>
      <c r="AP276" s="853">
        <f t="shared" si="55"/>
        <v>0</v>
      </c>
      <c r="AQ276" s="854">
        <f>IFERROR(P276*'Input Sheet'!$F$8/(((AI276)*AK276*2)-AN276),0)</f>
        <v>0</v>
      </c>
      <c r="AR276" s="854">
        <f>IFERROR(($P276-$AF276)*'Input Sheet'!$F$8/(((AI276)*AK276*2)-AN276),0)</f>
        <v>0</v>
      </c>
    </row>
    <row r="277" spans="2:44" s="798" customFormat="1" ht="30" customHeight="1" thickBot="1" x14ac:dyDescent="0.3">
      <c r="B277" s="835"/>
      <c r="C277" s="836"/>
      <c r="D277" s="836"/>
      <c r="E277" s="837"/>
      <c r="F277" s="837"/>
      <c r="G277" s="838"/>
      <c r="H277" s="838"/>
      <c r="I277" s="839"/>
      <c r="J277" s="839"/>
      <c r="K277" s="840"/>
      <c r="L277" s="841"/>
      <c r="M277" s="841"/>
      <c r="N277" s="842"/>
      <c r="O277" s="842"/>
      <c r="P277" s="843"/>
      <c r="Q277" s="843"/>
      <c r="R277" s="843"/>
      <c r="S277" s="844">
        <f t="shared" si="49"/>
        <v>0</v>
      </c>
      <c r="T277" s="838"/>
      <c r="U277" s="842"/>
      <c r="V277" s="843"/>
      <c r="W277" s="843"/>
      <c r="X277" s="843"/>
      <c r="Y277" s="843"/>
      <c r="Z277" s="843"/>
      <c r="AA277" s="837"/>
      <c r="AB277" s="837"/>
      <c r="AC277" s="845">
        <f t="shared" si="50"/>
        <v>0</v>
      </c>
      <c r="AD277" s="846">
        <f t="shared" si="51"/>
        <v>0</v>
      </c>
      <c r="AE277" s="847">
        <f t="shared" si="52"/>
        <v>0</v>
      </c>
      <c r="AF277" s="855">
        <f t="shared" si="45"/>
        <v>0</v>
      </c>
      <c r="AG277" s="848">
        <f>IF('Input Sheet'!$C$15="Yes",'Input Sheet'!$F$8,0)</f>
        <v>0</v>
      </c>
      <c r="AH277" s="846">
        <f>IF('Input Sheet'!$C$15="Yes",Rates!$E$45,0)</f>
        <v>0</v>
      </c>
      <c r="AI277" s="849">
        <f>IF('Input Sheet'!$C$15="Yes",'Input Sheet'!$F$11,0)</f>
        <v>0</v>
      </c>
      <c r="AJ277" s="850">
        <f>IF('Input Sheet'!$C$15="Yes",'Input Sheet'!$F$7,0)</f>
        <v>0</v>
      </c>
      <c r="AK277" s="856">
        <f t="shared" si="46"/>
        <v>0</v>
      </c>
      <c r="AL277" s="856">
        <f t="shared" si="47"/>
        <v>0</v>
      </c>
      <c r="AM277" s="856">
        <f t="shared" si="53"/>
        <v>0</v>
      </c>
      <c r="AN277" s="856">
        <f t="shared" si="48"/>
        <v>0</v>
      </c>
      <c r="AO277" s="852">
        <f t="shared" si="54"/>
        <v>0</v>
      </c>
      <c r="AP277" s="853">
        <f t="shared" si="55"/>
        <v>0</v>
      </c>
      <c r="AQ277" s="854">
        <f>IFERROR(P277*'Input Sheet'!$F$8/(((AI277)*AK277*2)-AN277),0)</f>
        <v>0</v>
      </c>
      <c r="AR277" s="854">
        <f>IFERROR(($P277-$AF277)*'Input Sheet'!$F$8/(((AI277)*AK277*2)-AN277),0)</f>
        <v>0</v>
      </c>
    </row>
    <row r="278" spans="2:44" s="798" customFormat="1" ht="30" customHeight="1" thickBot="1" x14ac:dyDescent="0.3">
      <c r="B278" s="835"/>
      <c r="C278" s="836"/>
      <c r="D278" s="836"/>
      <c r="E278" s="837"/>
      <c r="F278" s="837"/>
      <c r="G278" s="838"/>
      <c r="H278" s="838"/>
      <c r="I278" s="839"/>
      <c r="J278" s="839"/>
      <c r="K278" s="840"/>
      <c r="L278" s="841"/>
      <c r="M278" s="841"/>
      <c r="N278" s="842"/>
      <c r="O278" s="842"/>
      <c r="P278" s="843"/>
      <c r="Q278" s="843"/>
      <c r="R278" s="843"/>
      <c r="S278" s="844">
        <f t="shared" si="49"/>
        <v>0</v>
      </c>
      <c r="T278" s="838"/>
      <c r="U278" s="842"/>
      <c r="V278" s="843"/>
      <c r="W278" s="843"/>
      <c r="X278" s="843"/>
      <c r="Y278" s="843"/>
      <c r="Z278" s="843"/>
      <c r="AA278" s="837"/>
      <c r="AB278" s="837"/>
      <c r="AC278" s="845">
        <f t="shared" si="50"/>
        <v>0</v>
      </c>
      <c r="AD278" s="846">
        <f t="shared" si="51"/>
        <v>0</v>
      </c>
      <c r="AE278" s="847">
        <f t="shared" si="52"/>
        <v>0</v>
      </c>
      <c r="AF278" s="855">
        <f t="shared" si="45"/>
        <v>0</v>
      </c>
      <c r="AG278" s="848">
        <f>IF('Input Sheet'!$C$15="Yes",'Input Sheet'!$F$8,0)</f>
        <v>0</v>
      </c>
      <c r="AH278" s="846">
        <f>IF('Input Sheet'!$C$15="Yes",Rates!$E$45,0)</f>
        <v>0</v>
      </c>
      <c r="AI278" s="849">
        <f>IF('Input Sheet'!$C$15="Yes",'Input Sheet'!$F$11,0)</f>
        <v>0</v>
      </c>
      <c r="AJ278" s="850">
        <f>IF('Input Sheet'!$C$15="Yes",'Input Sheet'!$F$7,0)</f>
        <v>0</v>
      </c>
      <c r="AK278" s="856">
        <f t="shared" si="46"/>
        <v>0</v>
      </c>
      <c r="AL278" s="856">
        <f t="shared" si="47"/>
        <v>0</v>
      </c>
      <c r="AM278" s="856">
        <f t="shared" si="53"/>
        <v>0</v>
      </c>
      <c r="AN278" s="856">
        <f t="shared" si="48"/>
        <v>0</v>
      </c>
      <c r="AO278" s="852">
        <f t="shared" si="54"/>
        <v>0</v>
      </c>
      <c r="AP278" s="853">
        <f t="shared" si="55"/>
        <v>0</v>
      </c>
      <c r="AQ278" s="854">
        <f>IFERROR(P278*'Input Sheet'!$F$8/(((AI278)*AK278*2)-AN278),0)</f>
        <v>0</v>
      </c>
      <c r="AR278" s="854">
        <f>IFERROR(($P278-$AF278)*'Input Sheet'!$F$8/(((AI278)*AK278*2)-AN278),0)</f>
        <v>0</v>
      </c>
    </row>
    <row r="279" spans="2:44" s="798" customFormat="1" ht="30" customHeight="1" thickBot="1" x14ac:dyDescent="0.3">
      <c r="B279" s="835"/>
      <c r="C279" s="836"/>
      <c r="D279" s="836"/>
      <c r="E279" s="837"/>
      <c r="F279" s="837"/>
      <c r="G279" s="838"/>
      <c r="H279" s="838"/>
      <c r="I279" s="839"/>
      <c r="J279" s="839"/>
      <c r="K279" s="840"/>
      <c r="L279" s="841"/>
      <c r="M279" s="841"/>
      <c r="N279" s="842"/>
      <c r="O279" s="842"/>
      <c r="P279" s="843"/>
      <c r="Q279" s="843"/>
      <c r="R279" s="843"/>
      <c r="S279" s="844">
        <f t="shared" si="49"/>
        <v>0</v>
      </c>
      <c r="T279" s="838"/>
      <c r="U279" s="842"/>
      <c r="V279" s="843"/>
      <c r="W279" s="843"/>
      <c r="X279" s="843"/>
      <c r="Y279" s="843"/>
      <c r="Z279" s="843"/>
      <c r="AA279" s="837"/>
      <c r="AB279" s="837"/>
      <c r="AC279" s="845">
        <f t="shared" si="50"/>
        <v>0</v>
      </c>
      <c r="AD279" s="846">
        <f t="shared" si="51"/>
        <v>0</v>
      </c>
      <c r="AE279" s="847">
        <f t="shared" si="52"/>
        <v>0</v>
      </c>
      <c r="AF279" s="855">
        <f t="shared" si="45"/>
        <v>0</v>
      </c>
      <c r="AG279" s="848">
        <f>IF('Input Sheet'!$C$15="Yes",'Input Sheet'!$F$8,0)</f>
        <v>0</v>
      </c>
      <c r="AH279" s="846">
        <f>IF('Input Sheet'!$C$15="Yes",Rates!$E$45,0)</f>
        <v>0</v>
      </c>
      <c r="AI279" s="849">
        <f>IF('Input Sheet'!$C$15="Yes",'Input Sheet'!$F$11,0)</f>
        <v>0</v>
      </c>
      <c r="AJ279" s="850">
        <f>IF('Input Sheet'!$C$15="Yes",'Input Sheet'!$F$7,0)</f>
        <v>0</v>
      </c>
      <c r="AK279" s="856">
        <f t="shared" si="46"/>
        <v>0</v>
      </c>
      <c r="AL279" s="856">
        <f t="shared" si="47"/>
        <v>0</v>
      </c>
      <c r="AM279" s="856">
        <f t="shared" si="53"/>
        <v>0</v>
      </c>
      <c r="AN279" s="856">
        <f t="shared" si="48"/>
        <v>0</v>
      </c>
      <c r="AO279" s="852">
        <f t="shared" si="54"/>
        <v>0</v>
      </c>
      <c r="AP279" s="853">
        <f t="shared" si="55"/>
        <v>0</v>
      </c>
      <c r="AQ279" s="854">
        <f>IFERROR(P279*'Input Sheet'!$F$8/(((AI279)*AK279*2)-AN279),0)</f>
        <v>0</v>
      </c>
      <c r="AR279" s="854">
        <f>IFERROR(($P279-$AF279)*'Input Sheet'!$F$8/(((AI279)*AK279*2)-AN279),0)</f>
        <v>0</v>
      </c>
    </row>
    <row r="280" spans="2:44" s="798" customFormat="1" ht="30" customHeight="1" thickBot="1" x14ac:dyDescent="0.3">
      <c r="B280" s="835"/>
      <c r="C280" s="836"/>
      <c r="D280" s="836"/>
      <c r="E280" s="837"/>
      <c r="F280" s="837"/>
      <c r="G280" s="838"/>
      <c r="H280" s="838"/>
      <c r="I280" s="839"/>
      <c r="J280" s="839"/>
      <c r="K280" s="840"/>
      <c r="L280" s="841"/>
      <c r="M280" s="841"/>
      <c r="N280" s="842"/>
      <c r="O280" s="842"/>
      <c r="P280" s="843"/>
      <c r="Q280" s="843"/>
      <c r="R280" s="843"/>
      <c r="S280" s="844">
        <f t="shared" si="49"/>
        <v>0</v>
      </c>
      <c r="T280" s="838"/>
      <c r="U280" s="842"/>
      <c r="V280" s="843"/>
      <c r="W280" s="843"/>
      <c r="X280" s="843"/>
      <c r="Y280" s="843"/>
      <c r="Z280" s="843"/>
      <c r="AA280" s="837"/>
      <c r="AB280" s="837"/>
      <c r="AC280" s="845">
        <f t="shared" si="50"/>
        <v>0</v>
      </c>
      <c r="AD280" s="846">
        <f t="shared" si="51"/>
        <v>0</v>
      </c>
      <c r="AE280" s="847">
        <f t="shared" si="52"/>
        <v>0</v>
      </c>
      <c r="AF280" s="855">
        <f t="shared" si="45"/>
        <v>0</v>
      </c>
      <c r="AG280" s="848">
        <f>IF('Input Sheet'!$C$15="Yes",'Input Sheet'!$F$8,0)</f>
        <v>0</v>
      </c>
      <c r="AH280" s="846">
        <f>IF('Input Sheet'!$C$15="Yes",Rates!$E$45,0)</f>
        <v>0</v>
      </c>
      <c r="AI280" s="849">
        <f>IF('Input Sheet'!$C$15="Yes",'Input Sheet'!$F$11,0)</f>
        <v>0</v>
      </c>
      <c r="AJ280" s="850">
        <f>IF('Input Sheet'!$C$15="Yes",'Input Sheet'!$F$7,0)</f>
        <v>0</v>
      </c>
      <c r="AK280" s="856">
        <f t="shared" si="46"/>
        <v>0</v>
      </c>
      <c r="AL280" s="856">
        <f t="shared" si="47"/>
        <v>0</v>
      </c>
      <c r="AM280" s="856">
        <f t="shared" si="53"/>
        <v>0</v>
      </c>
      <c r="AN280" s="856">
        <f t="shared" si="48"/>
        <v>0</v>
      </c>
      <c r="AO280" s="852">
        <f t="shared" si="54"/>
        <v>0</v>
      </c>
      <c r="AP280" s="853">
        <f t="shared" si="55"/>
        <v>0</v>
      </c>
      <c r="AQ280" s="854">
        <f>IFERROR(P280*'Input Sheet'!$F$8/(((AI280)*AK280*2)-AN280),0)</f>
        <v>0</v>
      </c>
      <c r="AR280" s="854">
        <f>IFERROR(($P280-$AF280)*'Input Sheet'!$F$8/(((AI280)*AK280*2)-AN280),0)</f>
        <v>0</v>
      </c>
    </row>
    <row r="281" spans="2:44" s="798" customFormat="1" ht="30" customHeight="1" thickBot="1" x14ac:dyDescent="0.3">
      <c r="B281" s="835"/>
      <c r="C281" s="836"/>
      <c r="D281" s="836"/>
      <c r="E281" s="837"/>
      <c r="F281" s="837"/>
      <c r="G281" s="838"/>
      <c r="H281" s="838"/>
      <c r="I281" s="839"/>
      <c r="J281" s="839"/>
      <c r="K281" s="840"/>
      <c r="L281" s="841"/>
      <c r="M281" s="841"/>
      <c r="N281" s="842"/>
      <c r="O281" s="842"/>
      <c r="P281" s="843"/>
      <c r="Q281" s="843"/>
      <c r="R281" s="843"/>
      <c r="S281" s="844">
        <f t="shared" si="49"/>
        <v>0</v>
      </c>
      <c r="T281" s="838"/>
      <c r="U281" s="842"/>
      <c r="V281" s="843"/>
      <c r="W281" s="843"/>
      <c r="X281" s="843"/>
      <c r="Y281" s="843"/>
      <c r="Z281" s="843"/>
      <c r="AA281" s="837"/>
      <c r="AB281" s="837"/>
      <c r="AC281" s="845">
        <f t="shared" si="50"/>
        <v>0</v>
      </c>
      <c r="AD281" s="846">
        <f t="shared" si="51"/>
        <v>0</v>
      </c>
      <c r="AE281" s="847">
        <f t="shared" si="52"/>
        <v>0</v>
      </c>
      <c r="AF281" s="855">
        <f t="shared" si="45"/>
        <v>0</v>
      </c>
      <c r="AG281" s="848">
        <f>IF('Input Sheet'!$C$15="Yes",'Input Sheet'!$F$8,0)</f>
        <v>0</v>
      </c>
      <c r="AH281" s="846">
        <f>IF('Input Sheet'!$C$15="Yes",Rates!$E$45,0)</f>
        <v>0</v>
      </c>
      <c r="AI281" s="849">
        <f>IF('Input Sheet'!$C$15="Yes",'Input Sheet'!$F$11,0)</f>
        <v>0</v>
      </c>
      <c r="AJ281" s="850">
        <f>IF('Input Sheet'!$C$15="Yes",'Input Sheet'!$F$7,0)</f>
        <v>0</v>
      </c>
      <c r="AK281" s="856">
        <f t="shared" si="46"/>
        <v>0</v>
      </c>
      <c r="AL281" s="856">
        <f t="shared" si="47"/>
        <v>0</v>
      </c>
      <c r="AM281" s="856">
        <f t="shared" si="53"/>
        <v>0</v>
      </c>
      <c r="AN281" s="856">
        <f t="shared" si="48"/>
        <v>0</v>
      </c>
      <c r="AO281" s="852">
        <f t="shared" si="54"/>
        <v>0</v>
      </c>
      <c r="AP281" s="853">
        <f t="shared" si="55"/>
        <v>0</v>
      </c>
      <c r="AQ281" s="854">
        <f>IFERROR(P281*'Input Sheet'!$F$8/(((AI281)*AK281*2)-AN281),0)</f>
        <v>0</v>
      </c>
      <c r="AR281" s="854">
        <f>IFERROR(($P281-$AF281)*'Input Sheet'!$F$8/(((AI281)*AK281*2)-AN281),0)</f>
        <v>0</v>
      </c>
    </row>
    <row r="282" spans="2:44" s="798" customFormat="1" ht="30" customHeight="1" thickBot="1" x14ac:dyDescent="0.3">
      <c r="B282" s="835"/>
      <c r="C282" s="836"/>
      <c r="D282" s="836"/>
      <c r="E282" s="837"/>
      <c r="F282" s="837"/>
      <c r="G282" s="838"/>
      <c r="H282" s="838"/>
      <c r="I282" s="839"/>
      <c r="J282" s="839"/>
      <c r="K282" s="840"/>
      <c r="L282" s="841"/>
      <c r="M282" s="841"/>
      <c r="N282" s="842"/>
      <c r="O282" s="842"/>
      <c r="P282" s="843"/>
      <c r="Q282" s="843"/>
      <c r="R282" s="843"/>
      <c r="S282" s="844">
        <f t="shared" si="49"/>
        <v>0</v>
      </c>
      <c r="T282" s="838"/>
      <c r="U282" s="842"/>
      <c r="V282" s="843"/>
      <c r="W282" s="843"/>
      <c r="X282" s="843"/>
      <c r="Y282" s="843"/>
      <c r="Z282" s="843"/>
      <c r="AA282" s="837"/>
      <c r="AB282" s="837"/>
      <c r="AC282" s="845">
        <f t="shared" si="50"/>
        <v>0</v>
      </c>
      <c r="AD282" s="846">
        <f t="shared" si="51"/>
        <v>0</v>
      </c>
      <c r="AE282" s="847">
        <f t="shared" si="52"/>
        <v>0</v>
      </c>
      <c r="AF282" s="855">
        <f t="shared" si="45"/>
        <v>0</v>
      </c>
      <c r="AG282" s="848">
        <f>IF('Input Sheet'!$C$15="Yes",'Input Sheet'!$F$8,0)</f>
        <v>0</v>
      </c>
      <c r="AH282" s="846">
        <f>IF('Input Sheet'!$C$15="Yes",Rates!$E$45,0)</f>
        <v>0</v>
      </c>
      <c r="AI282" s="849">
        <f>IF('Input Sheet'!$C$15="Yes",'Input Sheet'!$F$11,0)</f>
        <v>0</v>
      </c>
      <c r="AJ282" s="850">
        <f>IF('Input Sheet'!$C$15="Yes",'Input Sheet'!$F$7,0)</f>
        <v>0</v>
      </c>
      <c r="AK282" s="856">
        <f t="shared" si="46"/>
        <v>0</v>
      </c>
      <c r="AL282" s="856">
        <f t="shared" si="47"/>
        <v>0</v>
      </c>
      <c r="AM282" s="856">
        <f t="shared" si="53"/>
        <v>0</v>
      </c>
      <c r="AN282" s="856">
        <f t="shared" si="48"/>
        <v>0</v>
      </c>
      <c r="AO282" s="852">
        <f t="shared" si="54"/>
        <v>0</v>
      </c>
      <c r="AP282" s="853">
        <f t="shared" si="55"/>
        <v>0</v>
      </c>
      <c r="AQ282" s="854">
        <f>IFERROR(P282*'Input Sheet'!$F$8/(((AI282)*AK282*2)-AN282),0)</f>
        <v>0</v>
      </c>
      <c r="AR282" s="854">
        <f>IFERROR(($P282-$AF282)*'Input Sheet'!$F$8/(((AI282)*AK282*2)-AN282),0)</f>
        <v>0</v>
      </c>
    </row>
    <row r="283" spans="2:44" s="798" customFormat="1" ht="30" customHeight="1" thickBot="1" x14ac:dyDescent="0.3">
      <c r="B283" s="835"/>
      <c r="C283" s="836"/>
      <c r="D283" s="836"/>
      <c r="E283" s="837"/>
      <c r="F283" s="837"/>
      <c r="G283" s="838"/>
      <c r="H283" s="838"/>
      <c r="I283" s="839"/>
      <c r="J283" s="839"/>
      <c r="K283" s="840"/>
      <c r="L283" s="841"/>
      <c r="M283" s="841"/>
      <c r="N283" s="842"/>
      <c r="O283" s="842"/>
      <c r="P283" s="843"/>
      <c r="Q283" s="843"/>
      <c r="R283" s="843"/>
      <c r="S283" s="844">
        <f t="shared" si="49"/>
        <v>0</v>
      </c>
      <c r="T283" s="838"/>
      <c r="U283" s="842"/>
      <c r="V283" s="843"/>
      <c r="W283" s="843"/>
      <c r="X283" s="843"/>
      <c r="Y283" s="843"/>
      <c r="Z283" s="843"/>
      <c r="AA283" s="837"/>
      <c r="AB283" s="837"/>
      <c r="AC283" s="845">
        <f t="shared" si="50"/>
        <v>0</v>
      </c>
      <c r="AD283" s="846">
        <f t="shared" si="51"/>
        <v>0</v>
      </c>
      <c r="AE283" s="847">
        <f t="shared" si="52"/>
        <v>0</v>
      </c>
      <c r="AF283" s="855">
        <f t="shared" si="45"/>
        <v>0</v>
      </c>
      <c r="AG283" s="848">
        <f>IF('Input Sheet'!$C$15="Yes",'Input Sheet'!$F$8,0)</f>
        <v>0</v>
      </c>
      <c r="AH283" s="846">
        <f>IF('Input Sheet'!$C$15="Yes",Rates!$E$45,0)</f>
        <v>0</v>
      </c>
      <c r="AI283" s="849">
        <f>IF('Input Sheet'!$C$15="Yes",'Input Sheet'!$F$11,0)</f>
        <v>0</v>
      </c>
      <c r="AJ283" s="850">
        <f>IF('Input Sheet'!$C$15="Yes",'Input Sheet'!$F$7,0)</f>
        <v>0</v>
      </c>
      <c r="AK283" s="856">
        <f t="shared" si="46"/>
        <v>0</v>
      </c>
      <c r="AL283" s="856">
        <f t="shared" si="47"/>
        <v>0</v>
      </c>
      <c r="AM283" s="856">
        <f t="shared" si="53"/>
        <v>0</v>
      </c>
      <c r="AN283" s="856">
        <f t="shared" si="48"/>
        <v>0</v>
      </c>
      <c r="AO283" s="852">
        <f t="shared" si="54"/>
        <v>0</v>
      </c>
      <c r="AP283" s="853">
        <f t="shared" si="55"/>
        <v>0</v>
      </c>
      <c r="AQ283" s="854">
        <f>IFERROR(P283*'Input Sheet'!$F$8/(((AI283)*AK283*2)-AN283),0)</f>
        <v>0</v>
      </c>
      <c r="AR283" s="854">
        <f>IFERROR(($P283-$AF283)*'Input Sheet'!$F$8/(((AI283)*AK283*2)-AN283),0)</f>
        <v>0</v>
      </c>
    </row>
    <row r="284" spans="2:44" s="798" customFormat="1" ht="30" customHeight="1" thickBot="1" x14ac:dyDescent="0.3">
      <c r="B284" s="835"/>
      <c r="C284" s="836"/>
      <c r="D284" s="836"/>
      <c r="E284" s="837"/>
      <c r="F284" s="837"/>
      <c r="G284" s="838"/>
      <c r="H284" s="838"/>
      <c r="I284" s="839"/>
      <c r="J284" s="839"/>
      <c r="K284" s="840"/>
      <c r="L284" s="841"/>
      <c r="M284" s="841"/>
      <c r="N284" s="842"/>
      <c r="O284" s="842"/>
      <c r="P284" s="843"/>
      <c r="Q284" s="843"/>
      <c r="R284" s="843"/>
      <c r="S284" s="844">
        <f t="shared" si="49"/>
        <v>0</v>
      </c>
      <c r="T284" s="838"/>
      <c r="U284" s="842"/>
      <c r="V284" s="843"/>
      <c r="W284" s="843"/>
      <c r="X284" s="843"/>
      <c r="Y284" s="843"/>
      <c r="Z284" s="843"/>
      <c r="AA284" s="837"/>
      <c r="AB284" s="837"/>
      <c r="AC284" s="845">
        <f t="shared" si="50"/>
        <v>0</v>
      </c>
      <c r="AD284" s="846">
        <f t="shared" si="51"/>
        <v>0</v>
      </c>
      <c r="AE284" s="847">
        <f t="shared" si="52"/>
        <v>0</v>
      </c>
      <c r="AF284" s="855">
        <f t="shared" si="45"/>
        <v>0</v>
      </c>
      <c r="AG284" s="848">
        <f>IF('Input Sheet'!$C$15="Yes",'Input Sheet'!$F$8,0)</f>
        <v>0</v>
      </c>
      <c r="AH284" s="846">
        <f>IF('Input Sheet'!$C$15="Yes",Rates!$E$45,0)</f>
        <v>0</v>
      </c>
      <c r="AI284" s="849">
        <f>IF('Input Sheet'!$C$15="Yes",'Input Sheet'!$F$11,0)</f>
        <v>0</v>
      </c>
      <c r="AJ284" s="850">
        <f>IF('Input Sheet'!$C$15="Yes",'Input Sheet'!$F$7,0)</f>
        <v>0</v>
      </c>
      <c r="AK284" s="856">
        <f t="shared" si="46"/>
        <v>0</v>
      </c>
      <c r="AL284" s="856">
        <f t="shared" si="47"/>
        <v>0</v>
      </c>
      <c r="AM284" s="856">
        <f t="shared" si="53"/>
        <v>0</v>
      </c>
      <c r="AN284" s="856">
        <f t="shared" si="48"/>
        <v>0</v>
      </c>
      <c r="AO284" s="852">
        <f t="shared" si="54"/>
        <v>0</v>
      </c>
      <c r="AP284" s="853">
        <f t="shared" si="55"/>
        <v>0</v>
      </c>
      <c r="AQ284" s="854">
        <f>IFERROR(P284*'Input Sheet'!$F$8/(((AI284)*AK284*2)-AN284),0)</f>
        <v>0</v>
      </c>
      <c r="AR284" s="854">
        <f>IFERROR(($P284-$AF284)*'Input Sheet'!$F$8/(((AI284)*AK284*2)-AN284),0)</f>
        <v>0</v>
      </c>
    </row>
    <row r="285" spans="2:44" s="798" customFormat="1" ht="30" customHeight="1" thickBot="1" x14ac:dyDescent="0.3">
      <c r="B285" s="835"/>
      <c r="C285" s="836"/>
      <c r="D285" s="836"/>
      <c r="E285" s="837"/>
      <c r="F285" s="837"/>
      <c r="G285" s="838"/>
      <c r="H285" s="838"/>
      <c r="I285" s="839"/>
      <c r="J285" s="839"/>
      <c r="K285" s="840"/>
      <c r="L285" s="841"/>
      <c r="M285" s="841"/>
      <c r="N285" s="842"/>
      <c r="O285" s="842"/>
      <c r="P285" s="843"/>
      <c r="Q285" s="843"/>
      <c r="R285" s="843"/>
      <c r="S285" s="844">
        <f t="shared" si="49"/>
        <v>0</v>
      </c>
      <c r="T285" s="838"/>
      <c r="U285" s="842"/>
      <c r="V285" s="843"/>
      <c r="W285" s="843"/>
      <c r="X285" s="843"/>
      <c r="Y285" s="843"/>
      <c r="Z285" s="843"/>
      <c r="AA285" s="837"/>
      <c r="AB285" s="837"/>
      <c r="AC285" s="845">
        <f t="shared" si="50"/>
        <v>0</v>
      </c>
      <c r="AD285" s="846">
        <f t="shared" si="51"/>
        <v>0</v>
      </c>
      <c r="AE285" s="847">
        <f t="shared" si="52"/>
        <v>0</v>
      </c>
      <c r="AF285" s="855">
        <f t="shared" si="45"/>
        <v>0</v>
      </c>
      <c r="AG285" s="848">
        <f>IF('Input Sheet'!$C$15="Yes",'Input Sheet'!$F$8,0)</f>
        <v>0</v>
      </c>
      <c r="AH285" s="846">
        <f>IF('Input Sheet'!$C$15="Yes",Rates!$E$45,0)</f>
        <v>0</v>
      </c>
      <c r="AI285" s="849">
        <f>IF('Input Sheet'!$C$15="Yes",'Input Sheet'!$F$11,0)</f>
        <v>0</v>
      </c>
      <c r="AJ285" s="850">
        <f>IF('Input Sheet'!$C$15="Yes",'Input Sheet'!$F$7,0)</f>
        <v>0</v>
      </c>
      <c r="AK285" s="856">
        <f t="shared" si="46"/>
        <v>0</v>
      </c>
      <c r="AL285" s="856">
        <f t="shared" si="47"/>
        <v>0</v>
      </c>
      <c r="AM285" s="856">
        <f t="shared" si="53"/>
        <v>0</v>
      </c>
      <c r="AN285" s="856">
        <f t="shared" si="48"/>
        <v>0</v>
      </c>
      <c r="AO285" s="852">
        <f t="shared" si="54"/>
        <v>0</v>
      </c>
      <c r="AP285" s="853">
        <f t="shared" si="55"/>
        <v>0</v>
      </c>
      <c r="AQ285" s="854">
        <f>IFERROR(P285*'Input Sheet'!$F$8/(((AI285)*AK285*2)-AN285),0)</f>
        <v>0</v>
      </c>
      <c r="AR285" s="854">
        <f>IFERROR(($P285-$AF285)*'Input Sheet'!$F$8/(((AI285)*AK285*2)-AN285),0)</f>
        <v>0</v>
      </c>
    </row>
    <row r="286" spans="2:44" s="798" customFormat="1" ht="30" customHeight="1" thickBot="1" x14ac:dyDescent="0.3">
      <c r="B286" s="835"/>
      <c r="C286" s="836"/>
      <c r="D286" s="836"/>
      <c r="E286" s="837"/>
      <c r="F286" s="837"/>
      <c r="G286" s="838"/>
      <c r="H286" s="838"/>
      <c r="I286" s="839"/>
      <c r="J286" s="839"/>
      <c r="K286" s="840"/>
      <c r="L286" s="841"/>
      <c r="M286" s="841"/>
      <c r="N286" s="842"/>
      <c r="O286" s="842"/>
      <c r="P286" s="843"/>
      <c r="Q286" s="843"/>
      <c r="R286" s="843"/>
      <c r="S286" s="844">
        <f t="shared" si="49"/>
        <v>0</v>
      </c>
      <c r="T286" s="838"/>
      <c r="U286" s="842"/>
      <c r="V286" s="843"/>
      <c r="W286" s="843"/>
      <c r="X286" s="843"/>
      <c r="Y286" s="843"/>
      <c r="Z286" s="843"/>
      <c r="AA286" s="837"/>
      <c r="AB286" s="837"/>
      <c r="AC286" s="845">
        <f t="shared" si="50"/>
        <v>0</v>
      </c>
      <c r="AD286" s="846">
        <f t="shared" si="51"/>
        <v>0</v>
      </c>
      <c r="AE286" s="847">
        <f t="shared" si="52"/>
        <v>0</v>
      </c>
      <c r="AF286" s="855">
        <f t="shared" si="45"/>
        <v>0</v>
      </c>
      <c r="AG286" s="848">
        <f>IF('Input Sheet'!$C$15="Yes",'Input Sheet'!$F$8,0)</f>
        <v>0</v>
      </c>
      <c r="AH286" s="846">
        <f>IF('Input Sheet'!$C$15="Yes",Rates!$E$45,0)</f>
        <v>0</v>
      </c>
      <c r="AI286" s="849">
        <f>IF('Input Sheet'!$C$15="Yes",'Input Sheet'!$F$11,0)</f>
        <v>0</v>
      </c>
      <c r="AJ286" s="850">
        <f>IF('Input Sheet'!$C$15="Yes",'Input Sheet'!$F$7,0)</f>
        <v>0</v>
      </c>
      <c r="AK286" s="856">
        <f t="shared" si="46"/>
        <v>0</v>
      </c>
      <c r="AL286" s="856">
        <f t="shared" si="47"/>
        <v>0</v>
      </c>
      <c r="AM286" s="856">
        <f t="shared" si="53"/>
        <v>0</v>
      </c>
      <c r="AN286" s="856">
        <f t="shared" si="48"/>
        <v>0</v>
      </c>
      <c r="AO286" s="852">
        <f t="shared" si="54"/>
        <v>0</v>
      </c>
      <c r="AP286" s="853">
        <f t="shared" si="55"/>
        <v>0</v>
      </c>
      <c r="AQ286" s="854">
        <f>IFERROR(P286*'Input Sheet'!$F$8/(((AI286)*AK286*2)-AN286),0)</f>
        <v>0</v>
      </c>
      <c r="AR286" s="854">
        <f>IFERROR(($P286-$AF286)*'Input Sheet'!$F$8/(((AI286)*AK286*2)-AN286),0)</f>
        <v>0</v>
      </c>
    </row>
    <row r="287" spans="2:44" s="798" customFormat="1" ht="30" customHeight="1" thickBot="1" x14ac:dyDescent="0.3">
      <c r="B287" s="835"/>
      <c r="C287" s="836"/>
      <c r="D287" s="836"/>
      <c r="E287" s="837"/>
      <c r="F287" s="837"/>
      <c r="G287" s="838"/>
      <c r="H287" s="838"/>
      <c r="I287" s="839"/>
      <c r="J287" s="839"/>
      <c r="K287" s="840"/>
      <c r="L287" s="841"/>
      <c r="M287" s="841"/>
      <c r="N287" s="842"/>
      <c r="O287" s="842"/>
      <c r="P287" s="843"/>
      <c r="Q287" s="843"/>
      <c r="R287" s="843"/>
      <c r="S287" s="844">
        <f t="shared" si="49"/>
        <v>0</v>
      </c>
      <c r="T287" s="838"/>
      <c r="U287" s="842"/>
      <c r="V287" s="843"/>
      <c r="W287" s="843"/>
      <c r="X287" s="843"/>
      <c r="Y287" s="843"/>
      <c r="Z287" s="843"/>
      <c r="AA287" s="837"/>
      <c r="AB287" s="837"/>
      <c r="AC287" s="845">
        <f t="shared" si="50"/>
        <v>0</v>
      </c>
      <c r="AD287" s="846">
        <f t="shared" si="51"/>
        <v>0</v>
      </c>
      <c r="AE287" s="847">
        <f t="shared" si="52"/>
        <v>0</v>
      </c>
      <c r="AF287" s="855">
        <f t="shared" si="45"/>
        <v>0</v>
      </c>
      <c r="AG287" s="848">
        <f>IF('Input Sheet'!$C$15="Yes",'Input Sheet'!$F$8,0)</f>
        <v>0</v>
      </c>
      <c r="AH287" s="846">
        <f>IF('Input Sheet'!$C$15="Yes",Rates!$E$45,0)</f>
        <v>0</v>
      </c>
      <c r="AI287" s="849">
        <f>IF('Input Sheet'!$C$15="Yes",'Input Sheet'!$F$11,0)</f>
        <v>0</v>
      </c>
      <c r="AJ287" s="850">
        <f>IF('Input Sheet'!$C$15="Yes",'Input Sheet'!$F$7,0)</f>
        <v>0</v>
      </c>
      <c r="AK287" s="856">
        <f t="shared" si="46"/>
        <v>0</v>
      </c>
      <c r="AL287" s="856">
        <f t="shared" si="47"/>
        <v>0</v>
      </c>
      <c r="AM287" s="856">
        <f t="shared" si="53"/>
        <v>0</v>
      </c>
      <c r="AN287" s="856">
        <f t="shared" si="48"/>
        <v>0</v>
      </c>
      <c r="AO287" s="852">
        <f t="shared" si="54"/>
        <v>0</v>
      </c>
      <c r="AP287" s="853">
        <f t="shared" si="55"/>
        <v>0</v>
      </c>
      <c r="AQ287" s="854">
        <f>IFERROR(P287*'Input Sheet'!$F$8/(((AI287)*AK287*2)-AN287),0)</f>
        <v>0</v>
      </c>
      <c r="AR287" s="854">
        <f>IFERROR(($P287-$AF287)*'Input Sheet'!$F$8/(((AI287)*AK287*2)-AN287),0)</f>
        <v>0</v>
      </c>
    </row>
    <row r="288" spans="2:44" s="798" customFormat="1" ht="30" customHeight="1" thickBot="1" x14ac:dyDescent="0.3">
      <c r="B288" s="835"/>
      <c r="C288" s="836"/>
      <c r="D288" s="836"/>
      <c r="E288" s="837"/>
      <c r="F288" s="837"/>
      <c r="G288" s="838"/>
      <c r="H288" s="838"/>
      <c r="I288" s="839"/>
      <c r="J288" s="839"/>
      <c r="K288" s="840"/>
      <c r="L288" s="841"/>
      <c r="M288" s="841"/>
      <c r="N288" s="842"/>
      <c r="O288" s="842"/>
      <c r="P288" s="843"/>
      <c r="Q288" s="843"/>
      <c r="R288" s="843"/>
      <c r="S288" s="844">
        <f t="shared" si="49"/>
        <v>0</v>
      </c>
      <c r="T288" s="838"/>
      <c r="U288" s="842"/>
      <c r="V288" s="843"/>
      <c r="W288" s="843"/>
      <c r="X288" s="843"/>
      <c r="Y288" s="843"/>
      <c r="Z288" s="843"/>
      <c r="AA288" s="837"/>
      <c r="AB288" s="837"/>
      <c r="AC288" s="845">
        <f t="shared" si="50"/>
        <v>0</v>
      </c>
      <c r="AD288" s="846">
        <f t="shared" si="51"/>
        <v>0</v>
      </c>
      <c r="AE288" s="847">
        <f t="shared" si="52"/>
        <v>0</v>
      </c>
      <c r="AF288" s="855">
        <f t="shared" si="45"/>
        <v>0</v>
      </c>
      <c r="AG288" s="848">
        <f>IF('Input Sheet'!$C$15="Yes",'Input Sheet'!$F$8,0)</f>
        <v>0</v>
      </c>
      <c r="AH288" s="846">
        <f>IF('Input Sheet'!$C$15="Yes",Rates!$E$45,0)</f>
        <v>0</v>
      </c>
      <c r="AI288" s="849">
        <f>IF('Input Sheet'!$C$15="Yes",'Input Sheet'!$F$11,0)</f>
        <v>0</v>
      </c>
      <c r="AJ288" s="850">
        <f>IF('Input Sheet'!$C$15="Yes",'Input Sheet'!$F$7,0)</f>
        <v>0</v>
      </c>
      <c r="AK288" s="856">
        <f t="shared" si="46"/>
        <v>0</v>
      </c>
      <c r="AL288" s="856">
        <f t="shared" si="47"/>
        <v>0</v>
      </c>
      <c r="AM288" s="856">
        <f t="shared" si="53"/>
        <v>0</v>
      </c>
      <c r="AN288" s="856">
        <f t="shared" si="48"/>
        <v>0</v>
      </c>
      <c r="AO288" s="852">
        <f t="shared" si="54"/>
        <v>0</v>
      </c>
      <c r="AP288" s="853">
        <f t="shared" si="55"/>
        <v>0</v>
      </c>
      <c r="AQ288" s="854">
        <f>IFERROR(P288*'Input Sheet'!$F$8/(((AI288)*AK288*2)-AN288),0)</f>
        <v>0</v>
      </c>
      <c r="AR288" s="854">
        <f>IFERROR(($P288-$AF288)*'Input Sheet'!$F$8/(((AI288)*AK288*2)-AN288),0)</f>
        <v>0</v>
      </c>
    </row>
    <row r="289" spans="2:44" s="798" customFormat="1" ht="30" customHeight="1" thickBot="1" x14ac:dyDescent="0.3">
      <c r="B289" s="835"/>
      <c r="C289" s="836"/>
      <c r="D289" s="836"/>
      <c r="E289" s="837"/>
      <c r="F289" s="837"/>
      <c r="G289" s="838"/>
      <c r="H289" s="838"/>
      <c r="I289" s="839"/>
      <c r="J289" s="839"/>
      <c r="K289" s="840"/>
      <c r="L289" s="841"/>
      <c r="M289" s="841"/>
      <c r="N289" s="842"/>
      <c r="O289" s="842"/>
      <c r="P289" s="843"/>
      <c r="Q289" s="843"/>
      <c r="R289" s="843"/>
      <c r="S289" s="844">
        <f t="shared" si="49"/>
        <v>0</v>
      </c>
      <c r="T289" s="838"/>
      <c r="U289" s="842"/>
      <c r="V289" s="843"/>
      <c r="W289" s="843"/>
      <c r="X289" s="843"/>
      <c r="Y289" s="843"/>
      <c r="Z289" s="843"/>
      <c r="AA289" s="837"/>
      <c r="AB289" s="837"/>
      <c r="AC289" s="845">
        <f t="shared" si="50"/>
        <v>0</v>
      </c>
      <c r="AD289" s="846">
        <f t="shared" si="51"/>
        <v>0</v>
      </c>
      <c r="AE289" s="847">
        <f t="shared" si="52"/>
        <v>0</v>
      </c>
      <c r="AF289" s="855">
        <f t="shared" si="45"/>
        <v>0</v>
      </c>
      <c r="AG289" s="848">
        <f>IF('Input Sheet'!$C$15="Yes",'Input Sheet'!$F$8,0)</f>
        <v>0</v>
      </c>
      <c r="AH289" s="846">
        <f>IF('Input Sheet'!$C$15="Yes",Rates!$E$45,0)</f>
        <v>0</v>
      </c>
      <c r="AI289" s="849">
        <f>IF('Input Sheet'!$C$15="Yes",'Input Sheet'!$F$11,0)</f>
        <v>0</v>
      </c>
      <c r="AJ289" s="850">
        <f>IF('Input Sheet'!$C$15="Yes",'Input Sheet'!$F$7,0)</f>
        <v>0</v>
      </c>
      <c r="AK289" s="856">
        <f t="shared" si="46"/>
        <v>0</v>
      </c>
      <c r="AL289" s="856">
        <f t="shared" si="47"/>
        <v>0</v>
      </c>
      <c r="AM289" s="856">
        <f t="shared" si="53"/>
        <v>0</v>
      </c>
      <c r="AN289" s="856">
        <f t="shared" si="48"/>
        <v>0</v>
      </c>
      <c r="AO289" s="852">
        <f t="shared" si="54"/>
        <v>0</v>
      </c>
      <c r="AP289" s="853">
        <f t="shared" si="55"/>
        <v>0</v>
      </c>
      <c r="AQ289" s="854">
        <f>IFERROR(P289*'Input Sheet'!$F$8/(((AI289)*AK289*2)-AN289),0)</f>
        <v>0</v>
      </c>
      <c r="AR289" s="854">
        <f>IFERROR(($P289-$AF289)*'Input Sheet'!$F$8/(((AI289)*AK289*2)-AN289),0)</f>
        <v>0</v>
      </c>
    </row>
    <row r="290" spans="2:44" s="798" customFormat="1" ht="30" customHeight="1" thickBot="1" x14ac:dyDescent="0.3">
      <c r="B290" s="835"/>
      <c r="C290" s="836"/>
      <c r="D290" s="836"/>
      <c r="E290" s="837"/>
      <c r="F290" s="837"/>
      <c r="G290" s="838"/>
      <c r="H290" s="838"/>
      <c r="I290" s="839"/>
      <c r="J290" s="839"/>
      <c r="K290" s="840"/>
      <c r="L290" s="841"/>
      <c r="M290" s="841"/>
      <c r="N290" s="842"/>
      <c r="O290" s="842"/>
      <c r="P290" s="843"/>
      <c r="Q290" s="843"/>
      <c r="R290" s="843"/>
      <c r="S290" s="844">
        <f t="shared" si="49"/>
        <v>0</v>
      </c>
      <c r="T290" s="838"/>
      <c r="U290" s="842"/>
      <c r="V290" s="843"/>
      <c r="W290" s="843"/>
      <c r="X290" s="843"/>
      <c r="Y290" s="843"/>
      <c r="Z290" s="843"/>
      <c r="AA290" s="837"/>
      <c r="AB290" s="837"/>
      <c r="AC290" s="845">
        <f t="shared" si="50"/>
        <v>0</v>
      </c>
      <c r="AD290" s="846">
        <f t="shared" si="51"/>
        <v>0</v>
      </c>
      <c r="AE290" s="847">
        <f t="shared" si="52"/>
        <v>0</v>
      </c>
      <c r="AF290" s="855">
        <f t="shared" si="45"/>
        <v>0</v>
      </c>
      <c r="AG290" s="848">
        <f>IF('Input Sheet'!$C$15="Yes",'Input Sheet'!$F$8,0)</f>
        <v>0</v>
      </c>
      <c r="AH290" s="846">
        <f>IF('Input Sheet'!$C$15="Yes",Rates!$E$45,0)</f>
        <v>0</v>
      </c>
      <c r="AI290" s="849">
        <f>IF('Input Sheet'!$C$15="Yes",'Input Sheet'!$F$11,0)</f>
        <v>0</v>
      </c>
      <c r="AJ290" s="850">
        <f>IF('Input Sheet'!$C$15="Yes",'Input Sheet'!$F$7,0)</f>
        <v>0</v>
      </c>
      <c r="AK290" s="856">
        <f t="shared" si="46"/>
        <v>0</v>
      </c>
      <c r="AL290" s="856">
        <f t="shared" si="47"/>
        <v>0</v>
      </c>
      <c r="AM290" s="856">
        <f t="shared" si="53"/>
        <v>0</v>
      </c>
      <c r="AN290" s="856">
        <f t="shared" si="48"/>
        <v>0</v>
      </c>
      <c r="AO290" s="852">
        <f t="shared" si="54"/>
        <v>0</v>
      </c>
      <c r="AP290" s="853">
        <f t="shared" si="55"/>
        <v>0</v>
      </c>
      <c r="AQ290" s="854">
        <f>IFERROR(P290*'Input Sheet'!$F$8/(((AI290)*AK290*2)-AN290),0)</f>
        <v>0</v>
      </c>
      <c r="AR290" s="854">
        <f>IFERROR(($P290-$AF290)*'Input Sheet'!$F$8/(((AI290)*AK290*2)-AN290),0)</f>
        <v>0</v>
      </c>
    </row>
    <row r="291" spans="2:44" s="798" customFormat="1" ht="30" customHeight="1" thickBot="1" x14ac:dyDescent="0.3">
      <c r="B291" s="835"/>
      <c r="C291" s="836"/>
      <c r="D291" s="836"/>
      <c r="E291" s="837"/>
      <c r="F291" s="837"/>
      <c r="G291" s="838"/>
      <c r="H291" s="838"/>
      <c r="I291" s="839"/>
      <c r="J291" s="839"/>
      <c r="K291" s="840"/>
      <c r="L291" s="841"/>
      <c r="M291" s="841"/>
      <c r="N291" s="842"/>
      <c r="O291" s="842"/>
      <c r="P291" s="843"/>
      <c r="Q291" s="843"/>
      <c r="R291" s="843"/>
      <c r="S291" s="844">
        <f t="shared" si="49"/>
        <v>0</v>
      </c>
      <c r="T291" s="838"/>
      <c r="U291" s="842"/>
      <c r="V291" s="843"/>
      <c r="W291" s="843"/>
      <c r="X291" s="843"/>
      <c r="Y291" s="843"/>
      <c r="Z291" s="843"/>
      <c r="AA291" s="837"/>
      <c r="AB291" s="837"/>
      <c r="AC291" s="845">
        <f t="shared" si="50"/>
        <v>0</v>
      </c>
      <c r="AD291" s="846">
        <f t="shared" si="51"/>
        <v>0</v>
      </c>
      <c r="AE291" s="847">
        <f t="shared" si="52"/>
        <v>0</v>
      </c>
      <c r="AF291" s="855">
        <f t="shared" si="45"/>
        <v>0</v>
      </c>
      <c r="AG291" s="848">
        <f>IF('Input Sheet'!$C$15="Yes",'Input Sheet'!$F$8,0)</f>
        <v>0</v>
      </c>
      <c r="AH291" s="846">
        <f>IF('Input Sheet'!$C$15="Yes",Rates!$E$45,0)</f>
        <v>0</v>
      </c>
      <c r="AI291" s="849">
        <f>IF('Input Sheet'!$C$15="Yes",'Input Sheet'!$F$11,0)</f>
        <v>0</v>
      </c>
      <c r="AJ291" s="850">
        <f>IF('Input Sheet'!$C$15="Yes",'Input Sheet'!$F$7,0)</f>
        <v>0</v>
      </c>
      <c r="AK291" s="856">
        <f t="shared" si="46"/>
        <v>0</v>
      </c>
      <c r="AL291" s="856">
        <f t="shared" si="47"/>
        <v>0</v>
      </c>
      <c r="AM291" s="856">
        <f t="shared" si="53"/>
        <v>0</v>
      </c>
      <c r="AN291" s="856">
        <f t="shared" si="48"/>
        <v>0</v>
      </c>
      <c r="AO291" s="852">
        <f t="shared" si="54"/>
        <v>0</v>
      </c>
      <c r="AP291" s="853">
        <f t="shared" si="55"/>
        <v>0</v>
      </c>
      <c r="AQ291" s="854">
        <f>IFERROR(P291*'Input Sheet'!$F$8/(((AI291)*AK291*2)-AN291),0)</f>
        <v>0</v>
      </c>
      <c r="AR291" s="854">
        <f>IFERROR(($P291-$AF291)*'Input Sheet'!$F$8/(((AI291)*AK291*2)-AN291),0)</f>
        <v>0</v>
      </c>
    </row>
    <row r="292" spans="2:44" s="798" customFormat="1" ht="30" customHeight="1" thickBot="1" x14ac:dyDescent="0.3">
      <c r="B292" s="835"/>
      <c r="C292" s="836"/>
      <c r="D292" s="836"/>
      <c r="E292" s="837"/>
      <c r="F292" s="837"/>
      <c r="G292" s="838"/>
      <c r="H292" s="838"/>
      <c r="I292" s="839"/>
      <c r="J292" s="839"/>
      <c r="K292" s="840"/>
      <c r="L292" s="841"/>
      <c r="M292" s="841"/>
      <c r="N292" s="842"/>
      <c r="O292" s="842"/>
      <c r="P292" s="843"/>
      <c r="Q292" s="843"/>
      <c r="R292" s="843"/>
      <c r="S292" s="844">
        <f t="shared" si="49"/>
        <v>0</v>
      </c>
      <c r="T292" s="838"/>
      <c r="U292" s="842"/>
      <c r="V292" s="843"/>
      <c r="W292" s="843"/>
      <c r="X292" s="843"/>
      <c r="Y292" s="843"/>
      <c r="Z292" s="843"/>
      <c r="AA292" s="837"/>
      <c r="AB292" s="837"/>
      <c r="AC292" s="845">
        <f t="shared" si="50"/>
        <v>0</v>
      </c>
      <c r="AD292" s="846">
        <f t="shared" si="51"/>
        <v>0</v>
      </c>
      <c r="AE292" s="847">
        <f t="shared" si="52"/>
        <v>0</v>
      </c>
      <c r="AF292" s="855">
        <f t="shared" si="45"/>
        <v>0</v>
      </c>
      <c r="AG292" s="848">
        <f>IF('Input Sheet'!$C$15="Yes",'Input Sheet'!$F$8,0)</f>
        <v>0</v>
      </c>
      <c r="AH292" s="846">
        <f>IF('Input Sheet'!$C$15="Yes",Rates!$E$45,0)</f>
        <v>0</v>
      </c>
      <c r="AI292" s="849">
        <f>IF('Input Sheet'!$C$15="Yes",'Input Sheet'!$F$11,0)</f>
        <v>0</v>
      </c>
      <c r="AJ292" s="850">
        <f>IF('Input Sheet'!$C$15="Yes",'Input Sheet'!$F$7,0)</f>
        <v>0</v>
      </c>
      <c r="AK292" s="856">
        <f t="shared" si="46"/>
        <v>0</v>
      </c>
      <c r="AL292" s="856">
        <f t="shared" si="47"/>
        <v>0</v>
      </c>
      <c r="AM292" s="856">
        <f t="shared" si="53"/>
        <v>0</v>
      </c>
      <c r="AN292" s="856">
        <f t="shared" si="48"/>
        <v>0</v>
      </c>
      <c r="AO292" s="852">
        <f t="shared" si="54"/>
        <v>0</v>
      </c>
      <c r="AP292" s="853">
        <f t="shared" si="55"/>
        <v>0</v>
      </c>
      <c r="AQ292" s="854">
        <f>IFERROR(P292*'Input Sheet'!$F$8/(((AI292)*AK292*2)-AN292),0)</f>
        <v>0</v>
      </c>
      <c r="AR292" s="854">
        <f>IFERROR(($P292-$AF292)*'Input Sheet'!$F$8/(((AI292)*AK292*2)-AN292),0)</f>
        <v>0</v>
      </c>
    </row>
    <row r="293" spans="2:44" s="798" customFormat="1" ht="30" customHeight="1" thickBot="1" x14ac:dyDescent="0.3">
      <c r="B293" s="835"/>
      <c r="C293" s="836"/>
      <c r="D293" s="836"/>
      <c r="E293" s="837"/>
      <c r="F293" s="837"/>
      <c r="G293" s="838"/>
      <c r="H293" s="838"/>
      <c r="I293" s="839"/>
      <c r="J293" s="839"/>
      <c r="K293" s="840"/>
      <c r="L293" s="841"/>
      <c r="M293" s="841"/>
      <c r="N293" s="842"/>
      <c r="O293" s="842"/>
      <c r="P293" s="843"/>
      <c r="Q293" s="843"/>
      <c r="R293" s="843"/>
      <c r="S293" s="844">
        <f t="shared" si="49"/>
        <v>0</v>
      </c>
      <c r="T293" s="838"/>
      <c r="U293" s="842"/>
      <c r="V293" s="843"/>
      <c r="W293" s="843"/>
      <c r="X293" s="843"/>
      <c r="Y293" s="843"/>
      <c r="Z293" s="843"/>
      <c r="AA293" s="837"/>
      <c r="AB293" s="837"/>
      <c r="AC293" s="845">
        <f t="shared" si="50"/>
        <v>0</v>
      </c>
      <c r="AD293" s="846">
        <f t="shared" si="51"/>
        <v>0</v>
      </c>
      <c r="AE293" s="847">
        <f t="shared" si="52"/>
        <v>0</v>
      </c>
      <c r="AF293" s="855">
        <f t="shared" si="45"/>
        <v>0</v>
      </c>
      <c r="AG293" s="848">
        <f>IF('Input Sheet'!$C$15="Yes",'Input Sheet'!$F$8,0)</f>
        <v>0</v>
      </c>
      <c r="AH293" s="846">
        <f>IF('Input Sheet'!$C$15="Yes",Rates!$E$45,0)</f>
        <v>0</v>
      </c>
      <c r="AI293" s="849">
        <f>IF('Input Sheet'!$C$15="Yes",'Input Sheet'!$F$11,0)</f>
        <v>0</v>
      </c>
      <c r="AJ293" s="850">
        <f>IF('Input Sheet'!$C$15="Yes",'Input Sheet'!$F$7,0)</f>
        <v>0</v>
      </c>
      <c r="AK293" s="856">
        <f t="shared" si="46"/>
        <v>0</v>
      </c>
      <c r="AL293" s="856">
        <f t="shared" si="47"/>
        <v>0</v>
      </c>
      <c r="AM293" s="856">
        <f t="shared" si="53"/>
        <v>0</v>
      </c>
      <c r="AN293" s="856">
        <f t="shared" si="48"/>
        <v>0</v>
      </c>
      <c r="AO293" s="852">
        <f t="shared" si="54"/>
        <v>0</v>
      </c>
      <c r="AP293" s="853">
        <f t="shared" si="55"/>
        <v>0</v>
      </c>
      <c r="AQ293" s="854">
        <f>IFERROR(P293*'Input Sheet'!$F$8/(((AI293)*AK293*2)-AN293),0)</f>
        <v>0</v>
      </c>
      <c r="AR293" s="854">
        <f>IFERROR(($P293-$AF293)*'Input Sheet'!$F$8/(((AI293)*AK293*2)-AN293),0)</f>
        <v>0</v>
      </c>
    </row>
    <row r="294" spans="2:44" s="798" customFormat="1" ht="30" customHeight="1" thickBot="1" x14ac:dyDescent="0.3">
      <c r="B294" s="835"/>
      <c r="C294" s="836"/>
      <c r="D294" s="836"/>
      <c r="E294" s="837"/>
      <c r="F294" s="837"/>
      <c r="G294" s="838"/>
      <c r="H294" s="838"/>
      <c r="I294" s="839"/>
      <c r="J294" s="839"/>
      <c r="K294" s="840"/>
      <c r="L294" s="841"/>
      <c r="M294" s="841"/>
      <c r="N294" s="842"/>
      <c r="O294" s="842"/>
      <c r="P294" s="843"/>
      <c r="Q294" s="843"/>
      <c r="R294" s="843"/>
      <c r="S294" s="844">
        <f t="shared" si="49"/>
        <v>0</v>
      </c>
      <c r="T294" s="838"/>
      <c r="U294" s="842"/>
      <c r="V294" s="843"/>
      <c r="W294" s="843"/>
      <c r="X294" s="843"/>
      <c r="Y294" s="843"/>
      <c r="Z294" s="843"/>
      <c r="AA294" s="837"/>
      <c r="AB294" s="837"/>
      <c r="AC294" s="845">
        <f t="shared" si="50"/>
        <v>0</v>
      </c>
      <c r="AD294" s="846">
        <f t="shared" si="51"/>
        <v>0</v>
      </c>
      <c r="AE294" s="847">
        <f t="shared" si="52"/>
        <v>0</v>
      </c>
      <c r="AF294" s="855">
        <f t="shared" si="45"/>
        <v>0</v>
      </c>
      <c r="AG294" s="848">
        <f>IF('Input Sheet'!$C$15="Yes",'Input Sheet'!$F$8,0)</f>
        <v>0</v>
      </c>
      <c r="AH294" s="846">
        <f>IF('Input Sheet'!$C$15="Yes",Rates!$E$45,0)</f>
        <v>0</v>
      </c>
      <c r="AI294" s="849">
        <f>IF('Input Sheet'!$C$15="Yes",'Input Sheet'!$F$11,0)</f>
        <v>0</v>
      </c>
      <c r="AJ294" s="850">
        <f>IF('Input Sheet'!$C$15="Yes",'Input Sheet'!$F$7,0)</f>
        <v>0</v>
      </c>
      <c r="AK294" s="856">
        <f t="shared" si="46"/>
        <v>0</v>
      </c>
      <c r="AL294" s="856">
        <f t="shared" si="47"/>
        <v>0</v>
      </c>
      <c r="AM294" s="856">
        <f t="shared" si="53"/>
        <v>0</v>
      </c>
      <c r="AN294" s="856">
        <f t="shared" si="48"/>
        <v>0</v>
      </c>
      <c r="AO294" s="852">
        <f t="shared" si="54"/>
        <v>0</v>
      </c>
      <c r="AP294" s="853">
        <f t="shared" si="55"/>
        <v>0</v>
      </c>
      <c r="AQ294" s="854">
        <f>IFERROR(P294*'Input Sheet'!$F$8/(((AI294)*AK294*2)-AN294),0)</f>
        <v>0</v>
      </c>
      <c r="AR294" s="854">
        <f>IFERROR(($P294-$AF294)*'Input Sheet'!$F$8/(((AI294)*AK294*2)-AN294),0)</f>
        <v>0</v>
      </c>
    </row>
    <row r="295" spans="2:44" s="798" customFormat="1" ht="30" customHeight="1" thickBot="1" x14ac:dyDescent="0.3">
      <c r="B295" s="835"/>
      <c r="C295" s="836"/>
      <c r="D295" s="836"/>
      <c r="E295" s="837"/>
      <c r="F295" s="837"/>
      <c r="G295" s="838"/>
      <c r="H295" s="838"/>
      <c r="I295" s="839"/>
      <c r="J295" s="839"/>
      <c r="K295" s="840"/>
      <c r="L295" s="841"/>
      <c r="M295" s="841"/>
      <c r="N295" s="842"/>
      <c r="O295" s="842"/>
      <c r="P295" s="843"/>
      <c r="Q295" s="843"/>
      <c r="R295" s="843"/>
      <c r="S295" s="844">
        <f t="shared" si="49"/>
        <v>0</v>
      </c>
      <c r="T295" s="838"/>
      <c r="U295" s="842"/>
      <c r="V295" s="843"/>
      <c r="W295" s="843"/>
      <c r="X295" s="843"/>
      <c r="Y295" s="843"/>
      <c r="Z295" s="843"/>
      <c r="AA295" s="837"/>
      <c r="AB295" s="837"/>
      <c r="AC295" s="845">
        <f t="shared" si="50"/>
        <v>0</v>
      </c>
      <c r="AD295" s="846">
        <f t="shared" si="51"/>
        <v>0</v>
      </c>
      <c r="AE295" s="847">
        <f t="shared" si="52"/>
        <v>0</v>
      </c>
      <c r="AF295" s="855">
        <f t="shared" si="45"/>
        <v>0</v>
      </c>
      <c r="AG295" s="848">
        <f>IF('Input Sheet'!$C$15="Yes",'Input Sheet'!$F$8,0)</f>
        <v>0</v>
      </c>
      <c r="AH295" s="846">
        <f>IF('Input Sheet'!$C$15="Yes",Rates!$E$45,0)</f>
        <v>0</v>
      </c>
      <c r="AI295" s="849">
        <f>IF('Input Sheet'!$C$15="Yes",'Input Sheet'!$F$11,0)</f>
        <v>0</v>
      </c>
      <c r="AJ295" s="850">
        <f>IF('Input Sheet'!$C$15="Yes",'Input Sheet'!$F$7,0)</f>
        <v>0</v>
      </c>
      <c r="AK295" s="856">
        <f t="shared" si="46"/>
        <v>0</v>
      </c>
      <c r="AL295" s="856">
        <f t="shared" si="47"/>
        <v>0</v>
      </c>
      <c r="AM295" s="856">
        <f t="shared" si="53"/>
        <v>0</v>
      </c>
      <c r="AN295" s="856">
        <f t="shared" si="48"/>
        <v>0</v>
      </c>
      <c r="AO295" s="852">
        <f t="shared" si="54"/>
        <v>0</v>
      </c>
      <c r="AP295" s="853">
        <f t="shared" si="55"/>
        <v>0</v>
      </c>
      <c r="AQ295" s="854">
        <f>IFERROR(P295*'Input Sheet'!$F$8/(((AI295)*AK295*2)-AN295),0)</f>
        <v>0</v>
      </c>
      <c r="AR295" s="854">
        <f>IFERROR(($P295-$AF295)*'Input Sheet'!$F$8/(((AI295)*AK295*2)-AN295),0)</f>
        <v>0</v>
      </c>
    </row>
    <row r="296" spans="2:44" s="798" customFormat="1" ht="30" customHeight="1" thickBot="1" x14ac:dyDescent="0.3">
      <c r="B296" s="835"/>
      <c r="C296" s="836"/>
      <c r="D296" s="836"/>
      <c r="E296" s="837"/>
      <c r="F296" s="837"/>
      <c r="G296" s="838"/>
      <c r="H296" s="838"/>
      <c r="I296" s="839"/>
      <c r="J296" s="839"/>
      <c r="K296" s="840"/>
      <c r="L296" s="841"/>
      <c r="M296" s="841"/>
      <c r="N296" s="842"/>
      <c r="O296" s="842"/>
      <c r="P296" s="843"/>
      <c r="Q296" s="843"/>
      <c r="R296" s="843"/>
      <c r="S296" s="844">
        <f t="shared" si="49"/>
        <v>0</v>
      </c>
      <c r="T296" s="838"/>
      <c r="U296" s="842"/>
      <c r="V296" s="843"/>
      <c r="W296" s="843"/>
      <c r="X296" s="843"/>
      <c r="Y296" s="843"/>
      <c r="Z296" s="843"/>
      <c r="AA296" s="837"/>
      <c r="AB296" s="837"/>
      <c r="AC296" s="845">
        <f t="shared" si="50"/>
        <v>0</v>
      </c>
      <c r="AD296" s="846">
        <f t="shared" si="51"/>
        <v>0</v>
      </c>
      <c r="AE296" s="847">
        <f t="shared" si="52"/>
        <v>0</v>
      </c>
      <c r="AF296" s="855">
        <f t="shared" si="45"/>
        <v>0</v>
      </c>
      <c r="AG296" s="848">
        <f>IF('Input Sheet'!$C$15="Yes",'Input Sheet'!$F$8,0)</f>
        <v>0</v>
      </c>
      <c r="AH296" s="846">
        <f>IF('Input Sheet'!$C$15="Yes",Rates!$E$45,0)</f>
        <v>0</v>
      </c>
      <c r="AI296" s="849">
        <f>IF('Input Sheet'!$C$15="Yes",'Input Sheet'!$F$11,0)</f>
        <v>0</v>
      </c>
      <c r="AJ296" s="850">
        <f>IF('Input Sheet'!$C$15="Yes",'Input Sheet'!$F$7,0)</f>
        <v>0</v>
      </c>
      <c r="AK296" s="856">
        <f t="shared" si="46"/>
        <v>0</v>
      </c>
      <c r="AL296" s="856">
        <f t="shared" si="47"/>
        <v>0</v>
      </c>
      <c r="AM296" s="856">
        <f t="shared" si="53"/>
        <v>0</v>
      </c>
      <c r="AN296" s="856">
        <f t="shared" si="48"/>
        <v>0</v>
      </c>
      <c r="AO296" s="852">
        <f t="shared" si="54"/>
        <v>0</v>
      </c>
      <c r="AP296" s="853">
        <f t="shared" si="55"/>
        <v>0</v>
      </c>
      <c r="AQ296" s="854">
        <f>IFERROR(P296*'Input Sheet'!$F$8/(((AI296)*AK296*2)-AN296),0)</f>
        <v>0</v>
      </c>
      <c r="AR296" s="854">
        <f>IFERROR(($P296-$AF296)*'Input Sheet'!$F$8/(((AI296)*AK296*2)-AN296),0)</f>
        <v>0</v>
      </c>
    </row>
    <row r="297" spans="2:44" s="798" customFormat="1" ht="30" customHeight="1" thickBot="1" x14ac:dyDescent="0.3">
      <c r="B297" s="835"/>
      <c r="C297" s="836"/>
      <c r="D297" s="836"/>
      <c r="E297" s="837"/>
      <c r="F297" s="837"/>
      <c r="G297" s="838"/>
      <c r="H297" s="838"/>
      <c r="I297" s="839"/>
      <c r="J297" s="839"/>
      <c r="K297" s="840"/>
      <c r="L297" s="841"/>
      <c r="M297" s="841"/>
      <c r="N297" s="842"/>
      <c r="O297" s="842"/>
      <c r="P297" s="843"/>
      <c r="Q297" s="843"/>
      <c r="R297" s="843"/>
      <c r="S297" s="844">
        <f t="shared" si="49"/>
        <v>0</v>
      </c>
      <c r="T297" s="838"/>
      <c r="U297" s="842"/>
      <c r="V297" s="843"/>
      <c r="W297" s="843"/>
      <c r="X297" s="843"/>
      <c r="Y297" s="843"/>
      <c r="Z297" s="843"/>
      <c r="AA297" s="837"/>
      <c r="AB297" s="837"/>
      <c r="AC297" s="845">
        <f t="shared" si="50"/>
        <v>0</v>
      </c>
      <c r="AD297" s="846">
        <f t="shared" si="51"/>
        <v>0</v>
      </c>
      <c r="AE297" s="847">
        <f t="shared" si="52"/>
        <v>0</v>
      </c>
      <c r="AF297" s="855">
        <f t="shared" si="45"/>
        <v>0</v>
      </c>
      <c r="AG297" s="848">
        <f>IF('Input Sheet'!$C$15="Yes",'Input Sheet'!$F$8,0)</f>
        <v>0</v>
      </c>
      <c r="AH297" s="846">
        <f>IF('Input Sheet'!$C$15="Yes",Rates!$E$45,0)</f>
        <v>0</v>
      </c>
      <c r="AI297" s="849">
        <f>IF('Input Sheet'!$C$15="Yes",'Input Sheet'!$F$11,0)</f>
        <v>0</v>
      </c>
      <c r="AJ297" s="850">
        <f>IF('Input Sheet'!$C$15="Yes",'Input Sheet'!$F$7,0)</f>
        <v>0</v>
      </c>
      <c r="AK297" s="856">
        <f t="shared" si="46"/>
        <v>0</v>
      </c>
      <c r="AL297" s="856">
        <f t="shared" si="47"/>
        <v>0</v>
      </c>
      <c r="AM297" s="856">
        <f t="shared" si="53"/>
        <v>0</v>
      </c>
      <c r="AN297" s="856">
        <f t="shared" si="48"/>
        <v>0</v>
      </c>
      <c r="AO297" s="852">
        <f t="shared" si="54"/>
        <v>0</v>
      </c>
      <c r="AP297" s="853">
        <f t="shared" si="55"/>
        <v>0</v>
      </c>
      <c r="AQ297" s="854">
        <f>IFERROR(P297*'Input Sheet'!$F$8/(((AI297)*AK297*2)-AN297),0)</f>
        <v>0</v>
      </c>
      <c r="AR297" s="854">
        <f>IFERROR(($P297-$AF297)*'Input Sheet'!$F$8/(((AI297)*AK297*2)-AN297),0)</f>
        <v>0</v>
      </c>
    </row>
    <row r="298" spans="2:44" s="798" customFormat="1" ht="30" customHeight="1" thickBot="1" x14ac:dyDescent="0.3">
      <c r="B298" s="835"/>
      <c r="C298" s="836"/>
      <c r="D298" s="836"/>
      <c r="E298" s="837"/>
      <c r="F298" s="837"/>
      <c r="G298" s="838"/>
      <c r="H298" s="838"/>
      <c r="I298" s="839"/>
      <c r="J298" s="839"/>
      <c r="K298" s="840"/>
      <c r="L298" s="841"/>
      <c r="M298" s="841"/>
      <c r="N298" s="842"/>
      <c r="O298" s="842"/>
      <c r="P298" s="843"/>
      <c r="Q298" s="843"/>
      <c r="R298" s="843"/>
      <c r="S298" s="844">
        <f t="shared" si="49"/>
        <v>0</v>
      </c>
      <c r="T298" s="838"/>
      <c r="U298" s="842"/>
      <c r="V298" s="843"/>
      <c r="W298" s="843"/>
      <c r="X298" s="843"/>
      <c r="Y298" s="843"/>
      <c r="Z298" s="843"/>
      <c r="AA298" s="837"/>
      <c r="AB298" s="837"/>
      <c r="AC298" s="845">
        <f t="shared" si="50"/>
        <v>0</v>
      </c>
      <c r="AD298" s="846">
        <f t="shared" si="51"/>
        <v>0</v>
      </c>
      <c r="AE298" s="847">
        <f t="shared" si="52"/>
        <v>0</v>
      </c>
      <c r="AF298" s="855">
        <f t="shared" si="45"/>
        <v>0</v>
      </c>
      <c r="AG298" s="848">
        <f>IF('Input Sheet'!$C$15="Yes",'Input Sheet'!$F$8,0)</f>
        <v>0</v>
      </c>
      <c r="AH298" s="846">
        <f>IF('Input Sheet'!$C$15="Yes",Rates!$E$45,0)</f>
        <v>0</v>
      </c>
      <c r="AI298" s="849">
        <f>IF('Input Sheet'!$C$15="Yes",'Input Sheet'!$F$11,0)</f>
        <v>0</v>
      </c>
      <c r="AJ298" s="850">
        <f>IF('Input Sheet'!$C$15="Yes",'Input Sheet'!$F$7,0)</f>
        <v>0</v>
      </c>
      <c r="AK298" s="856">
        <f t="shared" si="46"/>
        <v>0</v>
      </c>
      <c r="AL298" s="856">
        <f t="shared" si="47"/>
        <v>0</v>
      </c>
      <c r="AM298" s="856">
        <f t="shared" si="53"/>
        <v>0</v>
      </c>
      <c r="AN298" s="856">
        <f t="shared" si="48"/>
        <v>0</v>
      </c>
      <c r="AO298" s="852">
        <f t="shared" si="54"/>
        <v>0</v>
      </c>
      <c r="AP298" s="853">
        <f t="shared" si="55"/>
        <v>0</v>
      </c>
      <c r="AQ298" s="854">
        <f>IFERROR(P298*'Input Sheet'!$F$8/(((AI298)*AK298*2)-AN298),0)</f>
        <v>0</v>
      </c>
      <c r="AR298" s="854">
        <f>IFERROR(($P298-$AF298)*'Input Sheet'!$F$8/(((AI298)*AK298*2)-AN298),0)</f>
        <v>0</v>
      </c>
    </row>
    <row r="299" spans="2:44" s="798" customFormat="1" ht="30" customHeight="1" thickBot="1" x14ac:dyDescent="0.3">
      <c r="B299" s="835"/>
      <c r="C299" s="836"/>
      <c r="D299" s="836"/>
      <c r="E299" s="837"/>
      <c r="F299" s="837"/>
      <c r="G299" s="838"/>
      <c r="H299" s="838"/>
      <c r="I299" s="839"/>
      <c r="J299" s="839"/>
      <c r="K299" s="840"/>
      <c r="L299" s="841"/>
      <c r="M299" s="841"/>
      <c r="N299" s="842"/>
      <c r="O299" s="842"/>
      <c r="P299" s="843"/>
      <c r="Q299" s="843"/>
      <c r="R299" s="843"/>
      <c r="S299" s="844">
        <f t="shared" si="49"/>
        <v>0</v>
      </c>
      <c r="T299" s="838"/>
      <c r="U299" s="842"/>
      <c r="V299" s="843"/>
      <c r="W299" s="843"/>
      <c r="X299" s="843"/>
      <c r="Y299" s="843"/>
      <c r="Z299" s="843"/>
      <c r="AA299" s="837"/>
      <c r="AB299" s="837"/>
      <c r="AC299" s="845">
        <f t="shared" si="50"/>
        <v>0</v>
      </c>
      <c r="AD299" s="846">
        <f t="shared" si="51"/>
        <v>0</v>
      </c>
      <c r="AE299" s="847">
        <f t="shared" si="52"/>
        <v>0</v>
      </c>
      <c r="AF299" s="855">
        <f t="shared" si="45"/>
        <v>0</v>
      </c>
      <c r="AG299" s="848">
        <f>IF('Input Sheet'!$C$15="Yes",'Input Sheet'!$F$8,0)</f>
        <v>0</v>
      </c>
      <c r="AH299" s="846">
        <f>IF('Input Sheet'!$C$15="Yes",Rates!$E$45,0)</f>
        <v>0</v>
      </c>
      <c r="AI299" s="849">
        <f>IF('Input Sheet'!$C$15="Yes",'Input Sheet'!$F$11,0)</f>
        <v>0</v>
      </c>
      <c r="AJ299" s="850">
        <f>IF('Input Sheet'!$C$15="Yes",'Input Sheet'!$F$7,0)</f>
        <v>0</v>
      </c>
      <c r="AK299" s="856">
        <f t="shared" si="46"/>
        <v>0</v>
      </c>
      <c r="AL299" s="856">
        <f t="shared" si="47"/>
        <v>0</v>
      </c>
      <c r="AM299" s="856">
        <f t="shared" si="53"/>
        <v>0</v>
      </c>
      <c r="AN299" s="856">
        <f t="shared" si="48"/>
        <v>0</v>
      </c>
      <c r="AO299" s="852">
        <f t="shared" si="54"/>
        <v>0</v>
      </c>
      <c r="AP299" s="853">
        <f t="shared" si="55"/>
        <v>0</v>
      </c>
      <c r="AQ299" s="854">
        <f>IFERROR(P299*'Input Sheet'!$F$8/(((AI299)*AK299*2)-AN299),0)</f>
        <v>0</v>
      </c>
      <c r="AR299" s="854">
        <f>IFERROR(($P299-$AF299)*'Input Sheet'!$F$8/(((AI299)*AK299*2)-AN299),0)</f>
        <v>0</v>
      </c>
    </row>
    <row r="300" spans="2:44" s="798" customFormat="1" ht="30" customHeight="1" thickBot="1" x14ac:dyDescent="0.3">
      <c r="B300" s="835"/>
      <c r="C300" s="836"/>
      <c r="D300" s="836"/>
      <c r="E300" s="837"/>
      <c r="F300" s="837"/>
      <c r="G300" s="838"/>
      <c r="H300" s="838"/>
      <c r="I300" s="839"/>
      <c r="J300" s="839"/>
      <c r="K300" s="840"/>
      <c r="L300" s="841"/>
      <c r="M300" s="841"/>
      <c r="N300" s="842"/>
      <c r="O300" s="842"/>
      <c r="P300" s="843"/>
      <c r="Q300" s="843"/>
      <c r="R300" s="843"/>
      <c r="S300" s="844">
        <f t="shared" si="49"/>
        <v>0</v>
      </c>
      <c r="T300" s="838"/>
      <c r="U300" s="842"/>
      <c r="V300" s="843"/>
      <c r="W300" s="843"/>
      <c r="X300" s="843"/>
      <c r="Y300" s="843"/>
      <c r="Z300" s="843"/>
      <c r="AA300" s="837"/>
      <c r="AB300" s="837"/>
      <c r="AC300" s="845">
        <f t="shared" si="50"/>
        <v>0</v>
      </c>
      <c r="AD300" s="846">
        <f t="shared" si="51"/>
        <v>0</v>
      </c>
      <c r="AE300" s="847">
        <f t="shared" si="52"/>
        <v>0</v>
      </c>
      <c r="AF300" s="855">
        <f t="shared" si="45"/>
        <v>0</v>
      </c>
      <c r="AG300" s="848">
        <f>IF('Input Sheet'!$C$15="Yes",'Input Sheet'!$F$8,0)</f>
        <v>0</v>
      </c>
      <c r="AH300" s="846">
        <f>IF('Input Sheet'!$C$15="Yes",Rates!$E$45,0)</f>
        <v>0</v>
      </c>
      <c r="AI300" s="849">
        <f>IF('Input Sheet'!$C$15="Yes",'Input Sheet'!$F$11,0)</f>
        <v>0</v>
      </c>
      <c r="AJ300" s="850">
        <f>IF('Input Sheet'!$C$15="Yes",'Input Sheet'!$F$7,0)</f>
        <v>0</v>
      </c>
      <c r="AK300" s="856">
        <f t="shared" si="46"/>
        <v>0</v>
      </c>
      <c r="AL300" s="856">
        <f t="shared" si="47"/>
        <v>0</v>
      </c>
      <c r="AM300" s="856">
        <f t="shared" si="53"/>
        <v>0</v>
      </c>
      <c r="AN300" s="856">
        <f t="shared" si="48"/>
        <v>0</v>
      </c>
      <c r="AO300" s="852">
        <f t="shared" si="54"/>
        <v>0</v>
      </c>
      <c r="AP300" s="853">
        <f t="shared" si="55"/>
        <v>0</v>
      </c>
      <c r="AQ300" s="854">
        <f>IFERROR(P300*'Input Sheet'!$F$8/(((AI300)*AK300*2)-AN300),0)</f>
        <v>0</v>
      </c>
      <c r="AR300" s="854">
        <f>IFERROR(($P300-$AF300)*'Input Sheet'!$F$8/(((AI300)*AK300*2)-AN300),0)</f>
        <v>0</v>
      </c>
    </row>
    <row r="301" spans="2:44" s="798" customFormat="1" ht="30" customHeight="1" thickBot="1" x14ac:dyDescent="0.3">
      <c r="B301" s="835"/>
      <c r="C301" s="836"/>
      <c r="D301" s="836"/>
      <c r="E301" s="837"/>
      <c r="F301" s="837"/>
      <c r="G301" s="838"/>
      <c r="H301" s="838"/>
      <c r="I301" s="839"/>
      <c r="J301" s="839"/>
      <c r="K301" s="840"/>
      <c r="L301" s="841"/>
      <c r="M301" s="841"/>
      <c r="N301" s="842"/>
      <c r="O301" s="842"/>
      <c r="P301" s="843"/>
      <c r="Q301" s="843"/>
      <c r="R301" s="843"/>
      <c r="S301" s="844">
        <f t="shared" si="49"/>
        <v>0</v>
      </c>
      <c r="T301" s="838"/>
      <c r="U301" s="842"/>
      <c r="V301" s="843"/>
      <c r="W301" s="843"/>
      <c r="X301" s="843"/>
      <c r="Y301" s="843"/>
      <c r="Z301" s="843"/>
      <c r="AA301" s="837"/>
      <c r="AB301" s="837"/>
      <c r="AC301" s="845">
        <f t="shared" si="50"/>
        <v>0</v>
      </c>
      <c r="AD301" s="846">
        <f t="shared" si="51"/>
        <v>0</v>
      </c>
      <c r="AE301" s="847">
        <f t="shared" si="52"/>
        <v>0</v>
      </c>
      <c r="AF301" s="855">
        <f t="shared" si="45"/>
        <v>0</v>
      </c>
      <c r="AG301" s="848">
        <f>IF('Input Sheet'!$C$15="Yes",'Input Sheet'!$F$8,0)</f>
        <v>0</v>
      </c>
      <c r="AH301" s="846">
        <f>IF('Input Sheet'!$C$15="Yes",Rates!$E$45,0)</f>
        <v>0</v>
      </c>
      <c r="AI301" s="849">
        <f>IF('Input Sheet'!$C$15="Yes",'Input Sheet'!$F$11,0)</f>
        <v>0</v>
      </c>
      <c r="AJ301" s="850">
        <f>IF('Input Sheet'!$C$15="Yes",'Input Sheet'!$F$7,0)</f>
        <v>0</v>
      </c>
      <c r="AK301" s="856">
        <f t="shared" si="46"/>
        <v>0</v>
      </c>
      <c r="AL301" s="856">
        <f t="shared" si="47"/>
        <v>0</v>
      </c>
      <c r="AM301" s="856">
        <f t="shared" si="53"/>
        <v>0</v>
      </c>
      <c r="AN301" s="856">
        <f t="shared" si="48"/>
        <v>0</v>
      </c>
      <c r="AO301" s="852">
        <f t="shared" si="54"/>
        <v>0</v>
      </c>
      <c r="AP301" s="853">
        <f t="shared" si="55"/>
        <v>0</v>
      </c>
      <c r="AQ301" s="854">
        <f>IFERROR(P301*'Input Sheet'!$F$8/(((AI301)*AK301*2)-AN301),0)</f>
        <v>0</v>
      </c>
      <c r="AR301" s="854">
        <f>IFERROR(($P301-$AF301)*'Input Sheet'!$F$8/(((AI301)*AK301*2)-AN301),0)</f>
        <v>0</v>
      </c>
    </row>
    <row r="302" spans="2:44" s="798" customFormat="1" ht="30" customHeight="1" thickBot="1" x14ac:dyDescent="0.3">
      <c r="B302" s="835"/>
      <c r="C302" s="836"/>
      <c r="D302" s="836"/>
      <c r="E302" s="837"/>
      <c r="F302" s="837"/>
      <c r="G302" s="838"/>
      <c r="H302" s="838"/>
      <c r="I302" s="839"/>
      <c r="J302" s="839"/>
      <c r="K302" s="840"/>
      <c r="L302" s="841"/>
      <c r="M302" s="841"/>
      <c r="N302" s="842"/>
      <c r="O302" s="842"/>
      <c r="P302" s="843"/>
      <c r="Q302" s="843"/>
      <c r="R302" s="843"/>
      <c r="S302" s="844">
        <f t="shared" si="49"/>
        <v>0</v>
      </c>
      <c r="T302" s="838"/>
      <c r="U302" s="842"/>
      <c r="V302" s="843"/>
      <c r="W302" s="843"/>
      <c r="X302" s="843"/>
      <c r="Y302" s="843"/>
      <c r="Z302" s="843"/>
      <c r="AA302" s="837"/>
      <c r="AB302" s="837"/>
      <c r="AC302" s="845">
        <f t="shared" si="50"/>
        <v>0</v>
      </c>
      <c r="AD302" s="846">
        <f t="shared" si="51"/>
        <v>0</v>
      </c>
      <c r="AE302" s="847">
        <f t="shared" si="52"/>
        <v>0</v>
      </c>
      <c r="AF302" s="855">
        <f t="shared" si="45"/>
        <v>0</v>
      </c>
      <c r="AG302" s="848">
        <f>IF('Input Sheet'!$C$15="Yes",'Input Sheet'!$F$8,0)</f>
        <v>0</v>
      </c>
      <c r="AH302" s="846">
        <f>IF('Input Sheet'!$C$15="Yes",Rates!$E$45,0)</f>
        <v>0</v>
      </c>
      <c r="AI302" s="849">
        <f>IF('Input Sheet'!$C$15="Yes",'Input Sheet'!$F$11,0)</f>
        <v>0</v>
      </c>
      <c r="AJ302" s="850">
        <f>IF('Input Sheet'!$C$15="Yes",'Input Sheet'!$F$7,0)</f>
        <v>0</v>
      </c>
      <c r="AK302" s="856">
        <f t="shared" si="46"/>
        <v>0</v>
      </c>
      <c r="AL302" s="856">
        <f t="shared" si="47"/>
        <v>0</v>
      </c>
      <c r="AM302" s="856">
        <f t="shared" si="53"/>
        <v>0</v>
      </c>
      <c r="AN302" s="856">
        <f t="shared" si="48"/>
        <v>0</v>
      </c>
      <c r="AO302" s="852">
        <f t="shared" si="54"/>
        <v>0</v>
      </c>
      <c r="AP302" s="853">
        <f t="shared" si="55"/>
        <v>0</v>
      </c>
      <c r="AQ302" s="854">
        <f>IFERROR(P302*'Input Sheet'!$F$8/(((AI302)*AK302*2)-AN302),0)</f>
        <v>0</v>
      </c>
      <c r="AR302" s="854">
        <f>IFERROR(($P302-$AF302)*'Input Sheet'!$F$8/(((AI302)*AK302*2)-AN302),0)</f>
        <v>0</v>
      </c>
    </row>
    <row r="303" spans="2:44" s="798" customFormat="1" ht="30" customHeight="1" thickBot="1" x14ac:dyDescent="0.3">
      <c r="B303" s="835"/>
      <c r="C303" s="836"/>
      <c r="D303" s="836"/>
      <c r="E303" s="837"/>
      <c r="F303" s="837"/>
      <c r="G303" s="838"/>
      <c r="H303" s="838"/>
      <c r="I303" s="839"/>
      <c r="J303" s="839"/>
      <c r="K303" s="840"/>
      <c r="L303" s="841"/>
      <c r="M303" s="841"/>
      <c r="N303" s="842"/>
      <c r="O303" s="842"/>
      <c r="P303" s="843"/>
      <c r="Q303" s="843"/>
      <c r="R303" s="843"/>
      <c r="S303" s="844">
        <f t="shared" si="49"/>
        <v>0</v>
      </c>
      <c r="T303" s="838"/>
      <c r="U303" s="842"/>
      <c r="V303" s="843"/>
      <c r="W303" s="843"/>
      <c r="X303" s="843"/>
      <c r="Y303" s="843"/>
      <c r="Z303" s="843"/>
      <c r="AA303" s="837"/>
      <c r="AB303" s="837"/>
      <c r="AC303" s="845">
        <f t="shared" si="50"/>
        <v>0</v>
      </c>
      <c r="AD303" s="846">
        <f t="shared" si="51"/>
        <v>0</v>
      </c>
      <c r="AE303" s="847">
        <f t="shared" si="52"/>
        <v>0</v>
      </c>
      <c r="AF303" s="855">
        <f t="shared" si="45"/>
        <v>0</v>
      </c>
      <c r="AG303" s="848">
        <f>IF('Input Sheet'!$C$15="Yes",'Input Sheet'!$F$8,0)</f>
        <v>0</v>
      </c>
      <c r="AH303" s="846">
        <f>IF('Input Sheet'!$C$15="Yes",Rates!$E$45,0)</f>
        <v>0</v>
      </c>
      <c r="AI303" s="849">
        <f>IF('Input Sheet'!$C$15="Yes",'Input Sheet'!$F$11,0)</f>
        <v>0</v>
      </c>
      <c r="AJ303" s="850">
        <f>IF('Input Sheet'!$C$15="Yes",'Input Sheet'!$F$7,0)</f>
        <v>0</v>
      </c>
      <c r="AK303" s="856">
        <f t="shared" si="46"/>
        <v>0</v>
      </c>
      <c r="AL303" s="856">
        <f t="shared" si="47"/>
        <v>0</v>
      </c>
      <c r="AM303" s="856">
        <f t="shared" si="53"/>
        <v>0</v>
      </c>
      <c r="AN303" s="856">
        <f t="shared" si="48"/>
        <v>0</v>
      </c>
      <c r="AO303" s="852">
        <f t="shared" si="54"/>
        <v>0</v>
      </c>
      <c r="AP303" s="853">
        <f t="shared" si="55"/>
        <v>0</v>
      </c>
      <c r="AQ303" s="854">
        <f>IFERROR(P303*'Input Sheet'!$F$8/(((AI303)*AK303*2)-AN303),0)</f>
        <v>0</v>
      </c>
      <c r="AR303" s="854">
        <f>IFERROR(($P303-$AF303)*'Input Sheet'!$F$8/(((AI303)*AK303*2)-AN303),0)</f>
        <v>0</v>
      </c>
    </row>
    <row r="304" spans="2:44" s="798" customFormat="1" ht="30" customHeight="1" thickBot="1" x14ac:dyDescent="0.3">
      <c r="B304" s="835"/>
      <c r="C304" s="836"/>
      <c r="D304" s="836"/>
      <c r="E304" s="837"/>
      <c r="F304" s="837"/>
      <c r="G304" s="838"/>
      <c r="H304" s="838"/>
      <c r="I304" s="839"/>
      <c r="J304" s="839"/>
      <c r="K304" s="840"/>
      <c r="L304" s="841"/>
      <c r="M304" s="841"/>
      <c r="N304" s="842"/>
      <c r="O304" s="842"/>
      <c r="P304" s="843"/>
      <c r="Q304" s="843"/>
      <c r="R304" s="843"/>
      <c r="S304" s="844">
        <f t="shared" si="49"/>
        <v>0</v>
      </c>
      <c r="T304" s="838"/>
      <c r="U304" s="842"/>
      <c r="V304" s="843"/>
      <c r="W304" s="843"/>
      <c r="X304" s="843"/>
      <c r="Y304" s="843"/>
      <c r="Z304" s="843"/>
      <c r="AA304" s="837"/>
      <c r="AB304" s="837"/>
      <c r="AC304" s="845">
        <f t="shared" si="50"/>
        <v>0</v>
      </c>
      <c r="AD304" s="846">
        <f t="shared" si="51"/>
        <v>0</v>
      </c>
      <c r="AE304" s="847">
        <f t="shared" si="52"/>
        <v>0</v>
      </c>
      <c r="AF304" s="855">
        <f t="shared" si="45"/>
        <v>0</v>
      </c>
      <c r="AG304" s="848">
        <f>IF('Input Sheet'!$C$15="Yes",'Input Sheet'!$F$8,0)</f>
        <v>0</v>
      </c>
      <c r="AH304" s="846">
        <f>IF('Input Sheet'!$C$15="Yes",Rates!$E$45,0)</f>
        <v>0</v>
      </c>
      <c r="AI304" s="849">
        <f>IF('Input Sheet'!$C$15="Yes",'Input Sheet'!$F$11,0)</f>
        <v>0</v>
      </c>
      <c r="AJ304" s="850">
        <f>IF('Input Sheet'!$C$15="Yes",'Input Sheet'!$F$7,0)</f>
        <v>0</v>
      </c>
      <c r="AK304" s="856">
        <f t="shared" si="46"/>
        <v>0</v>
      </c>
      <c r="AL304" s="856">
        <f t="shared" si="47"/>
        <v>0</v>
      </c>
      <c r="AM304" s="856">
        <f t="shared" si="53"/>
        <v>0</v>
      </c>
      <c r="AN304" s="856">
        <f t="shared" si="48"/>
        <v>0</v>
      </c>
      <c r="AO304" s="852">
        <f t="shared" si="54"/>
        <v>0</v>
      </c>
      <c r="AP304" s="853">
        <f t="shared" si="55"/>
        <v>0</v>
      </c>
      <c r="AQ304" s="854">
        <f>IFERROR(P304*'Input Sheet'!$F$8/(((AI304)*AK304*2)-AN304),0)</f>
        <v>0</v>
      </c>
      <c r="AR304" s="854">
        <f>IFERROR(($P304-$AF304)*'Input Sheet'!$F$8/(((AI304)*AK304*2)-AN304),0)</f>
        <v>0</v>
      </c>
    </row>
    <row r="305" spans="2:44" s="798" customFormat="1" ht="30" customHeight="1" thickBot="1" x14ac:dyDescent="0.3">
      <c r="B305" s="835"/>
      <c r="C305" s="836"/>
      <c r="D305" s="836"/>
      <c r="E305" s="837"/>
      <c r="F305" s="837"/>
      <c r="G305" s="838"/>
      <c r="H305" s="838"/>
      <c r="I305" s="839"/>
      <c r="J305" s="839"/>
      <c r="K305" s="840"/>
      <c r="L305" s="841"/>
      <c r="M305" s="841"/>
      <c r="N305" s="842"/>
      <c r="O305" s="842"/>
      <c r="P305" s="843"/>
      <c r="Q305" s="843"/>
      <c r="R305" s="843"/>
      <c r="S305" s="844">
        <f t="shared" si="49"/>
        <v>0</v>
      </c>
      <c r="T305" s="838"/>
      <c r="U305" s="842"/>
      <c r="V305" s="843"/>
      <c r="W305" s="843"/>
      <c r="X305" s="843"/>
      <c r="Y305" s="843"/>
      <c r="Z305" s="843"/>
      <c r="AA305" s="837"/>
      <c r="AB305" s="837"/>
      <c r="AC305" s="845">
        <f t="shared" si="50"/>
        <v>0</v>
      </c>
      <c r="AD305" s="846">
        <f t="shared" si="51"/>
        <v>0</v>
      </c>
      <c r="AE305" s="847">
        <f t="shared" si="52"/>
        <v>0</v>
      </c>
      <c r="AF305" s="855">
        <f t="shared" si="45"/>
        <v>0</v>
      </c>
      <c r="AG305" s="848">
        <f>IF('Input Sheet'!$C$15="Yes",'Input Sheet'!$F$8,0)</f>
        <v>0</v>
      </c>
      <c r="AH305" s="846">
        <f>IF('Input Sheet'!$C$15="Yes",Rates!$E$45,0)</f>
        <v>0</v>
      </c>
      <c r="AI305" s="849">
        <f>IF('Input Sheet'!$C$15="Yes",'Input Sheet'!$F$11,0)</f>
        <v>0</v>
      </c>
      <c r="AJ305" s="850">
        <f>IF('Input Sheet'!$C$15="Yes",'Input Sheet'!$F$7,0)</f>
        <v>0</v>
      </c>
      <c r="AK305" s="856">
        <f t="shared" si="46"/>
        <v>0</v>
      </c>
      <c r="AL305" s="856">
        <f t="shared" si="47"/>
        <v>0</v>
      </c>
      <c r="AM305" s="856">
        <f t="shared" si="53"/>
        <v>0</v>
      </c>
      <c r="AN305" s="856">
        <f t="shared" si="48"/>
        <v>0</v>
      </c>
      <c r="AO305" s="852">
        <f t="shared" si="54"/>
        <v>0</v>
      </c>
      <c r="AP305" s="853">
        <f t="shared" si="55"/>
        <v>0</v>
      </c>
      <c r="AQ305" s="854">
        <f>IFERROR(P305*'Input Sheet'!$F$8/(((AI305)*AK305*2)-AN305),0)</f>
        <v>0</v>
      </c>
      <c r="AR305" s="854">
        <f>IFERROR(($P305-$AF305)*'Input Sheet'!$F$8/(((AI305)*AK305*2)-AN305),0)</f>
        <v>0</v>
      </c>
    </row>
    <row r="306" spans="2:44" s="798" customFormat="1" ht="30" customHeight="1" thickBot="1" x14ac:dyDescent="0.3">
      <c r="B306" s="835"/>
      <c r="C306" s="836"/>
      <c r="D306" s="836"/>
      <c r="E306" s="837"/>
      <c r="F306" s="837"/>
      <c r="G306" s="838"/>
      <c r="H306" s="838"/>
      <c r="I306" s="839"/>
      <c r="J306" s="839"/>
      <c r="K306" s="840"/>
      <c r="L306" s="841"/>
      <c r="M306" s="841"/>
      <c r="N306" s="842"/>
      <c r="O306" s="842"/>
      <c r="P306" s="843"/>
      <c r="Q306" s="843"/>
      <c r="R306" s="843"/>
      <c r="S306" s="844">
        <f t="shared" si="49"/>
        <v>0</v>
      </c>
      <c r="T306" s="838"/>
      <c r="U306" s="842"/>
      <c r="V306" s="843"/>
      <c r="W306" s="843"/>
      <c r="X306" s="843"/>
      <c r="Y306" s="843"/>
      <c r="Z306" s="843"/>
      <c r="AA306" s="837"/>
      <c r="AB306" s="837"/>
      <c r="AC306" s="845">
        <f t="shared" si="50"/>
        <v>0</v>
      </c>
      <c r="AD306" s="846">
        <f t="shared" si="51"/>
        <v>0</v>
      </c>
      <c r="AE306" s="847">
        <f t="shared" si="52"/>
        <v>0</v>
      </c>
      <c r="AF306" s="855">
        <f t="shared" si="45"/>
        <v>0</v>
      </c>
      <c r="AG306" s="848">
        <f>IF('Input Sheet'!$C$15="Yes",'Input Sheet'!$F$8,0)</f>
        <v>0</v>
      </c>
      <c r="AH306" s="846">
        <f>IF('Input Sheet'!$C$15="Yes",Rates!$E$45,0)</f>
        <v>0</v>
      </c>
      <c r="AI306" s="849">
        <f>IF('Input Sheet'!$C$15="Yes",'Input Sheet'!$F$11,0)</f>
        <v>0</v>
      </c>
      <c r="AJ306" s="850">
        <f>IF('Input Sheet'!$C$15="Yes",'Input Sheet'!$F$7,0)</f>
        <v>0</v>
      </c>
      <c r="AK306" s="856">
        <f t="shared" si="46"/>
        <v>0</v>
      </c>
      <c r="AL306" s="856">
        <f t="shared" si="47"/>
        <v>0</v>
      </c>
      <c r="AM306" s="856">
        <f t="shared" si="53"/>
        <v>0</v>
      </c>
      <c r="AN306" s="856">
        <f t="shared" si="48"/>
        <v>0</v>
      </c>
      <c r="AO306" s="852">
        <f t="shared" si="54"/>
        <v>0</v>
      </c>
      <c r="AP306" s="853">
        <f t="shared" si="55"/>
        <v>0</v>
      </c>
      <c r="AQ306" s="854">
        <f>IFERROR(P306*'Input Sheet'!$F$8/(((AI306)*AK306*2)-AN306),0)</f>
        <v>0</v>
      </c>
      <c r="AR306" s="854">
        <f>IFERROR(($P306-$AF306)*'Input Sheet'!$F$8/(((AI306)*AK306*2)-AN306),0)</f>
        <v>0</v>
      </c>
    </row>
    <row r="307" spans="2:44" s="798" customFormat="1" ht="30" customHeight="1" thickBot="1" x14ac:dyDescent="0.3">
      <c r="B307" s="835"/>
      <c r="C307" s="836"/>
      <c r="D307" s="836"/>
      <c r="E307" s="837"/>
      <c r="F307" s="837"/>
      <c r="G307" s="838"/>
      <c r="H307" s="838"/>
      <c r="I307" s="839"/>
      <c r="J307" s="839"/>
      <c r="K307" s="840"/>
      <c r="L307" s="841"/>
      <c r="M307" s="841"/>
      <c r="N307" s="842"/>
      <c r="O307" s="842"/>
      <c r="P307" s="843"/>
      <c r="Q307" s="843"/>
      <c r="R307" s="843"/>
      <c r="S307" s="844">
        <f t="shared" si="49"/>
        <v>0</v>
      </c>
      <c r="T307" s="838"/>
      <c r="U307" s="842"/>
      <c r="V307" s="843"/>
      <c r="W307" s="843"/>
      <c r="X307" s="843"/>
      <c r="Y307" s="843"/>
      <c r="Z307" s="843"/>
      <c r="AA307" s="837"/>
      <c r="AB307" s="837"/>
      <c r="AC307" s="845">
        <f t="shared" si="50"/>
        <v>0</v>
      </c>
      <c r="AD307" s="846">
        <f t="shared" si="51"/>
        <v>0</v>
      </c>
      <c r="AE307" s="847">
        <f t="shared" si="52"/>
        <v>0</v>
      </c>
      <c r="AF307" s="855">
        <f t="shared" si="45"/>
        <v>0</v>
      </c>
      <c r="AG307" s="848">
        <f>IF('Input Sheet'!$C$15="Yes",'Input Sheet'!$F$8,0)</f>
        <v>0</v>
      </c>
      <c r="AH307" s="846">
        <f>IF('Input Sheet'!$C$15="Yes",Rates!$E$45,0)</f>
        <v>0</v>
      </c>
      <c r="AI307" s="849">
        <f>IF('Input Sheet'!$C$15="Yes",'Input Sheet'!$F$11,0)</f>
        <v>0</v>
      </c>
      <c r="AJ307" s="850">
        <f>IF('Input Sheet'!$C$15="Yes",'Input Sheet'!$F$7,0)</f>
        <v>0</v>
      </c>
      <c r="AK307" s="856">
        <f t="shared" si="46"/>
        <v>0</v>
      </c>
      <c r="AL307" s="856">
        <f t="shared" si="47"/>
        <v>0</v>
      </c>
      <c r="AM307" s="856">
        <f t="shared" si="53"/>
        <v>0</v>
      </c>
      <c r="AN307" s="856">
        <f t="shared" si="48"/>
        <v>0</v>
      </c>
      <c r="AO307" s="852">
        <f t="shared" si="54"/>
        <v>0</v>
      </c>
      <c r="AP307" s="853">
        <f t="shared" si="55"/>
        <v>0</v>
      </c>
      <c r="AQ307" s="854">
        <f>IFERROR(P307*'Input Sheet'!$F$8/(((AI307)*AK307*2)-AN307),0)</f>
        <v>0</v>
      </c>
      <c r="AR307" s="854">
        <f>IFERROR(($P307-$AF307)*'Input Sheet'!$F$8/(((AI307)*AK307*2)-AN307),0)</f>
        <v>0</v>
      </c>
    </row>
    <row r="308" spans="2:44" s="798" customFormat="1" ht="30" customHeight="1" thickBot="1" x14ac:dyDescent="0.3">
      <c r="B308" s="835"/>
      <c r="C308" s="836"/>
      <c r="D308" s="836"/>
      <c r="E308" s="837"/>
      <c r="F308" s="837"/>
      <c r="G308" s="838"/>
      <c r="H308" s="838"/>
      <c r="I308" s="839"/>
      <c r="J308" s="839"/>
      <c r="K308" s="840"/>
      <c r="L308" s="841"/>
      <c r="M308" s="841"/>
      <c r="N308" s="842"/>
      <c r="O308" s="842"/>
      <c r="P308" s="843"/>
      <c r="Q308" s="843"/>
      <c r="R308" s="843"/>
      <c r="S308" s="844">
        <f t="shared" si="49"/>
        <v>0</v>
      </c>
      <c r="T308" s="838"/>
      <c r="U308" s="842"/>
      <c r="V308" s="843"/>
      <c r="W308" s="843"/>
      <c r="X308" s="843"/>
      <c r="Y308" s="843"/>
      <c r="Z308" s="843"/>
      <c r="AA308" s="837"/>
      <c r="AB308" s="837"/>
      <c r="AC308" s="845">
        <f t="shared" si="50"/>
        <v>0</v>
      </c>
      <c r="AD308" s="846">
        <f t="shared" si="51"/>
        <v>0</v>
      </c>
      <c r="AE308" s="847">
        <f t="shared" si="52"/>
        <v>0</v>
      </c>
      <c r="AF308" s="855">
        <f t="shared" si="45"/>
        <v>0</v>
      </c>
      <c r="AG308" s="848">
        <f>IF('Input Sheet'!$C$15="Yes",'Input Sheet'!$F$8,0)</f>
        <v>0</v>
      </c>
      <c r="AH308" s="846">
        <f>IF('Input Sheet'!$C$15="Yes",Rates!$E$45,0)</f>
        <v>0</v>
      </c>
      <c r="AI308" s="849">
        <f>IF('Input Sheet'!$C$15="Yes",'Input Sheet'!$F$11,0)</f>
        <v>0</v>
      </c>
      <c r="AJ308" s="850">
        <f>IF('Input Sheet'!$C$15="Yes",'Input Sheet'!$F$7,0)</f>
        <v>0</v>
      </c>
      <c r="AK308" s="856">
        <f t="shared" si="46"/>
        <v>0</v>
      </c>
      <c r="AL308" s="856">
        <f t="shared" si="47"/>
        <v>0</v>
      </c>
      <c r="AM308" s="856">
        <f t="shared" si="53"/>
        <v>0</v>
      </c>
      <c r="AN308" s="856">
        <f t="shared" si="48"/>
        <v>0</v>
      </c>
      <c r="AO308" s="852">
        <f t="shared" si="54"/>
        <v>0</v>
      </c>
      <c r="AP308" s="853">
        <f t="shared" si="55"/>
        <v>0</v>
      </c>
      <c r="AQ308" s="854">
        <f>IFERROR(P308*'Input Sheet'!$F$8/(((AI308)*AK308*2)-AN308),0)</f>
        <v>0</v>
      </c>
      <c r="AR308" s="854">
        <f>IFERROR(($P308-$AF308)*'Input Sheet'!$F$8/(((AI308)*AK308*2)-AN308),0)</f>
        <v>0</v>
      </c>
    </row>
    <row r="309" spans="2:44" s="798" customFormat="1" ht="30" customHeight="1" thickBot="1" x14ac:dyDescent="0.3">
      <c r="B309" s="835"/>
      <c r="C309" s="836"/>
      <c r="D309" s="836"/>
      <c r="E309" s="837"/>
      <c r="F309" s="837"/>
      <c r="G309" s="838"/>
      <c r="H309" s="838"/>
      <c r="I309" s="839"/>
      <c r="J309" s="839"/>
      <c r="K309" s="840"/>
      <c r="L309" s="841"/>
      <c r="M309" s="841"/>
      <c r="N309" s="842"/>
      <c r="O309" s="842"/>
      <c r="P309" s="843"/>
      <c r="Q309" s="843"/>
      <c r="R309" s="843"/>
      <c r="S309" s="844">
        <f t="shared" si="49"/>
        <v>0</v>
      </c>
      <c r="T309" s="838"/>
      <c r="U309" s="842"/>
      <c r="V309" s="843"/>
      <c r="W309" s="843"/>
      <c r="X309" s="843"/>
      <c r="Y309" s="843"/>
      <c r="Z309" s="843"/>
      <c r="AA309" s="837"/>
      <c r="AB309" s="837"/>
      <c r="AC309" s="845">
        <f t="shared" si="50"/>
        <v>0</v>
      </c>
      <c r="AD309" s="846">
        <f t="shared" si="51"/>
        <v>0</v>
      </c>
      <c r="AE309" s="847">
        <f t="shared" si="52"/>
        <v>0</v>
      </c>
      <c r="AF309" s="855">
        <f t="shared" si="45"/>
        <v>0</v>
      </c>
      <c r="AG309" s="848">
        <f>IF('Input Sheet'!$C$15="Yes",'Input Sheet'!$F$8,0)</f>
        <v>0</v>
      </c>
      <c r="AH309" s="846">
        <f>IF('Input Sheet'!$C$15="Yes",Rates!$E$45,0)</f>
        <v>0</v>
      </c>
      <c r="AI309" s="849">
        <f>IF('Input Sheet'!$C$15="Yes",'Input Sheet'!$F$11,0)</f>
        <v>0</v>
      </c>
      <c r="AJ309" s="850">
        <f>IF('Input Sheet'!$C$15="Yes",'Input Sheet'!$F$7,0)</f>
        <v>0</v>
      </c>
      <c r="AK309" s="856">
        <f t="shared" si="46"/>
        <v>0</v>
      </c>
      <c r="AL309" s="856">
        <f t="shared" si="47"/>
        <v>0</v>
      </c>
      <c r="AM309" s="856">
        <f t="shared" si="53"/>
        <v>0</v>
      </c>
      <c r="AN309" s="856">
        <f t="shared" si="48"/>
        <v>0</v>
      </c>
      <c r="AO309" s="852">
        <f t="shared" si="54"/>
        <v>0</v>
      </c>
      <c r="AP309" s="853">
        <f t="shared" si="55"/>
        <v>0</v>
      </c>
      <c r="AQ309" s="854">
        <f>IFERROR(P309*'Input Sheet'!$F$8/(((AI309)*AK309*2)-AN309),0)</f>
        <v>0</v>
      </c>
      <c r="AR309" s="854">
        <f>IFERROR(($P309-$AF309)*'Input Sheet'!$F$8/(((AI309)*AK309*2)-AN309),0)</f>
        <v>0</v>
      </c>
    </row>
    <row r="310" spans="2:44" s="798" customFormat="1" ht="30" customHeight="1" thickBot="1" x14ac:dyDescent="0.3">
      <c r="B310" s="835"/>
      <c r="C310" s="836"/>
      <c r="D310" s="836"/>
      <c r="E310" s="837"/>
      <c r="F310" s="837"/>
      <c r="G310" s="838"/>
      <c r="H310" s="838"/>
      <c r="I310" s="839"/>
      <c r="J310" s="839"/>
      <c r="K310" s="840"/>
      <c r="L310" s="841"/>
      <c r="M310" s="841"/>
      <c r="N310" s="842"/>
      <c r="O310" s="842"/>
      <c r="P310" s="843"/>
      <c r="Q310" s="843"/>
      <c r="R310" s="843"/>
      <c r="S310" s="844">
        <f t="shared" si="49"/>
        <v>0</v>
      </c>
      <c r="T310" s="838"/>
      <c r="U310" s="842"/>
      <c r="V310" s="843"/>
      <c r="W310" s="843"/>
      <c r="X310" s="843"/>
      <c r="Y310" s="843"/>
      <c r="Z310" s="843"/>
      <c r="AA310" s="837"/>
      <c r="AB310" s="837"/>
      <c r="AC310" s="845">
        <f t="shared" si="50"/>
        <v>0</v>
      </c>
      <c r="AD310" s="846">
        <f t="shared" si="51"/>
        <v>0</v>
      </c>
      <c r="AE310" s="847">
        <f t="shared" si="52"/>
        <v>0</v>
      </c>
      <c r="AF310" s="855">
        <f t="shared" si="45"/>
        <v>0</v>
      </c>
      <c r="AG310" s="848">
        <f>IF('Input Sheet'!$C$15="Yes",'Input Sheet'!$F$8,0)</f>
        <v>0</v>
      </c>
      <c r="AH310" s="846">
        <f>IF('Input Sheet'!$C$15="Yes",Rates!$E$45,0)</f>
        <v>0</v>
      </c>
      <c r="AI310" s="849">
        <f>IF('Input Sheet'!$C$15="Yes",'Input Sheet'!$F$11,0)</f>
        <v>0</v>
      </c>
      <c r="AJ310" s="850">
        <f>IF('Input Sheet'!$C$15="Yes",'Input Sheet'!$F$7,0)</f>
        <v>0</v>
      </c>
      <c r="AK310" s="856">
        <f t="shared" si="46"/>
        <v>0</v>
      </c>
      <c r="AL310" s="856">
        <f t="shared" si="47"/>
        <v>0</v>
      </c>
      <c r="AM310" s="856">
        <f t="shared" si="53"/>
        <v>0</v>
      </c>
      <c r="AN310" s="856">
        <f t="shared" si="48"/>
        <v>0</v>
      </c>
      <c r="AO310" s="852">
        <f t="shared" si="54"/>
        <v>0</v>
      </c>
      <c r="AP310" s="853">
        <f t="shared" si="55"/>
        <v>0</v>
      </c>
      <c r="AQ310" s="854">
        <f>IFERROR(P310*'Input Sheet'!$F$8/(((AI310)*AK310*2)-AN310),0)</f>
        <v>0</v>
      </c>
      <c r="AR310" s="854">
        <f>IFERROR(($P310-$AF310)*'Input Sheet'!$F$8/(((AI310)*AK310*2)-AN310),0)</f>
        <v>0</v>
      </c>
    </row>
    <row r="311" spans="2:44" s="798" customFormat="1" ht="30" customHeight="1" thickBot="1" x14ac:dyDescent="0.3">
      <c r="B311" s="835"/>
      <c r="C311" s="836"/>
      <c r="D311" s="836"/>
      <c r="E311" s="837"/>
      <c r="F311" s="837"/>
      <c r="G311" s="838"/>
      <c r="H311" s="838"/>
      <c r="I311" s="839"/>
      <c r="J311" s="839"/>
      <c r="K311" s="840"/>
      <c r="L311" s="841"/>
      <c r="M311" s="841"/>
      <c r="N311" s="842"/>
      <c r="O311" s="842"/>
      <c r="P311" s="843"/>
      <c r="Q311" s="843"/>
      <c r="R311" s="843"/>
      <c r="S311" s="844">
        <f t="shared" si="49"/>
        <v>0</v>
      </c>
      <c r="T311" s="838"/>
      <c r="U311" s="842"/>
      <c r="V311" s="843"/>
      <c r="W311" s="843"/>
      <c r="X311" s="843"/>
      <c r="Y311" s="843"/>
      <c r="Z311" s="843"/>
      <c r="AA311" s="837"/>
      <c r="AB311" s="837"/>
      <c r="AC311" s="845">
        <f t="shared" si="50"/>
        <v>0</v>
      </c>
      <c r="AD311" s="846">
        <f t="shared" si="51"/>
        <v>0</v>
      </c>
      <c r="AE311" s="847">
        <f t="shared" si="52"/>
        <v>0</v>
      </c>
      <c r="AF311" s="855">
        <f t="shared" si="45"/>
        <v>0</v>
      </c>
      <c r="AG311" s="848">
        <f>IF('Input Sheet'!$C$15="Yes",'Input Sheet'!$F$8,0)</f>
        <v>0</v>
      </c>
      <c r="AH311" s="846">
        <f>IF('Input Sheet'!$C$15="Yes",Rates!$E$45,0)</f>
        <v>0</v>
      </c>
      <c r="AI311" s="849">
        <f>IF('Input Sheet'!$C$15="Yes",'Input Sheet'!$F$11,0)</f>
        <v>0</v>
      </c>
      <c r="AJ311" s="850">
        <f>IF('Input Sheet'!$C$15="Yes",'Input Sheet'!$F$7,0)</f>
        <v>0</v>
      </c>
      <c r="AK311" s="856">
        <f t="shared" si="46"/>
        <v>0</v>
      </c>
      <c r="AL311" s="856">
        <f t="shared" si="47"/>
        <v>0</v>
      </c>
      <c r="AM311" s="856">
        <f t="shared" si="53"/>
        <v>0</v>
      </c>
      <c r="AN311" s="856">
        <f t="shared" si="48"/>
        <v>0</v>
      </c>
      <c r="AO311" s="852">
        <f t="shared" si="54"/>
        <v>0</v>
      </c>
      <c r="AP311" s="853">
        <f t="shared" si="55"/>
        <v>0</v>
      </c>
      <c r="AQ311" s="854">
        <f>IFERROR(P311*'Input Sheet'!$F$8/(((AI311)*AK311*2)-AN311),0)</f>
        <v>0</v>
      </c>
      <c r="AR311" s="854">
        <f>IFERROR(($P311-$AF311)*'Input Sheet'!$F$8/(((AI311)*AK311*2)-AN311),0)</f>
        <v>0</v>
      </c>
    </row>
    <row r="312" spans="2:44" s="798" customFormat="1" ht="30" customHeight="1" thickBot="1" x14ac:dyDescent="0.3">
      <c r="B312" s="835"/>
      <c r="C312" s="836"/>
      <c r="D312" s="836"/>
      <c r="E312" s="837"/>
      <c r="F312" s="837"/>
      <c r="G312" s="838"/>
      <c r="H312" s="838"/>
      <c r="I312" s="839"/>
      <c r="J312" s="839"/>
      <c r="K312" s="840"/>
      <c r="L312" s="841"/>
      <c r="M312" s="841"/>
      <c r="N312" s="842"/>
      <c r="O312" s="842"/>
      <c r="P312" s="843"/>
      <c r="Q312" s="843"/>
      <c r="R312" s="843"/>
      <c r="S312" s="844">
        <f t="shared" si="49"/>
        <v>0</v>
      </c>
      <c r="T312" s="838"/>
      <c r="U312" s="842"/>
      <c r="V312" s="843"/>
      <c r="W312" s="843"/>
      <c r="X312" s="843"/>
      <c r="Y312" s="843"/>
      <c r="Z312" s="843"/>
      <c r="AA312" s="837"/>
      <c r="AB312" s="837"/>
      <c r="AC312" s="845">
        <f t="shared" si="50"/>
        <v>0</v>
      </c>
      <c r="AD312" s="846">
        <f t="shared" si="51"/>
        <v>0</v>
      </c>
      <c r="AE312" s="847">
        <f t="shared" si="52"/>
        <v>0</v>
      </c>
      <c r="AF312" s="855">
        <f t="shared" si="45"/>
        <v>0</v>
      </c>
      <c r="AG312" s="848">
        <f>IF('Input Sheet'!$C$15="Yes",'Input Sheet'!$F$8,0)</f>
        <v>0</v>
      </c>
      <c r="AH312" s="846">
        <f>IF('Input Sheet'!$C$15="Yes",Rates!$E$45,0)</f>
        <v>0</v>
      </c>
      <c r="AI312" s="849">
        <f>IF('Input Sheet'!$C$15="Yes",'Input Sheet'!$F$11,0)</f>
        <v>0</v>
      </c>
      <c r="AJ312" s="850">
        <f>IF('Input Sheet'!$C$15="Yes",'Input Sheet'!$F$7,0)</f>
        <v>0</v>
      </c>
      <c r="AK312" s="856">
        <f t="shared" si="46"/>
        <v>0</v>
      </c>
      <c r="AL312" s="856">
        <f t="shared" si="47"/>
        <v>0</v>
      </c>
      <c r="AM312" s="856">
        <f t="shared" si="53"/>
        <v>0</v>
      </c>
      <c r="AN312" s="856">
        <f t="shared" si="48"/>
        <v>0</v>
      </c>
      <c r="AO312" s="852">
        <f t="shared" si="54"/>
        <v>0</v>
      </c>
      <c r="AP312" s="853">
        <f t="shared" si="55"/>
        <v>0</v>
      </c>
      <c r="AQ312" s="854">
        <f>IFERROR(P312*'Input Sheet'!$F$8/(((AI312)*AK312*2)-AN312),0)</f>
        <v>0</v>
      </c>
      <c r="AR312" s="854">
        <f>IFERROR(($P312-$AF312)*'Input Sheet'!$F$8/(((AI312)*AK312*2)-AN312),0)</f>
        <v>0</v>
      </c>
    </row>
    <row r="313" spans="2:44" s="798" customFormat="1" ht="30" customHeight="1" thickBot="1" x14ac:dyDescent="0.3">
      <c r="B313" s="835"/>
      <c r="C313" s="836"/>
      <c r="D313" s="836"/>
      <c r="E313" s="837"/>
      <c r="F313" s="837"/>
      <c r="G313" s="838"/>
      <c r="H313" s="838"/>
      <c r="I313" s="839"/>
      <c r="J313" s="839"/>
      <c r="K313" s="840"/>
      <c r="L313" s="841"/>
      <c r="M313" s="841"/>
      <c r="N313" s="842"/>
      <c r="O313" s="842"/>
      <c r="P313" s="843"/>
      <c r="Q313" s="843"/>
      <c r="R313" s="843"/>
      <c r="S313" s="844">
        <f t="shared" si="49"/>
        <v>0</v>
      </c>
      <c r="T313" s="838"/>
      <c r="U313" s="842"/>
      <c r="V313" s="843"/>
      <c r="W313" s="843"/>
      <c r="X313" s="843"/>
      <c r="Y313" s="843"/>
      <c r="Z313" s="843"/>
      <c r="AA313" s="837"/>
      <c r="AB313" s="837"/>
      <c r="AC313" s="845">
        <f t="shared" si="50"/>
        <v>0</v>
      </c>
      <c r="AD313" s="846">
        <f t="shared" si="51"/>
        <v>0</v>
      </c>
      <c r="AE313" s="847">
        <f t="shared" si="52"/>
        <v>0</v>
      </c>
      <c r="AF313" s="855">
        <f t="shared" si="45"/>
        <v>0</v>
      </c>
      <c r="AG313" s="848">
        <f>IF('Input Sheet'!$C$15="Yes",'Input Sheet'!$F$8,0)</f>
        <v>0</v>
      </c>
      <c r="AH313" s="846">
        <f>IF('Input Sheet'!$C$15="Yes",Rates!$E$45,0)</f>
        <v>0</v>
      </c>
      <c r="AI313" s="849">
        <f>IF('Input Sheet'!$C$15="Yes",'Input Sheet'!$F$11,0)</f>
        <v>0</v>
      </c>
      <c r="AJ313" s="850">
        <f>IF('Input Sheet'!$C$15="Yes",'Input Sheet'!$F$7,0)</f>
        <v>0</v>
      </c>
      <c r="AK313" s="856">
        <f t="shared" si="46"/>
        <v>0</v>
      </c>
      <c r="AL313" s="856">
        <f t="shared" si="47"/>
        <v>0</v>
      </c>
      <c r="AM313" s="856">
        <f t="shared" si="53"/>
        <v>0</v>
      </c>
      <c r="AN313" s="856">
        <f t="shared" si="48"/>
        <v>0</v>
      </c>
      <c r="AO313" s="852">
        <f t="shared" si="54"/>
        <v>0</v>
      </c>
      <c r="AP313" s="853">
        <f t="shared" si="55"/>
        <v>0</v>
      </c>
      <c r="AQ313" s="854">
        <f>IFERROR(P313*'Input Sheet'!$F$8/(((AI313)*AK313*2)-AN313),0)</f>
        <v>0</v>
      </c>
      <c r="AR313" s="854">
        <f>IFERROR(($P313-$AF313)*'Input Sheet'!$F$8/(((AI313)*AK313*2)-AN313),0)</f>
        <v>0</v>
      </c>
    </row>
    <row r="314" spans="2:44" s="798" customFormat="1" ht="30" customHeight="1" thickBot="1" x14ac:dyDescent="0.3">
      <c r="B314" s="835"/>
      <c r="C314" s="836"/>
      <c r="D314" s="836"/>
      <c r="E314" s="837"/>
      <c r="F314" s="837"/>
      <c r="G314" s="838"/>
      <c r="H314" s="838"/>
      <c r="I314" s="839"/>
      <c r="J314" s="839"/>
      <c r="K314" s="840"/>
      <c r="L314" s="841"/>
      <c r="M314" s="841"/>
      <c r="N314" s="842"/>
      <c r="O314" s="842"/>
      <c r="P314" s="843"/>
      <c r="Q314" s="843"/>
      <c r="R314" s="843"/>
      <c r="S314" s="844">
        <f t="shared" si="49"/>
        <v>0</v>
      </c>
      <c r="T314" s="838"/>
      <c r="U314" s="842"/>
      <c r="V314" s="843"/>
      <c r="W314" s="843"/>
      <c r="X314" s="843"/>
      <c r="Y314" s="843"/>
      <c r="Z314" s="843"/>
      <c r="AA314" s="837"/>
      <c r="AB314" s="837"/>
      <c r="AC314" s="845">
        <f t="shared" si="50"/>
        <v>0</v>
      </c>
      <c r="AD314" s="846">
        <f t="shared" si="51"/>
        <v>0</v>
      </c>
      <c r="AE314" s="847">
        <f t="shared" si="52"/>
        <v>0</v>
      </c>
      <c r="AF314" s="855">
        <f t="shared" si="45"/>
        <v>0</v>
      </c>
      <c r="AG314" s="848">
        <f>IF('Input Sheet'!$C$15="Yes",'Input Sheet'!$F$8,0)</f>
        <v>0</v>
      </c>
      <c r="AH314" s="846">
        <f>IF('Input Sheet'!$C$15="Yes",Rates!$E$45,0)</f>
        <v>0</v>
      </c>
      <c r="AI314" s="849">
        <f>IF('Input Sheet'!$C$15="Yes",'Input Sheet'!$F$11,0)</f>
        <v>0</v>
      </c>
      <c r="AJ314" s="850">
        <f>IF('Input Sheet'!$C$15="Yes",'Input Sheet'!$F$7,0)</f>
        <v>0</v>
      </c>
      <c r="AK314" s="856">
        <f t="shared" si="46"/>
        <v>0</v>
      </c>
      <c r="AL314" s="856">
        <f t="shared" si="47"/>
        <v>0</v>
      </c>
      <c r="AM314" s="856">
        <f t="shared" si="53"/>
        <v>0</v>
      </c>
      <c r="AN314" s="856">
        <f t="shared" si="48"/>
        <v>0</v>
      </c>
      <c r="AO314" s="852">
        <f t="shared" si="54"/>
        <v>0</v>
      </c>
      <c r="AP314" s="853">
        <f t="shared" si="55"/>
        <v>0</v>
      </c>
      <c r="AQ314" s="854">
        <f>IFERROR(P314*'Input Sheet'!$F$8/(((AI314)*AK314*2)-AN314),0)</f>
        <v>0</v>
      </c>
      <c r="AR314" s="854">
        <f>IFERROR(($P314-$AF314)*'Input Sheet'!$F$8/(((AI314)*AK314*2)-AN314),0)</f>
        <v>0</v>
      </c>
    </row>
    <row r="315" spans="2:44" s="798" customFormat="1" ht="30" customHeight="1" thickBot="1" x14ac:dyDescent="0.3">
      <c r="B315" s="835"/>
      <c r="C315" s="836"/>
      <c r="D315" s="836"/>
      <c r="E315" s="837"/>
      <c r="F315" s="837"/>
      <c r="G315" s="838"/>
      <c r="H315" s="838"/>
      <c r="I315" s="839"/>
      <c r="J315" s="839"/>
      <c r="K315" s="840"/>
      <c r="L315" s="841"/>
      <c r="M315" s="841"/>
      <c r="N315" s="842"/>
      <c r="O315" s="842"/>
      <c r="P315" s="843"/>
      <c r="Q315" s="843"/>
      <c r="R315" s="843"/>
      <c r="S315" s="844">
        <f t="shared" si="49"/>
        <v>0</v>
      </c>
      <c r="T315" s="838"/>
      <c r="U315" s="842"/>
      <c r="V315" s="843"/>
      <c r="W315" s="843"/>
      <c r="X315" s="843"/>
      <c r="Y315" s="843"/>
      <c r="Z315" s="843"/>
      <c r="AA315" s="837"/>
      <c r="AB315" s="837"/>
      <c r="AC315" s="845">
        <f t="shared" si="50"/>
        <v>0</v>
      </c>
      <c r="AD315" s="846">
        <f t="shared" si="51"/>
        <v>0</v>
      </c>
      <c r="AE315" s="847">
        <f t="shared" si="52"/>
        <v>0</v>
      </c>
      <c r="AF315" s="855">
        <f t="shared" si="45"/>
        <v>0</v>
      </c>
      <c r="AG315" s="848">
        <f>IF('Input Sheet'!$C$15="Yes",'Input Sheet'!$F$8,0)</f>
        <v>0</v>
      </c>
      <c r="AH315" s="846">
        <f>IF('Input Sheet'!$C$15="Yes",Rates!$E$45,0)</f>
        <v>0</v>
      </c>
      <c r="AI315" s="849">
        <f>IF('Input Sheet'!$C$15="Yes",'Input Sheet'!$F$11,0)</f>
        <v>0</v>
      </c>
      <c r="AJ315" s="850">
        <f>IF('Input Sheet'!$C$15="Yes",'Input Sheet'!$F$7,0)</f>
        <v>0</v>
      </c>
      <c r="AK315" s="856">
        <f t="shared" si="46"/>
        <v>0</v>
      </c>
      <c r="AL315" s="856">
        <f t="shared" si="47"/>
        <v>0</v>
      </c>
      <c r="AM315" s="856">
        <f t="shared" si="53"/>
        <v>0</v>
      </c>
      <c r="AN315" s="856">
        <f t="shared" si="48"/>
        <v>0</v>
      </c>
      <c r="AO315" s="852">
        <f t="shared" si="54"/>
        <v>0</v>
      </c>
      <c r="AP315" s="853">
        <f t="shared" si="55"/>
        <v>0</v>
      </c>
      <c r="AQ315" s="854">
        <f>IFERROR(P315*'Input Sheet'!$F$8/(((AI315)*AK315*2)-AN315),0)</f>
        <v>0</v>
      </c>
      <c r="AR315" s="854">
        <f>IFERROR(($P315-$AF315)*'Input Sheet'!$F$8/(((AI315)*AK315*2)-AN315),0)</f>
        <v>0</v>
      </c>
    </row>
    <row r="316" spans="2:44" s="798" customFormat="1" ht="30" customHeight="1" thickBot="1" x14ac:dyDescent="0.3">
      <c r="B316" s="835"/>
      <c r="C316" s="836"/>
      <c r="D316" s="836"/>
      <c r="E316" s="837"/>
      <c r="F316" s="837"/>
      <c r="G316" s="838"/>
      <c r="H316" s="838"/>
      <c r="I316" s="839"/>
      <c r="J316" s="839"/>
      <c r="K316" s="840"/>
      <c r="L316" s="841"/>
      <c r="M316" s="841"/>
      <c r="N316" s="842"/>
      <c r="O316" s="842"/>
      <c r="P316" s="843"/>
      <c r="Q316" s="843"/>
      <c r="R316" s="843"/>
      <c r="S316" s="844">
        <f t="shared" si="49"/>
        <v>0</v>
      </c>
      <c r="T316" s="838"/>
      <c r="U316" s="842"/>
      <c r="V316" s="843"/>
      <c r="W316" s="843"/>
      <c r="X316" s="843"/>
      <c r="Y316" s="843"/>
      <c r="Z316" s="843"/>
      <c r="AA316" s="837"/>
      <c r="AB316" s="837"/>
      <c r="AC316" s="845">
        <f t="shared" si="50"/>
        <v>0</v>
      </c>
      <c r="AD316" s="846">
        <f t="shared" si="51"/>
        <v>0</v>
      </c>
      <c r="AE316" s="847">
        <f t="shared" si="52"/>
        <v>0</v>
      </c>
      <c r="AF316" s="855">
        <f t="shared" si="45"/>
        <v>0</v>
      </c>
      <c r="AG316" s="848">
        <f>IF('Input Sheet'!$C$15="Yes",'Input Sheet'!$F$8,0)</f>
        <v>0</v>
      </c>
      <c r="AH316" s="846">
        <f>IF('Input Sheet'!$C$15="Yes",Rates!$E$45,0)</f>
        <v>0</v>
      </c>
      <c r="AI316" s="849">
        <f>IF('Input Sheet'!$C$15="Yes",'Input Sheet'!$F$11,0)</f>
        <v>0</v>
      </c>
      <c r="AJ316" s="850">
        <f>IF('Input Sheet'!$C$15="Yes",'Input Sheet'!$F$7,0)</f>
        <v>0</v>
      </c>
      <c r="AK316" s="856">
        <f t="shared" si="46"/>
        <v>0</v>
      </c>
      <c r="AL316" s="856">
        <f t="shared" si="47"/>
        <v>0</v>
      </c>
      <c r="AM316" s="856">
        <f t="shared" si="53"/>
        <v>0</v>
      </c>
      <c r="AN316" s="856">
        <f t="shared" si="48"/>
        <v>0</v>
      </c>
      <c r="AO316" s="852">
        <f t="shared" si="54"/>
        <v>0</v>
      </c>
      <c r="AP316" s="853">
        <f t="shared" si="55"/>
        <v>0</v>
      </c>
      <c r="AQ316" s="854">
        <f>IFERROR(P316*'Input Sheet'!$F$8/(((AI316)*AK316*2)-AN316),0)</f>
        <v>0</v>
      </c>
      <c r="AR316" s="854">
        <f>IFERROR(($P316-$AF316)*'Input Sheet'!$F$8/(((AI316)*AK316*2)-AN316),0)</f>
        <v>0</v>
      </c>
    </row>
    <row r="317" spans="2:44" s="798" customFormat="1" ht="30" customHeight="1" thickBot="1" x14ac:dyDescent="0.3">
      <c r="B317" s="835"/>
      <c r="C317" s="836"/>
      <c r="D317" s="836"/>
      <c r="E317" s="837"/>
      <c r="F317" s="837"/>
      <c r="G317" s="838"/>
      <c r="H317" s="838"/>
      <c r="I317" s="839"/>
      <c r="J317" s="839"/>
      <c r="K317" s="840"/>
      <c r="L317" s="841"/>
      <c r="M317" s="841"/>
      <c r="N317" s="842"/>
      <c r="O317" s="842"/>
      <c r="P317" s="843"/>
      <c r="Q317" s="843"/>
      <c r="R317" s="843"/>
      <c r="S317" s="844">
        <f t="shared" si="49"/>
        <v>0</v>
      </c>
      <c r="T317" s="838"/>
      <c r="U317" s="842"/>
      <c r="V317" s="843"/>
      <c r="W317" s="843"/>
      <c r="X317" s="843"/>
      <c r="Y317" s="843"/>
      <c r="Z317" s="843"/>
      <c r="AA317" s="837"/>
      <c r="AB317" s="837"/>
      <c r="AC317" s="845">
        <f t="shared" si="50"/>
        <v>0</v>
      </c>
      <c r="AD317" s="846">
        <f t="shared" si="51"/>
        <v>0</v>
      </c>
      <c r="AE317" s="847">
        <f t="shared" si="52"/>
        <v>0</v>
      </c>
      <c r="AF317" s="855">
        <f t="shared" si="45"/>
        <v>0</v>
      </c>
      <c r="AG317" s="848">
        <f>IF('Input Sheet'!$C$15="Yes",'Input Sheet'!$F$8,0)</f>
        <v>0</v>
      </c>
      <c r="AH317" s="846">
        <f>IF('Input Sheet'!$C$15="Yes",Rates!$E$45,0)</f>
        <v>0</v>
      </c>
      <c r="AI317" s="849">
        <f>IF('Input Sheet'!$C$15="Yes",'Input Sheet'!$F$11,0)</f>
        <v>0</v>
      </c>
      <c r="AJ317" s="850">
        <f>IF('Input Sheet'!$C$15="Yes",'Input Sheet'!$F$7,0)</f>
        <v>0</v>
      </c>
      <c r="AK317" s="856">
        <f t="shared" si="46"/>
        <v>0</v>
      </c>
      <c r="AL317" s="856">
        <f t="shared" si="47"/>
        <v>0</v>
      </c>
      <c r="AM317" s="856">
        <f t="shared" si="53"/>
        <v>0</v>
      </c>
      <c r="AN317" s="856">
        <f t="shared" si="48"/>
        <v>0</v>
      </c>
      <c r="AO317" s="852">
        <f t="shared" si="54"/>
        <v>0</v>
      </c>
      <c r="AP317" s="853">
        <f t="shared" si="55"/>
        <v>0</v>
      </c>
      <c r="AQ317" s="854">
        <f>IFERROR(P317*'Input Sheet'!$F$8/(((AI317)*AK317*2)-AN317),0)</f>
        <v>0</v>
      </c>
      <c r="AR317" s="854">
        <f>IFERROR(($P317-$AF317)*'Input Sheet'!$F$8/(((AI317)*AK317*2)-AN317),0)</f>
        <v>0</v>
      </c>
    </row>
    <row r="318" spans="2:44" s="798" customFormat="1" ht="30" customHeight="1" thickBot="1" x14ac:dyDescent="0.3">
      <c r="B318" s="835"/>
      <c r="C318" s="836"/>
      <c r="D318" s="836"/>
      <c r="E318" s="837"/>
      <c r="F318" s="837"/>
      <c r="G318" s="838"/>
      <c r="H318" s="838"/>
      <c r="I318" s="839"/>
      <c r="J318" s="839"/>
      <c r="K318" s="840"/>
      <c r="L318" s="841"/>
      <c r="M318" s="841"/>
      <c r="N318" s="842"/>
      <c r="O318" s="842"/>
      <c r="P318" s="843"/>
      <c r="Q318" s="843"/>
      <c r="R318" s="843"/>
      <c r="S318" s="844">
        <f t="shared" si="49"/>
        <v>0</v>
      </c>
      <c r="T318" s="838"/>
      <c r="U318" s="842"/>
      <c r="V318" s="843"/>
      <c r="W318" s="843"/>
      <c r="X318" s="843"/>
      <c r="Y318" s="843"/>
      <c r="Z318" s="843"/>
      <c r="AA318" s="837"/>
      <c r="AB318" s="837"/>
      <c r="AC318" s="845">
        <f t="shared" si="50"/>
        <v>0</v>
      </c>
      <c r="AD318" s="846">
        <f t="shared" si="51"/>
        <v>0</v>
      </c>
      <c r="AE318" s="847">
        <f t="shared" si="52"/>
        <v>0</v>
      </c>
      <c r="AF318" s="855">
        <f t="shared" si="45"/>
        <v>0</v>
      </c>
      <c r="AG318" s="848">
        <f>IF('Input Sheet'!$C$15="Yes",'Input Sheet'!$F$8,0)</f>
        <v>0</v>
      </c>
      <c r="AH318" s="846">
        <f>IF('Input Sheet'!$C$15="Yes",Rates!$E$45,0)</f>
        <v>0</v>
      </c>
      <c r="AI318" s="849">
        <f>IF('Input Sheet'!$C$15="Yes",'Input Sheet'!$F$11,0)</f>
        <v>0</v>
      </c>
      <c r="AJ318" s="850">
        <f>IF('Input Sheet'!$C$15="Yes",'Input Sheet'!$F$7,0)</f>
        <v>0</v>
      </c>
      <c r="AK318" s="856">
        <f t="shared" si="46"/>
        <v>0</v>
      </c>
      <c r="AL318" s="856">
        <f t="shared" si="47"/>
        <v>0</v>
      </c>
      <c r="AM318" s="856">
        <f t="shared" si="53"/>
        <v>0</v>
      </c>
      <c r="AN318" s="856">
        <f t="shared" si="48"/>
        <v>0</v>
      </c>
      <c r="AO318" s="852">
        <f t="shared" si="54"/>
        <v>0</v>
      </c>
      <c r="AP318" s="853">
        <f t="shared" si="55"/>
        <v>0</v>
      </c>
      <c r="AQ318" s="854">
        <f>IFERROR(P318*'Input Sheet'!$F$8/(((AI318)*AK318*2)-AN318),0)</f>
        <v>0</v>
      </c>
      <c r="AR318" s="854">
        <f>IFERROR(($P318-$AF318)*'Input Sheet'!$F$8/(((AI318)*AK318*2)-AN318),0)</f>
        <v>0</v>
      </c>
    </row>
    <row r="319" spans="2:44" s="798" customFormat="1" ht="30" customHeight="1" thickBot="1" x14ac:dyDescent="0.3">
      <c r="B319" s="835"/>
      <c r="C319" s="836"/>
      <c r="D319" s="836"/>
      <c r="E319" s="837"/>
      <c r="F319" s="837"/>
      <c r="G319" s="838"/>
      <c r="H319" s="838"/>
      <c r="I319" s="839"/>
      <c r="J319" s="839"/>
      <c r="K319" s="840"/>
      <c r="L319" s="841"/>
      <c r="M319" s="841"/>
      <c r="N319" s="842"/>
      <c r="O319" s="842"/>
      <c r="P319" s="843"/>
      <c r="Q319" s="843"/>
      <c r="R319" s="843"/>
      <c r="S319" s="844">
        <f t="shared" si="49"/>
        <v>0</v>
      </c>
      <c r="T319" s="838"/>
      <c r="U319" s="842"/>
      <c r="V319" s="843"/>
      <c r="W319" s="843"/>
      <c r="X319" s="843"/>
      <c r="Y319" s="843"/>
      <c r="Z319" s="843"/>
      <c r="AA319" s="837"/>
      <c r="AB319" s="837"/>
      <c r="AC319" s="845">
        <f t="shared" si="50"/>
        <v>0</v>
      </c>
      <c r="AD319" s="846">
        <f t="shared" si="51"/>
        <v>0</v>
      </c>
      <c r="AE319" s="847">
        <f t="shared" si="52"/>
        <v>0</v>
      </c>
      <c r="AF319" s="855">
        <f t="shared" si="45"/>
        <v>0</v>
      </c>
      <c r="AG319" s="848">
        <f>IF('Input Sheet'!$C$15="Yes",'Input Sheet'!$F$8,0)</f>
        <v>0</v>
      </c>
      <c r="AH319" s="846">
        <f>IF('Input Sheet'!$C$15="Yes",Rates!$E$45,0)</f>
        <v>0</v>
      </c>
      <c r="AI319" s="849">
        <f>IF('Input Sheet'!$C$15="Yes",'Input Sheet'!$F$11,0)</f>
        <v>0</v>
      </c>
      <c r="AJ319" s="850">
        <f>IF('Input Sheet'!$C$15="Yes",'Input Sheet'!$F$7,0)</f>
        <v>0</v>
      </c>
      <c r="AK319" s="856">
        <f t="shared" si="46"/>
        <v>0</v>
      </c>
      <c r="AL319" s="856">
        <f t="shared" si="47"/>
        <v>0</v>
      </c>
      <c r="AM319" s="856">
        <f t="shared" si="53"/>
        <v>0</v>
      </c>
      <c r="AN319" s="856">
        <f t="shared" si="48"/>
        <v>0</v>
      </c>
      <c r="AO319" s="852">
        <f t="shared" si="54"/>
        <v>0</v>
      </c>
      <c r="AP319" s="853">
        <f t="shared" si="55"/>
        <v>0</v>
      </c>
      <c r="AQ319" s="854">
        <f>IFERROR(P319*'Input Sheet'!$F$8/(((AI319)*AK319*2)-AN319),0)</f>
        <v>0</v>
      </c>
      <c r="AR319" s="854">
        <f>IFERROR(($P319-$AF319)*'Input Sheet'!$F$8/(((AI319)*AK319*2)-AN319),0)</f>
        <v>0</v>
      </c>
    </row>
    <row r="320" spans="2:44" s="798" customFormat="1" ht="30" customHeight="1" thickBot="1" x14ac:dyDescent="0.3">
      <c r="B320" s="835"/>
      <c r="C320" s="836"/>
      <c r="D320" s="836"/>
      <c r="E320" s="837"/>
      <c r="F320" s="837"/>
      <c r="G320" s="838"/>
      <c r="H320" s="838"/>
      <c r="I320" s="839"/>
      <c r="J320" s="839"/>
      <c r="K320" s="840"/>
      <c r="L320" s="841"/>
      <c r="M320" s="841"/>
      <c r="N320" s="842"/>
      <c r="O320" s="842"/>
      <c r="P320" s="843"/>
      <c r="Q320" s="843"/>
      <c r="R320" s="843"/>
      <c r="S320" s="844">
        <f t="shared" si="49"/>
        <v>0</v>
      </c>
      <c r="T320" s="838"/>
      <c r="U320" s="842"/>
      <c r="V320" s="843"/>
      <c r="W320" s="843"/>
      <c r="X320" s="843"/>
      <c r="Y320" s="843"/>
      <c r="Z320" s="843"/>
      <c r="AA320" s="837"/>
      <c r="AB320" s="837"/>
      <c r="AC320" s="845">
        <f t="shared" si="50"/>
        <v>0</v>
      </c>
      <c r="AD320" s="846">
        <f t="shared" si="51"/>
        <v>0</v>
      </c>
      <c r="AE320" s="847">
        <f t="shared" si="52"/>
        <v>0</v>
      </c>
      <c r="AF320" s="855">
        <f t="shared" si="45"/>
        <v>0</v>
      </c>
      <c r="AG320" s="848">
        <f>IF('Input Sheet'!$C$15="Yes",'Input Sheet'!$F$8,0)</f>
        <v>0</v>
      </c>
      <c r="AH320" s="846">
        <f>IF('Input Sheet'!$C$15="Yes",Rates!$E$45,0)</f>
        <v>0</v>
      </c>
      <c r="AI320" s="849">
        <f>IF('Input Sheet'!$C$15="Yes",'Input Sheet'!$F$11,0)</f>
        <v>0</v>
      </c>
      <c r="AJ320" s="850">
        <f>IF('Input Sheet'!$C$15="Yes",'Input Sheet'!$F$7,0)</f>
        <v>0</v>
      </c>
      <c r="AK320" s="856">
        <f t="shared" si="46"/>
        <v>0</v>
      </c>
      <c r="AL320" s="856">
        <f t="shared" si="47"/>
        <v>0</v>
      </c>
      <c r="AM320" s="856">
        <f t="shared" si="53"/>
        <v>0</v>
      </c>
      <c r="AN320" s="856">
        <f t="shared" si="48"/>
        <v>0</v>
      </c>
      <c r="AO320" s="852">
        <f t="shared" si="54"/>
        <v>0</v>
      </c>
      <c r="AP320" s="853">
        <f t="shared" si="55"/>
        <v>0</v>
      </c>
      <c r="AQ320" s="854">
        <f>IFERROR(P320*'Input Sheet'!$F$8/(((AI320)*AK320*2)-AN320),0)</f>
        <v>0</v>
      </c>
      <c r="AR320" s="854">
        <f>IFERROR(($P320-$AF320)*'Input Sheet'!$F$8/(((AI320)*AK320*2)-AN320),0)</f>
        <v>0</v>
      </c>
    </row>
    <row r="321" spans="2:44" s="798" customFormat="1" ht="30" customHeight="1" thickBot="1" x14ac:dyDescent="0.3">
      <c r="B321" s="835"/>
      <c r="C321" s="836"/>
      <c r="D321" s="836"/>
      <c r="E321" s="837"/>
      <c r="F321" s="837"/>
      <c r="G321" s="838"/>
      <c r="H321" s="838"/>
      <c r="I321" s="839"/>
      <c r="J321" s="839"/>
      <c r="K321" s="840"/>
      <c r="L321" s="841"/>
      <c r="M321" s="841"/>
      <c r="N321" s="842"/>
      <c r="O321" s="842"/>
      <c r="P321" s="843"/>
      <c r="Q321" s="843"/>
      <c r="R321" s="843"/>
      <c r="S321" s="844">
        <f t="shared" si="49"/>
        <v>0</v>
      </c>
      <c r="T321" s="838"/>
      <c r="U321" s="842"/>
      <c r="V321" s="843"/>
      <c r="W321" s="843"/>
      <c r="X321" s="843"/>
      <c r="Y321" s="843"/>
      <c r="Z321" s="843"/>
      <c r="AA321" s="837"/>
      <c r="AB321" s="837"/>
      <c r="AC321" s="845">
        <f t="shared" si="50"/>
        <v>0</v>
      </c>
      <c r="AD321" s="846">
        <f t="shared" si="51"/>
        <v>0</v>
      </c>
      <c r="AE321" s="847">
        <f t="shared" si="52"/>
        <v>0</v>
      </c>
      <c r="AF321" s="855">
        <f t="shared" si="45"/>
        <v>0</v>
      </c>
      <c r="AG321" s="848">
        <f>IF('Input Sheet'!$C$15="Yes",'Input Sheet'!$F$8,0)</f>
        <v>0</v>
      </c>
      <c r="AH321" s="846">
        <f>IF('Input Sheet'!$C$15="Yes",Rates!$E$45,0)</f>
        <v>0</v>
      </c>
      <c r="AI321" s="849">
        <f>IF('Input Sheet'!$C$15="Yes",'Input Sheet'!$F$11,0)</f>
        <v>0</v>
      </c>
      <c r="AJ321" s="850">
        <f>IF('Input Sheet'!$C$15="Yes",'Input Sheet'!$F$7,0)</f>
        <v>0</v>
      </c>
      <c r="AK321" s="856">
        <f t="shared" si="46"/>
        <v>0</v>
      </c>
      <c r="AL321" s="856">
        <f t="shared" si="47"/>
        <v>0</v>
      </c>
      <c r="AM321" s="856">
        <f t="shared" si="53"/>
        <v>0</v>
      </c>
      <c r="AN321" s="856">
        <f t="shared" si="48"/>
        <v>0</v>
      </c>
      <c r="AO321" s="852">
        <f t="shared" si="54"/>
        <v>0</v>
      </c>
      <c r="AP321" s="853">
        <f t="shared" si="55"/>
        <v>0</v>
      </c>
      <c r="AQ321" s="854">
        <f>IFERROR(P321*'Input Sheet'!$F$8/(((AI321)*AK321*2)-AN321),0)</f>
        <v>0</v>
      </c>
      <c r="AR321" s="854">
        <f>IFERROR(($P321-$AF321)*'Input Sheet'!$F$8/(((AI321)*AK321*2)-AN321),0)</f>
        <v>0</v>
      </c>
    </row>
    <row r="322" spans="2:44" s="798" customFormat="1" ht="30" customHeight="1" thickBot="1" x14ac:dyDescent="0.3">
      <c r="B322" s="835"/>
      <c r="C322" s="836"/>
      <c r="D322" s="836"/>
      <c r="E322" s="837"/>
      <c r="F322" s="837"/>
      <c r="G322" s="838"/>
      <c r="H322" s="838"/>
      <c r="I322" s="839"/>
      <c r="J322" s="839"/>
      <c r="K322" s="840"/>
      <c r="L322" s="841"/>
      <c r="M322" s="841"/>
      <c r="N322" s="842"/>
      <c r="O322" s="842"/>
      <c r="P322" s="843"/>
      <c r="Q322" s="843"/>
      <c r="R322" s="843"/>
      <c r="S322" s="844">
        <f t="shared" si="49"/>
        <v>0</v>
      </c>
      <c r="T322" s="838"/>
      <c r="U322" s="842"/>
      <c r="V322" s="843"/>
      <c r="W322" s="843"/>
      <c r="X322" s="843"/>
      <c r="Y322" s="843"/>
      <c r="Z322" s="843"/>
      <c r="AA322" s="837"/>
      <c r="AB322" s="837"/>
      <c r="AC322" s="845">
        <f t="shared" si="50"/>
        <v>0</v>
      </c>
      <c r="AD322" s="846">
        <f t="shared" si="51"/>
        <v>0</v>
      </c>
      <c r="AE322" s="847">
        <f t="shared" si="52"/>
        <v>0</v>
      </c>
      <c r="AF322" s="855">
        <f t="shared" si="45"/>
        <v>0</v>
      </c>
      <c r="AG322" s="848">
        <f>IF('Input Sheet'!$C$15="Yes",'Input Sheet'!$F$8,0)</f>
        <v>0</v>
      </c>
      <c r="AH322" s="846">
        <f>IF('Input Sheet'!$C$15="Yes",Rates!$E$45,0)</f>
        <v>0</v>
      </c>
      <c r="AI322" s="849">
        <f>IF('Input Sheet'!$C$15="Yes",'Input Sheet'!$F$11,0)</f>
        <v>0</v>
      </c>
      <c r="AJ322" s="850">
        <f>IF('Input Sheet'!$C$15="Yes",'Input Sheet'!$F$7,0)</f>
        <v>0</v>
      </c>
      <c r="AK322" s="856">
        <f t="shared" si="46"/>
        <v>0</v>
      </c>
      <c r="AL322" s="856">
        <f t="shared" si="47"/>
        <v>0</v>
      </c>
      <c r="AM322" s="856">
        <f t="shared" si="53"/>
        <v>0</v>
      </c>
      <c r="AN322" s="856">
        <f t="shared" si="48"/>
        <v>0</v>
      </c>
      <c r="AO322" s="852">
        <f t="shared" si="54"/>
        <v>0</v>
      </c>
      <c r="AP322" s="853">
        <f t="shared" si="55"/>
        <v>0</v>
      </c>
      <c r="AQ322" s="854">
        <f>IFERROR(P322*'Input Sheet'!$F$8/(((AI322)*AK322*2)-AN322),0)</f>
        <v>0</v>
      </c>
      <c r="AR322" s="854">
        <f>IFERROR(($P322-$AF322)*'Input Sheet'!$F$8/(((AI322)*AK322*2)-AN322),0)</f>
        <v>0</v>
      </c>
    </row>
    <row r="323" spans="2:44" s="798" customFormat="1" ht="30" customHeight="1" thickBot="1" x14ac:dyDescent="0.3">
      <c r="B323" s="835"/>
      <c r="C323" s="836"/>
      <c r="D323" s="836"/>
      <c r="E323" s="837"/>
      <c r="F323" s="837"/>
      <c r="G323" s="838"/>
      <c r="H323" s="838"/>
      <c r="I323" s="839"/>
      <c r="J323" s="839"/>
      <c r="K323" s="840"/>
      <c r="L323" s="841"/>
      <c r="M323" s="841"/>
      <c r="N323" s="842"/>
      <c r="O323" s="842"/>
      <c r="P323" s="843"/>
      <c r="Q323" s="843"/>
      <c r="R323" s="843"/>
      <c r="S323" s="844">
        <f t="shared" si="49"/>
        <v>0</v>
      </c>
      <c r="T323" s="838"/>
      <c r="U323" s="842"/>
      <c r="V323" s="843"/>
      <c r="W323" s="843"/>
      <c r="X323" s="843"/>
      <c r="Y323" s="843"/>
      <c r="Z323" s="843"/>
      <c r="AA323" s="837"/>
      <c r="AB323" s="837"/>
      <c r="AC323" s="845">
        <f t="shared" si="50"/>
        <v>0</v>
      </c>
      <c r="AD323" s="846">
        <f t="shared" si="51"/>
        <v>0</v>
      </c>
      <c r="AE323" s="847">
        <f t="shared" si="52"/>
        <v>0</v>
      </c>
      <c r="AF323" s="855">
        <f t="shared" si="45"/>
        <v>0</v>
      </c>
      <c r="AG323" s="848">
        <f>IF('Input Sheet'!$C$15="Yes",'Input Sheet'!$F$8,0)</f>
        <v>0</v>
      </c>
      <c r="AH323" s="846">
        <f>IF('Input Sheet'!$C$15="Yes",Rates!$E$45,0)</f>
        <v>0</v>
      </c>
      <c r="AI323" s="849">
        <f>IF('Input Sheet'!$C$15="Yes",'Input Sheet'!$F$11,0)</f>
        <v>0</v>
      </c>
      <c r="AJ323" s="850">
        <f>IF('Input Sheet'!$C$15="Yes",'Input Sheet'!$F$7,0)</f>
        <v>0</v>
      </c>
      <c r="AK323" s="856">
        <f t="shared" si="46"/>
        <v>0</v>
      </c>
      <c r="AL323" s="856">
        <f t="shared" si="47"/>
        <v>0</v>
      </c>
      <c r="AM323" s="856">
        <f t="shared" si="53"/>
        <v>0</v>
      </c>
      <c r="AN323" s="856">
        <f t="shared" si="48"/>
        <v>0</v>
      </c>
      <c r="AO323" s="852">
        <f t="shared" si="54"/>
        <v>0</v>
      </c>
      <c r="AP323" s="853">
        <f t="shared" si="55"/>
        <v>0</v>
      </c>
      <c r="AQ323" s="854">
        <f>IFERROR(P323*'Input Sheet'!$F$8/(((AI323)*AK323*2)-AN323),0)</f>
        <v>0</v>
      </c>
      <c r="AR323" s="854">
        <f>IFERROR(($P323-$AF323)*'Input Sheet'!$F$8/(((AI323)*AK323*2)-AN323),0)</f>
        <v>0</v>
      </c>
    </row>
    <row r="324" spans="2:44" s="798" customFormat="1" ht="30" customHeight="1" thickBot="1" x14ac:dyDescent="0.3">
      <c r="B324" s="835"/>
      <c r="C324" s="836"/>
      <c r="D324" s="836"/>
      <c r="E324" s="837"/>
      <c r="F324" s="837"/>
      <c r="G324" s="838"/>
      <c r="H324" s="838"/>
      <c r="I324" s="839"/>
      <c r="J324" s="839"/>
      <c r="K324" s="840"/>
      <c r="L324" s="841"/>
      <c r="M324" s="841"/>
      <c r="N324" s="842"/>
      <c r="O324" s="842"/>
      <c r="P324" s="843"/>
      <c r="Q324" s="843"/>
      <c r="R324" s="843"/>
      <c r="S324" s="844">
        <f t="shared" si="49"/>
        <v>0</v>
      </c>
      <c r="T324" s="838"/>
      <c r="U324" s="842"/>
      <c r="V324" s="843"/>
      <c r="W324" s="843"/>
      <c r="X324" s="843"/>
      <c r="Y324" s="843"/>
      <c r="Z324" s="843"/>
      <c r="AA324" s="837"/>
      <c r="AB324" s="837"/>
      <c r="AC324" s="845">
        <f t="shared" si="50"/>
        <v>0</v>
      </c>
      <c r="AD324" s="846">
        <f t="shared" si="51"/>
        <v>0</v>
      </c>
      <c r="AE324" s="847">
        <f t="shared" si="52"/>
        <v>0</v>
      </c>
      <c r="AF324" s="855">
        <f t="shared" si="45"/>
        <v>0</v>
      </c>
      <c r="AG324" s="848">
        <f>IF('Input Sheet'!$C$15="Yes",'Input Sheet'!$F$8,0)</f>
        <v>0</v>
      </c>
      <c r="AH324" s="846">
        <f>IF('Input Sheet'!$C$15="Yes",Rates!$E$45,0)</f>
        <v>0</v>
      </c>
      <c r="AI324" s="849">
        <f>IF('Input Sheet'!$C$15="Yes",'Input Sheet'!$F$11,0)</f>
        <v>0</v>
      </c>
      <c r="AJ324" s="850">
        <f>IF('Input Sheet'!$C$15="Yes",'Input Sheet'!$F$7,0)</f>
        <v>0</v>
      </c>
      <c r="AK324" s="856">
        <f t="shared" si="46"/>
        <v>0</v>
      </c>
      <c r="AL324" s="856">
        <f t="shared" si="47"/>
        <v>0</v>
      </c>
      <c r="AM324" s="856">
        <f t="shared" si="53"/>
        <v>0</v>
      </c>
      <c r="AN324" s="856">
        <f t="shared" si="48"/>
        <v>0</v>
      </c>
      <c r="AO324" s="852">
        <f t="shared" si="54"/>
        <v>0</v>
      </c>
      <c r="AP324" s="853">
        <f t="shared" si="55"/>
        <v>0</v>
      </c>
      <c r="AQ324" s="854">
        <f>IFERROR(P324*'Input Sheet'!$F$8/(((AI324)*AK324*2)-AN324),0)</f>
        <v>0</v>
      </c>
      <c r="AR324" s="854">
        <f>IFERROR(($P324-$AF324)*'Input Sheet'!$F$8/(((AI324)*AK324*2)-AN324),0)</f>
        <v>0</v>
      </c>
    </row>
    <row r="325" spans="2:44" s="798" customFormat="1" ht="30" customHeight="1" thickBot="1" x14ac:dyDescent="0.3">
      <c r="B325" s="835"/>
      <c r="C325" s="836"/>
      <c r="D325" s="836"/>
      <c r="E325" s="837"/>
      <c r="F325" s="837"/>
      <c r="G325" s="838"/>
      <c r="H325" s="838"/>
      <c r="I325" s="839"/>
      <c r="J325" s="839"/>
      <c r="K325" s="840"/>
      <c r="L325" s="841"/>
      <c r="M325" s="841"/>
      <c r="N325" s="842"/>
      <c r="O325" s="842"/>
      <c r="P325" s="843"/>
      <c r="Q325" s="843"/>
      <c r="R325" s="843"/>
      <c r="S325" s="844">
        <f t="shared" si="49"/>
        <v>0</v>
      </c>
      <c r="T325" s="838"/>
      <c r="U325" s="842"/>
      <c r="V325" s="843"/>
      <c r="W325" s="843"/>
      <c r="X325" s="843"/>
      <c r="Y325" s="843"/>
      <c r="Z325" s="843"/>
      <c r="AA325" s="837"/>
      <c r="AB325" s="837"/>
      <c r="AC325" s="845">
        <f t="shared" si="50"/>
        <v>0</v>
      </c>
      <c r="AD325" s="846">
        <f t="shared" si="51"/>
        <v>0</v>
      </c>
      <c r="AE325" s="847">
        <f t="shared" si="52"/>
        <v>0</v>
      </c>
      <c r="AF325" s="855">
        <f t="shared" si="45"/>
        <v>0</v>
      </c>
      <c r="AG325" s="848">
        <f>IF('Input Sheet'!$C$15="Yes",'Input Sheet'!$F$8,0)</f>
        <v>0</v>
      </c>
      <c r="AH325" s="846">
        <f>IF('Input Sheet'!$C$15="Yes",Rates!$E$45,0)</f>
        <v>0</v>
      </c>
      <c r="AI325" s="849">
        <f>IF('Input Sheet'!$C$15="Yes",'Input Sheet'!$F$11,0)</f>
        <v>0</v>
      </c>
      <c r="AJ325" s="850">
        <f>IF('Input Sheet'!$C$15="Yes",'Input Sheet'!$F$7,0)</f>
        <v>0</v>
      </c>
      <c r="AK325" s="856">
        <f t="shared" si="46"/>
        <v>0</v>
      </c>
      <c r="AL325" s="856">
        <f t="shared" si="47"/>
        <v>0</v>
      </c>
      <c r="AM325" s="856">
        <f t="shared" si="53"/>
        <v>0</v>
      </c>
      <c r="AN325" s="856">
        <f t="shared" si="48"/>
        <v>0</v>
      </c>
      <c r="AO325" s="852">
        <f t="shared" si="54"/>
        <v>0</v>
      </c>
      <c r="AP325" s="853">
        <f t="shared" si="55"/>
        <v>0</v>
      </c>
      <c r="AQ325" s="854">
        <f>IFERROR(P325*'Input Sheet'!$F$8/(((AI325)*AK325*2)-AN325),0)</f>
        <v>0</v>
      </c>
      <c r="AR325" s="854">
        <f>IFERROR(($P325-$AF325)*'Input Sheet'!$F$8/(((AI325)*AK325*2)-AN325),0)</f>
        <v>0</v>
      </c>
    </row>
    <row r="326" spans="2:44" s="798" customFormat="1" ht="30" customHeight="1" thickBot="1" x14ac:dyDescent="0.3">
      <c r="B326" s="835"/>
      <c r="C326" s="836"/>
      <c r="D326" s="836"/>
      <c r="E326" s="837"/>
      <c r="F326" s="837"/>
      <c r="G326" s="838"/>
      <c r="H326" s="838"/>
      <c r="I326" s="839"/>
      <c r="J326" s="839"/>
      <c r="K326" s="840"/>
      <c r="L326" s="841"/>
      <c r="M326" s="841"/>
      <c r="N326" s="842"/>
      <c r="O326" s="842"/>
      <c r="P326" s="843"/>
      <c r="Q326" s="843"/>
      <c r="R326" s="843"/>
      <c r="S326" s="844">
        <f t="shared" si="49"/>
        <v>0</v>
      </c>
      <c r="T326" s="838"/>
      <c r="U326" s="842"/>
      <c r="V326" s="843"/>
      <c r="W326" s="843"/>
      <c r="X326" s="843"/>
      <c r="Y326" s="843"/>
      <c r="Z326" s="843"/>
      <c r="AA326" s="837"/>
      <c r="AB326" s="837"/>
      <c r="AC326" s="845">
        <f t="shared" si="50"/>
        <v>0</v>
      </c>
      <c r="AD326" s="846">
        <f t="shared" si="51"/>
        <v>0</v>
      </c>
      <c r="AE326" s="847">
        <f t="shared" si="52"/>
        <v>0</v>
      </c>
      <c r="AF326" s="855">
        <f t="shared" si="45"/>
        <v>0</v>
      </c>
      <c r="AG326" s="848">
        <f>IF('Input Sheet'!$C$15="Yes",'Input Sheet'!$F$8,0)</f>
        <v>0</v>
      </c>
      <c r="AH326" s="846">
        <f>IF('Input Sheet'!$C$15="Yes",Rates!$E$45,0)</f>
        <v>0</v>
      </c>
      <c r="AI326" s="849">
        <f>IF('Input Sheet'!$C$15="Yes",'Input Sheet'!$F$11,0)</f>
        <v>0</v>
      </c>
      <c r="AJ326" s="850">
        <f>IF('Input Sheet'!$C$15="Yes",'Input Sheet'!$F$7,0)</f>
        <v>0</v>
      </c>
      <c r="AK326" s="856">
        <f t="shared" si="46"/>
        <v>0</v>
      </c>
      <c r="AL326" s="856">
        <f t="shared" si="47"/>
        <v>0</v>
      </c>
      <c r="AM326" s="856">
        <f t="shared" si="53"/>
        <v>0</v>
      </c>
      <c r="AN326" s="856">
        <f t="shared" si="48"/>
        <v>0</v>
      </c>
      <c r="AO326" s="852">
        <f t="shared" si="54"/>
        <v>0</v>
      </c>
      <c r="AP326" s="853">
        <f t="shared" si="55"/>
        <v>0</v>
      </c>
      <c r="AQ326" s="854">
        <f>IFERROR(P326*'Input Sheet'!$F$8/(((AI326)*AK326*2)-AN326),0)</f>
        <v>0</v>
      </c>
      <c r="AR326" s="854">
        <f>IFERROR(($P326-$AF326)*'Input Sheet'!$F$8/(((AI326)*AK326*2)-AN326),0)</f>
        <v>0</v>
      </c>
    </row>
    <row r="327" spans="2:44" s="798" customFormat="1" ht="30" customHeight="1" thickBot="1" x14ac:dyDescent="0.3">
      <c r="B327" s="835"/>
      <c r="C327" s="836"/>
      <c r="D327" s="836"/>
      <c r="E327" s="837"/>
      <c r="F327" s="837"/>
      <c r="G327" s="838"/>
      <c r="H327" s="838"/>
      <c r="I327" s="839"/>
      <c r="J327" s="839"/>
      <c r="K327" s="840"/>
      <c r="L327" s="841"/>
      <c r="M327" s="841"/>
      <c r="N327" s="842"/>
      <c r="O327" s="842"/>
      <c r="P327" s="843"/>
      <c r="Q327" s="843"/>
      <c r="R327" s="843"/>
      <c r="S327" s="844">
        <f t="shared" si="49"/>
        <v>0</v>
      </c>
      <c r="T327" s="838"/>
      <c r="U327" s="842"/>
      <c r="V327" s="843"/>
      <c r="W327" s="843"/>
      <c r="X327" s="843"/>
      <c r="Y327" s="843"/>
      <c r="Z327" s="843"/>
      <c r="AA327" s="837"/>
      <c r="AB327" s="837"/>
      <c r="AC327" s="845">
        <f t="shared" si="50"/>
        <v>0</v>
      </c>
      <c r="AD327" s="846">
        <f t="shared" si="51"/>
        <v>0</v>
      </c>
      <c r="AE327" s="847">
        <f t="shared" si="52"/>
        <v>0</v>
      </c>
      <c r="AF327" s="855">
        <f t="shared" si="45"/>
        <v>0</v>
      </c>
      <c r="AG327" s="848">
        <f>IF('Input Sheet'!$C$15="Yes",'Input Sheet'!$F$8,0)</f>
        <v>0</v>
      </c>
      <c r="AH327" s="846">
        <f>IF('Input Sheet'!$C$15="Yes",Rates!$E$45,0)</f>
        <v>0</v>
      </c>
      <c r="AI327" s="849">
        <f>IF('Input Sheet'!$C$15="Yes",'Input Sheet'!$F$11,0)</f>
        <v>0</v>
      </c>
      <c r="AJ327" s="850">
        <f>IF('Input Sheet'!$C$15="Yes",'Input Sheet'!$F$7,0)</f>
        <v>0</v>
      </c>
      <c r="AK327" s="856">
        <f t="shared" si="46"/>
        <v>0</v>
      </c>
      <c r="AL327" s="856">
        <f t="shared" si="47"/>
        <v>0</v>
      </c>
      <c r="AM327" s="856">
        <f t="shared" si="53"/>
        <v>0</v>
      </c>
      <c r="AN327" s="856">
        <f t="shared" si="48"/>
        <v>0</v>
      </c>
      <c r="AO327" s="852">
        <f t="shared" si="54"/>
        <v>0</v>
      </c>
      <c r="AP327" s="853">
        <f t="shared" si="55"/>
        <v>0</v>
      </c>
      <c r="AQ327" s="854">
        <f>IFERROR(P327*'Input Sheet'!$F$8/(((AI327)*AK327*2)-AN327),0)</f>
        <v>0</v>
      </c>
      <c r="AR327" s="854">
        <f>IFERROR(($P327-$AF327)*'Input Sheet'!$F$8/(((AI327)*AK327*2)-AN327),0)</f>
        <v>0</v>
      </c>
    </row>
    <row r="328" spans="2:44" s="798" customFormat="1" ht="30" customHeight="1" thickBot="1" x14ac:dyDescent="0.3">
      <c r="B328" s="835"/>
      <c r="C328" s="836"/>
      <c r="D328" s="836"/>
      <c r="E328" s="837"/>
      <c r="F328" s="837"/>
      <c r="G328" s="838"/>
      <c r="H328" s="838"/>
      <c r="I328" s="839"/>
      <c r="J328" s="839"/>
      <c r="K328" s="840"/>
      <c r="L328" s="841"/>
      <c r="M328" s="841"/>
      <c r="N328" s="842"/>
      <c r="O328" s="842"/>
      <c r="P328" s="843"/>
      <c r="Q328" s="843"/>
      <c r="R328" s="843"/>
      <c r="S328" s="844">
        <f t="shared" si="49"/>
        <v>0</v>
      </c>
      <c r="T328" s="838"/>
      <c r="U328" s="842"/>
      <c r="V328" s="843"/>
      <c r="W328" s="843"/>
      <c r="X328" s="843"/>
      <c r="Y328" s="843"/>
      <c r="Z328" s="843"/>
      <c r="AA328" s="837"/>
      <c r="AB328" s="837"/>
      <c r="AC328" s="845">
        <f t="shared" si="50"/>
        <v>0</v>
      </c>
      <c r="AD328" s="846">
        <f t="shared" si="51"/>
        <v>0</v>
      </c>
      <c r="AE328" s="847">
        <f t="shared" si="52"/>
        <v>0</v>
      </c>
      <c r="AF328" s="855">
        <f t="shared" si="45"/>
        <v>0</v>
      </c>
      <c r="AG328" s="848">
        <f>IF('Input Sheet'!$C$15="Yes",'Input Sheet'!$F$8,0)</f>
        <v>0</v>
      </c>
      <c r="AH328" s="846">
        <f>IF('Input Sheet'!$C$15="Yes",Rates!$E$45,0)</f>
        <v>0</v>
      </c>
      <c r="AI328" s="849">
        <f>IF('Input Sheet'!$C$15="Yes",'Input Sheet'!$F$11,0)</f>
        <v>0</v>
      </c>
      <c r="AJ328" s="850">
        <f>IF('Input Sheet'!$C$15="Yes",'Input Sheet'!$F$7,0)</f>
        <v>0</v>
      </c>
      <c r="AK328" s="856">
        <f t="shared" si="46"/>
        <v>0</v>
      </c>
      <c r="AL328" s="856">
        <f t="shared" si="47"/>
        <v>0</v>
      </c>
      <c r="AM328" s="856">
        <f t="shared" si="53"/>
        <v>0</v>
      </c>
      <c r="AN328" s="856">
        <f t="shared" si="48"/>
        <v>0</v>
      </c>
      <c r="AO328" s="852">
        <f t="shared" si="54"/>
        <v>0</v>
      </c>
      <c r="AP328" s="853">
        <f t="shared" si="55"/>
        <v>0</v>
      </c>
      <c r="AQ328" s="854">
        <f>IFERROR(P328*'Input Sheet'!$F$8/(((AI328)*AK328*2)-AN328),0)</f>
        <v>0</v>
      </c>
      <c r="AR328" s="854">
        <f>IFERROR(($P328-$AF328)*'Input Sheet'!$F$8/(((AI328)*AK328*2)-AN328),0)</f>
        <v>0</v>
      </c>
    </row>
    <row r="329" spans="2:44" s="798" customFormat="1" ht="30" customHeight="1" thickBot="1" x14ac:dyDescent="0.3">
      <c r="B329" s="835"/>
      <c r="C329" s="836"/>
      <c r="D329" s="836"/>
      <c r="E329" s="837"/>
      <c r="F329" s="837"/>
      <c r="G329" s="838"/>
      <c r="H329" s="838"/>
      <c r="I329" s="839"/>
      <c r="J329" s="839"/>
      <c r="K329" s="840"/>
      <c r="L329" s="841"/>
      <c r="M329" s="841"/>
      <c r="N329" s="842"/>
      <c r="O329" s="842"/>
      <c r="P329" s="843"/>
      <c r="Q329" s="843"/>
      <c r="R329" s="843"/>
      <c r="S329" s="844">
        <f t="shared" si="49"/>
        <v>0</v>
      </c>
      <c r="T329" s="838"/>
      <c r="U329" s="842"/>
      <c r="V329" s="843"/>
      <c r="W329" s="843"/>
      <c r="X329" s="843"/>
      <c r="Y329" s="843"/>
      <c r="Z329" s="843"/>
      <c r="AA329" s="837"/>
      <c r="AB329" s="837"/>
      <c r="AC329" s="845">
        <f t="shared" si="50"/>
        <v>0</v>
      </c>
      <c r="AD329" s="846">
        <f t="shared" si="51"/>
        <v>0</v>
      </c>
      <c r="AE329" s="847">
        <f t="shared" si="52"/>
        <v>0</v>
      </c>
      <c r="AF329" s="855">
        <f t="shared" ref="AF329:AF392" si="56">SUM($Q329:$W329)</f>
        <v>0</v>
      </c>
      <c r="AG329" s="848">
        <f>IF('Input Sheet'!$C$15="Yes",'Input Sheet'!$F$8,0)</f>
        <v>0</v>
      </c>
      <c r="AH329" s="846">
        <f>IF('Input Sheet'!$C$15="Yes",Rates!$E$45,0)</f>
        <v>0</v>
      </c>
      <c r="AI329" s="849">
        <f>IF('Input Sheet'!$C$15="Yes",'Input Sheet'!$F$11,0)</f>
        <v>0</v>
      </c>
      <c r="AJ329" s="850">
        <f>IF('Input Sheet'!$C$15="Yes",'Input Sheet'!$F$7,0)</f>
        <v>0</v>
      </c>
      <c r="AK329" s="856">
        <f t="shared" ref="AK329:AK392" si="57">L329*S329</f>
        <v>0</v>
      </c>
      <c r="AL329" s="856">
        <f t="shared" ref="AL329:AL392" si="58">(AK329)-(AK329*AH329)-(AK329*AP329*(AJ329/12))</f>
        <v>0</v>
      </c>
      <c r="AM329" s="856">
        <f t="shared" si="53"/>
        <v>0</v>
      </c>
      <c r="AN329" s="856">
        <f t="shared" ref="AN329:AN392" si="59">AK329*AP329*AJ329/12</f>
        <v>0</v>
      </c>
      <c r="AO329" s="852">
        <f t="shared" si="54"/>
        <v>0</v>
      </c>
      <c r="AP329" s="853">
        <f t="shared" si="55"/>
        <v>0</v>
      </c>
      <c r="AQ329" s="854">
        <f>IFERROR(P329*'Input Sheet'!$F$8/(((AI329)*AK329*2)-AN329),0)</f>
        <v>0</v>
      </c>
      <c r="AR329" s="854">
        <f>IFERROR(($P329-$AF329)*'Input Sheet'!$F$8/(((AI329)*AK329*2)-AN329),0)</f>
        <v>0</v>
      </c>
    </row>
    <row r="330" spans="2:44" s="798" customFormat="1" ht="30" customHeight="1" thickBot="1" x14ac:dyDescent="0.3">
      <c r="B330" s="835"/>
      <c r="C330" s="836"/>
      <c r="D330" s="836"/>
      <c r="E330" s="837"/>
      <c r="F330" s="837"/>
      <c r="G330" s="838"/>
      <c r="H330" s="838"/>
      <c r="I330" s="839"/>
      <c r="J330" s="839"/>
      <c r="K330" s="840"/>
      <c r="L330" s="841"/>
      <c r="M330" s="841"/>
      <c r="N330" s="842"/>
      <c r="O330" s="842"/>
      <c r="P330" s="843"/>
      <c r="Q330" s="843"/>
      <c r="R330" s="843"/>
      <c r="S330" s="844">
        <f t="shared" ref="S330:S393" si="60">IFERROR(M330/L330,0)</f>
        <v>0</v>
      </c>
      <c r="T330" s="838"/>
      <c r="U330" s="842"/>
      <c r="V330" s="843"/>
      <c r="W330" s="843"/>
      <c r="X330" s="843"/>
      <c r="Y330" s="843"/>
      <c r="Z330" s="843"/>
      <c r="AA330" s="837"/>
      <c r="AB330" s="837"/>
      <c r="AC330" s="845">
        <f t="shared" ref="AC330:AC393" si="61">IFERROR(L330/K330,0)</f>
        <v>0</v>
      </c>
      <c r="AD330" s="846">
        <f t="shared" ref="AD330:AD393" si="62">IFERROR(P330*12/L330,0)</f>
        <v>0</v>
      </c>
      <c r="AE330" s="847">
        <f t="shared" ref="AE330:AE393" si="63">IFERROR(P330*12/K330,0)</f>
        <v>0</v>
      </c>
      <c r="AF330" s="855">
        <f t="shared" si="56"/>
        <v>0</v>
      </c>
      <c r="AG330" s="848">
        <f>IF('Input Sheet'!$C$15="Yes",'Input Sheet'!$F$8,0)</f>
        <v>0</v>
      </c>
      <c r="AH330" s="846">
        <f>IF('Input Sheet'!$C$15="Yes",Rates!$E$45,0)</f>
        <v>0</v>
      </c>
      <c r="AI330" s="849">
        <f>IF('Input Sheet'!$C$15="Yes",'Input Sheet'!$F$11,0)</f>
        <v>0</v>
      </c>
      <c r="AJ330" s="850">
        <f>IF('Input Sheet'!$C$15="Yes",'Input Sheet'!$F$7,0)</f>
        <v>0</v>
      </c>
      <c r="AK330" s="856">
        <f t="shared" si="57"/>
        <v>0</v>
      </c>
      <c r="AL330" s="856">
        <f t="shared" si="58"/>
        <v>0</v>
      </c>
      <c r="AM330" s="856">
        <f t="shared" ref="AM330:AM393" si="64">(AL330)+(AK330*0.75%)</f>
        <v>0</v>
      </c>
      <c r="AN330" s="856">
        <f t="shared" si="59"/>
        <v>0</v>
      </c>
      <c r="AO330" s="852">
        <f t="shared" ref="AO330:AO393" si="65">IFERROR(AM330/L330,0)</f>
        <v>0</v>
      </c>
      <c r="AP330" s="853">
        <f t="shared" ref="AP330:AP393" si="66">AI330</f>
        <v>0</v>
      </c>
      <c r="AQ330" s="854">
        <f>IFERROR(P330*'Input Sheet'!$F$8/(((AI330)*AK330*2)-AN330),0)</f>
        <v>0</v>
      </c>
      <c r="AR330" s="854">
        <f>IFERROR(($P330-$AF330)*'Input Sheet'!$F$8/(((AI330)*AK330*2)-AN330),0)</f>
        <v>0</v>
      </c>
    </row>
    <row r="331" spans="2:44" s="798" customFormat="1" ht="30" customHeight="1" thickBot="1" x14ac:dyDescent="0.3">
      <c r="B331" s="835"/>
      <c r="C331" s="836"/>
      <c r="D331" s="836"/>
      <c r="E331" s="837"/>
      <c r="F331" s="837"/>
      <c r="G331" s="838"/>
      <c r="H331" s="838"/>
      <c r="I331" s="839"/>
      <c r="J331" s="839"/>
      <c r="K331" s="840"/>
      <c r="L331" s="841"/>
      <c r="M331" s="841"/>
      <c r="N331" s="842"/>
      <c r="O331" s="842"/>
      <c r="P331" s="843"/>
      <c r="Q331" s="843"/>
      <c r="R331" s="843"/>
      <c r="S331" s="844">
        <f t="shared" si="60"/>
        <v>0</v>
      </c>
      <c r="T331" s="838"/>
      <c r="U331" s="842"/>
      <c r="V331" s="843"/>
      <c r="W331" s="843"/>
      <c r="X331" s="843"/>
      <c r="Y331" s="843"/>
      <c r="Z331" s="843"/>
      <c r="AA331" s="837"/>
      <c r="AB331" s="837"/>
      <c r="AC331" s="845">
        <f t="shared" si="61"/>
        <v>0</v>
      </c>
      <c r="AD331" s="846">
        <f t="shared" si="62"/>
        <v>0</v>
      </c>
      <c r="AE331" s="847">
        <f t="shared" si="63"/>
        <v>0</v>
      </c>
      <c r="AF331" s="855">
        <f t="shared" si="56"/>
        <v>0</v>
      </c>
      <c r="AG331" s="848">
        <f>IF('Input Sheet'!$C$15="Yes",'Input Sheet'!$F$8,0)</f>
        <v>0</v>
      </c>
      <c r="AH331" s="846">
        <f>IF('Input Sheet'!$C$15="Yes",Rates!$E$45,0)</f>
        <v>0</v>
      </c>
      <c r="AI331" s="849">
        <f>IF('Input Sheet'!$C$15="Yes",'Input Sheet'!$F$11,0)</f>
        <v>0</v>
      </c>
      <c r="AJ331" s="850">
        <f>IF('Input Sheet'!$C$15="Yes",'Input Sheet'!$F$7,0)</f>
        <v>0</v>
      </c>
      <c r="AK331" s="856">
        <f t="shared" si="57"/>
        <v>0</v>
      </c>
      <c r="AL331" s="856">
        <f t="shared" si="58"/>
        <v>0</v>
      </c>
      <c r="AM331" s="856">
        <f t="shared" si="64"/>
        <v>0</v>
      </c>
      <c r="AN331" s="856">
        <f t="shared" si="59"/>
        <v>0</v>
      </c>
      <c r="AO331" s="852">
        <f t="shared" si="65"/>
        <v>0</v>
      </c>
      <c r="AP331" s="853">
        <f t="shared" si="66"/>
        <v>0</v>
      </c>
      <c r="AQ331" s="854">
        <f>IFERROR(P331*'Input Sheet'!$F$8/(((AI331)*AK331*2)-AN331),0)</f>
        <v>0</v>
      </c>
      <c r="AR331" s="854">
        <f>IFERROR(($P331-$AF331)*'Input Sheet'!$F$8/(((AI331)*AK331*2)-AN331),0)</f>
        <v>0</v>
      </c>
    </row>
    <row r="332" spans="2:44" s="798" customFormat="1" ht="30" customHeight="1" thickBot="1" x14ac:dyDescent="0.3">
      <c r="B332" s="835"/>
      <c r="C332" s="836"/>
      <c r="D332" s="836"/>
      <c r="E332" s="837"/>
      <c r="F332" s="837"/>
      <c r="G332" s="838"/>
      <c r="H332" s="838"/>
      <c r="I332" s="839"/>
      <c r="J332" s="839"/>
      <c r="K332" s="840"/>
      <c r="L332" s="841"/>
      <c r="M332" s="841"/>
      <c r="N332" s="842"/>
      <c r="O332" s="842"/>
      <c r="P332" s="843"/>
      <c r="Q332" s="843"/>
      <c r="R332" s="843"/>
      <c r="S332" s="844">
        <f t="shared" si="60"/>
        <v>0</v>
      </c>
      <c r="T332" s="838"/>
      <c r="U332" s="842"/>
      <c r="V332" s="843"/>
      <c r="W332" s="843"/>
      <c r="X332" s="843"/>
      <c r="Y332" s="843"/>
      <c r="Z332" s="843"/>
      <c r="AA332" s="837"/>
      <c r="AB332" s="837"/>
      <c r="AC332" s="845">
        <f t="shared" si="61"/>
        <v>0</v>
      </c>
      <c r="AD332" s="846">
        <f t="shared" si="62"/>
        <v>0</v>
      </c>
      <c r="AE332" s="847">
        <f t="shared" si="63"/>
        <v>0</v>
      </c>
      <c r="AF332" s="855">
        <f t="shared" si="56"/>
        <v>0</v>
      </c>
      <c r="AG332" s="848">
        <f>IF('Input Sheet'!$C$15="Yes",'Input Sheet'!$F$8,0)</f>
        <v>0</v>
      </c>
      <c r="AH332" s="846">
        <f>IF('Input Sheet'!$C$15="Yes",Rates!$E$45,0)</f>
        <v>0</v>
      </c>
      <c r="AI332" s="849">
        <f>IF('Input Sheet'!$C$15="Yes",'Input Sheet'!$F$11,0)</f>
        <v>0</v>
      </c>
      <c r="AJ332" s="850">
        <f>IF('Input Sheet'!$C$15="Yes",'Input Sheet'!$F$7,0)</f>
        <v>0</v>
      </c>
      <c r="AK332" s="856">
        <f t="shared" si="57"/>
        <v>0</v>
      </c>
      <c r="AL332" s="856">
        <f t="shared" si="58"/>
        <v>0</v>
      </c>
      <c r="AM332" s="856">
        <f t="shared" si="64"/>
        <v>0</v>
      </c>
      <c r="AN332" s="856">
        <f t="shared" si="59"/>
        <v>0</v>
      </c>
      <c r="AO332" s="852">
        <f t="shared" si="65"/>
        <v>0</v>
      </c>
      <c r="AP332" s="853">
        <f t="shared" si="66"/>
        <v>0</v>
      </c>
      <c r="AQ332" s="854">
        <f>IFERROR(P332*'Input Sheet'!$F$8/(((AI332)*AK332*2)-AN332),0)</f>
        <v>0</v>
      </c>
      <c r="AR332" s="854">
        <f>IFERROR(($P332-$AF332)*'Input Sheet'!$F$8/(((AI332)*AK332*2)-AN332),0)</f>
        <v>0</v>
      </c>
    </row>
    <row r="333" spans="2:44" s="798" customFormat="1" ht="30" customHeight="1" thickBot="1" x14ac:dyDescent="0.3">
      <c r="B333" s="835"/>
      <c r="C333" s="836"/>
      <c r="D333" s="836"/>
      <c r="E333" s="837"/>
      <c r="F333" s="837"/>
      <c r="G333" s="838"/>
      <c r="H333" s="838"/>
      <c r="I333" s="839"/>
      <c r="J333" s="839"/>
      <c r="K333" s="840"/>
      <c r="L333" s="841"/>
      <c r="M333" s="841"/>
      <c r="N333" s="842"/>
      <c r="O333" s="842"/>
      <c r="P333" s="843"/>
      <c r="Q333" s="843"/>
      <c r="R333" s="843"/>
      <c r="S333" s="844">
        <f t="shared" si="60"/>
        <v>0</v>
      </c>
      <c r="T333" s="838"/>
      <c r="U333" s="842"/>
      <c r="V333" s="843"/>
      <c r="W333" s="843"/>
      <c r="X333" s="843"/>
      <c r="Y333" s="843"/>
      <c r="Z333" s="843"/>
      <c r="AA333" s="837"/>
      <c r="AB333" s="837"/>
      <c r="AC333" s="845">
        <f t="shared" si="61"/>
        <v>0</v>
      </c>
      <c r="AD333" s="846">
        <f t="shared" si="62"/>
        <v>0</v>
      </c>
      <c r="AE333" s="847">
        <f t="shared" si="63"/>
        <v>0</v>
      </c>
      <c r="AF333" s="855">
        <f t="shared" si="56"/>
        <v>0</v>
      </c>
      <c r="AG333" s="848">
        <f>IF('Input Sheet'!$C$15="Yes",'Input Sheet'!$F$8,0)</f>
        <v>0</v>
      </c>
      <c r="AH333" s="846">
        <f>IF('Input Sheet'!$C$15="Yes",Rates!$E$45,0)</f>
        <v>0</v>
      </c>
      <c r="AI333" s="849">
        <f>IF('Input Sheet'!$C$15="Yes",'Input Sheet'!$F$11,0)</f>
        <v>0</v>
      </c>
      <c r="AJ333" s="850">
        <f>IF('Input Sheet'!$C$15="Yes",'Input Sheet'!$F$7,0)</f>
        <v>0</v>
      </c>
      <c r="AK333" s="856">
        <f t="shared" si="57"/>
        <v>0</v>
      </c>
      <c r="AL333" s="856">
        <f t="shared" si="58"/>
        <v>0</v>
      </c>
      <c r="AM333" s="856">
        <f t="shared" si="64"/>
        <v>0</v>
      </c>
      <c r="AN333" s="856">
        <f t="shared" si="59"/>
        <v>0</v>
      </c>
      <c r="AO333" s="852">
        <f t="shared" si="65"/>
        <v>0</v>
      </c>
      <c r="AP333" s="853">
        <f t="shared" si="66"/>
        <v>0</v>
      </c>
      <c r="AQ333" s="854">
        <f>IFERROR(P333*'Input Sheet'!$F$8/(((AI333)*AK333*2)-AN333),0)</f>
        <v>0</v>
      </c>
      <c r="AR333" s="854">
        <f>IFERROR(($P333-$AF333)*'Input Sheet'!$F$8/(((AI333)*AK333*2)-AN333),0)</f>
        <v>0</v>
      </c>
    </row>
    <row r="334" spans="2:44" s="798" customFormat="1" ht="30" customHeight="1" thickBot="1" x14ac:dyDescent="0.3">
      <c r="B334" s="835"/>
      <c r="C334" s="836"/>
      <c r="D334" s="836"/>
      <c r="E334" s="837"/>
      <c r="F334" s="837"/>
      <c r="G334" s="838"/>
      <c r="H334" s="838"/>
      <c r="I334" s="839"/>
      <c r="J334" s="839"/>
      <c r="K334" s="840"/>
      <c r="L334" s="841"/>
      <c r="M334" s="841"/>
      <c r="N334" s="842"/>
      <c r="O334" s="842"/>
      <c r="P334" s="843"/>
      <c r="Q334" s="843"/>
      <c r="R334" s="843"/>
      <c r="S334" s="844">
        <f t="shared" si="60"/>
        <v>0</v>
      </c>
      <c r="T334" s="838"/>
      <c r="U334" s="842"/>
      <c r="V334" s="843"/>
      <c r="W334" s="843"/>
      <c r="X334" s="843"/>
      <c r="Y334" s="843"/>
      <c r="Z334" s="843"/>
      <c r="AA334" s="837"/>
      <c r="AB334" s="837"/>
      <c r="AC334" s="845">
        <f t="shared" si="61"/>
        <v>0</v>
      </c>
      <c r="AD334" s="846">
        <f t="shared" si="62"/>
        <v>0</v>
      </c>
      <c r="AE334" s="847">
        <f t="shared" si="63"/>
        <v>0</v>
      </c>
      <c r="AF334" s="855">
        <f t="shared" si="56"/>
        <v>0</v>
      </c>
      <c r="AG334" s="848">
        <f>IF('Input Sheet'!$C$15="Yes",'Input Sheet'!$F$8,0)</f>
        <v>0</v>
      </c>
      <c r="AH334" s="846">
        <f>IF('Input Sheet'!$C$15="Yes",Rates!$E$45,0)</f>
        <v>0</v>
      </c>
      <c r="AI334" s="849">
        <f>IF('Input Sheet'!$C$15="Yes",'Input Sheet'!$F$11,0)</f>
        <v>0</v>
      </c>
      <c r="AJ334" s="850">
        <f>IF('Input Sheet'!$C$15="Yes",'Input Sheet'!$F$7,0)</f>
        <v>0</v>
      </c>
      <c r="AK334" s="856">
        <f t="shared" si="57"/>
        <v>0</v>
      </c>
      <c r="AL334" s="856">
        <f t="shared" si="58"/>
        <v>0</v>
      </c>
      <c r="AM334" s="856">
        <f t="shared" si="64"/>
        <v>0</v>
      </c>
      <c r="AN334" s="856">
        <f t="shared" si="59"/>
        <v>0</v>
      </c>
      <c r="AO334" s="852">
        <f t="shared" si="65"/>
        <v>0</v>
      </c>
      <c r="AP334" s="853">
        <f t="shared" si="66"/>
        <v>0</v>
      </c>
      <c r="AQ334" s="854">
        <f>IFERROR(P334*'Input Sheet'!$F$8/(((AI334)*AK334*2)-AN334),0)</f>
        <v>0</v>
      </c>
      <c r="AR334" s="854">
        <f>IFERROR(($P334-$AF334)*'Input Sheet'!$F$8/(((AI334)*AK334*2)-AN334),0)</f>
        <v>0</v>
      </c>
    </row>
    <row r="335" spans="2:44" s="798" customFormat="1" ht="30" customHeight="1" thickBot="1" x14ac:dyDescent="0.3">
      <c r="B335" s="835"/>
      <c r="C335" s="836"/>
      <c r="D335" s="836"/>
      <c r="E335" s="837"/>
      <c r="F335" s="837"/>
      <c r="G335" s="838"/>
      <c r="H335" s="838"/>
      <c r="I335" s="839"/>
      <c r="J335" s="839"/>
      <c r="K335" s="840"/>
      <c r="L335" s="841"/>
      <c r="M335" s="841"/>
      <c r="N335" s="842"/>
      <c r="O335" s="842"/>
      <c r="P335" s="843"/>
      <c r="Q335" s="843"/>
      <c r="R335" s="843"/>
      <c r="S335" s="844">
        <f t="shared" si="60"/>
        <v>0</v>
      </c>
      <c r="T335" s="838"/>
      <c r="U335" s="842"/>
      <c r="V335" s="843"/>
      <c r="W335" s="843"/>
      <c r="X335" s="843"/>
      <c r="Y335" s="843"/>
      <c r="Z335" s="843"/>
      <c r="AA335" s="837"/>
      <c r="AB335" s="837"/>
      <c r="AC335" s="845">
        <f t="shared" si="61"/>
        <v>0</v>
      </c>
      <c r="AD335" s="846">
        <f t="shared" si="62"/>
        <v>0</v>
      </c>
      <c r="AE335" s="847">
        <f t="shared" si="63"/>
        <v>0</v>
      </c>
      <c r="AF335" s="855">
        <f t="shared" si="56"/>
        <v>0</v>
      </c>
      <c r="AG335" s="848">
        <f>IF('Input Sheet'!$C$15="Yes",'Input Sheet'!$F$8,0)</f>
        <v>0</v>
      </c>
      <c r="AH335" s="846">
        <f>IF('Input Sheet'!$C$15="Yes",Rates!$E$45,0)</f>
        <v>0</v>
      </c>
      <c r="AI335" s="849">
        <f>IF('Input Sheet'!$C$15="Yes",'Input Sheet'!$F$11,0)</f>
        <v>0</v>
      </c>
      <c r="AJ335" s="850">
        <f>IF('Input Sheet'!$C$15="Yes",'Input Sheet'!$F$7,0)</f>
        <v>0</v>
      </c>
      <c r="AK335" s="856">
        <f t="shared" si="57"/>
        <v>0</v>
      </c>
      <c r="AL335" s="856">
        <f t="shared" si="58"/>
        <v>0</v>
      </c>
      <c r="AM335" s="856">
        <f t="shared" si="64"/>
        <v>0</v>
      </c>
      <c r="AN335" s="856">
        <f t="shared" si="59"/>
        <v>0</v>
      </c>
      <c r="AO335" s="852">
        <f t="shared" si="65"/>
        <v>0</v>
      </c>
      <c r="AP335" s="853">
        <f t="shared" si="66"/>
        <v>0</v>
      </c>
      <c r="AQ335" s="854">
        <f>IFERROR(P335*'Input Sheet'!$F$8/(((AI335)*AK335*2)-AN335),0)</f>
        <v>0</v>
      </c>
      <c r="AR335" s="854">
        <f>IFERROR(($P335-$AF335)*'Input Sheet'!$F$8/(((AI335)*AK335*2)-AN335),0)</f>
        <v>0</v>
      </c>
    </row>
    <row r="336" spans="2:44" s="798" customFormat="1" ht="30" customHeight="1" thickBot="1" x14ac:dyDescent="0.3">
      <c r="B336" s="835"/>
      <c r="C336" s="836"/>
      <c r="D336" s="836"/>
      <c r="E336" s="837"/>
      <c r="F336" s="837"/>
      <c r="G336" s="838"/>
      <c r="H336" s="838"/>
      <c r="I336" s="839"/>
      <c r="J336" s="839"/>
      <c r="K336" s="840"/>
      <c r="L336" s="841"/>
      <c r="M336" s="841"/>
      <c r="N336" s="842"/>
      <c r="O336" s="842"/>
      <c r="P336" s="843"/>
      <c r="Q336" s="843"/>
      <c r="R336" s="843"/>
      <c r="S336" s="844">
        <f t="shared" si="60"/>
        <v>0</v>
      </c>
      <c r="T336" s="838"/>
      <c r="U336" s="842"/>
      <c r="V336" s="843"/>
      <c r="W336" s="843"/>
      <c r="X336" s="843"/>
      <c r="Y336" s="843"/>
      <c r="Z336" s="843"/>
      <c r="AA336" s="837"/>
      <c r="AB336" s="837"/>
      <c r="AC336" s="845">
        <f t="shared" si="61"/>
        <v>0</v>
      </c>
      <c r="AD336" s="846">
        <f t="shared" si="62"/>
        <v>0</v>
      </c>
      <c r="AE336" s="847">
        <f t="shared" si="63"/>
        <v>0</v>
      </c>
      <c r="AF336" s="855">
        <f t="shared" si="56"/>
        <v>0</v>
      </c>
      <c r="AG336" s="848">
        <f>IF('Input Sheet'!$C$15="Yes",'Input Sheet'!$F$8,0)</f>
        <v>0</v>
      </c>
      <c r="AH336" s="846">
        <f>IF('Input Sheet'!$C$15="Yes",Rates!$E$45,0)</f>
        <v>0</v>
      </c>
      <c r="AI336" s="849">
        <f>IF('Input Sheet'!$C$15="Yes",'Input Sheet'!$F$11,0)</f>
        <v>0</v>
      </c>
      <c r="AJ336" s="850">
        <f>IF('Input Sheet'!$C$15="Yes",'Input Sheet'!$F$7,0)</f>
        <v>0</v>
      </c>
      <c r="AK336" s="856">
        <f t="shared" si="57"/>
        <v>0</v>
      </c>
      <c r="AL336" s="856">
        <f t="shared" si="58"/>
        <v>0</v>
      </c>
      <c r="AM336" s="856">
        <f t="shared" si="64"/>
        <v>0</v>
      </c>
      <c r="AN336" s="856">
        <f t="shared" si="59"/>
        <v>0</v>
      </c>
      <c r="AO336" s="852">
        <f t="shared" si="65"/>
        <v>0</v>
      </c>
      <c r="AP336" s="853">
        <f t="shared" si="66"/>
        <v>0</v>
      </c>
      <c r="AQ336" s="854">
        <f>IFERROR(P336*'Input Sheet'!$F$8/(((AI336)*AK336*2)-AN336),0)</f>
        <v>0</v>
      </c>
      <c r="AR336" s="854">
        <f>IFERROR(($P336-$AF336)*'Input Sheet'!$F$8/(((AI336)*AK336*2)-AN336),0)</f>
        <v>0</v>
      </c>
    </row>
    <row r="337" spans="2:44" s="798" customFormat="1" ht="30" customHeight="1" thickBot="1" x14ac:dyDescent="0.3">
      <c r="B337" s="835"/>
      <c r="C337" s="836"/>
      <c r="D337" s="836"/>
      <c r="E337" s="837"/>
      <c r="F337" s="837"/>
      <c r="G337" s="838"/>
      <c r="H337" s="838"/>
      <c r="I337" s="839"/>
      <c r="J337" s="839"/>
      <c r="K337" s="840"/>
      <c r="L337" s="841"/>
      <c r="M337" s="841"/>
      <c r="N337" s="842"/>
      <c r="O337" s="842"/>
      <c r="P337" s="843"/>
      <c r="Q337" s="843"/>
      <c r="R337" s="843"/>
      <c r="S337" s="844">
        <f t="shared" si="60"/>
        <v>0</v>
      </c>
      <c r="T337" s="838"/>
      <c r="U337" s="842"/>
      <c r="V337" s="843"/>
      <c r="W337" s="843"/>
      <c r="X337" s="843"/>
      <c r="Y337" s="843"/>
      <c r="Z337" s="843"/>
      <c r="AA337" s="837"/>
      <c r="AB337" s="837"/>
      <c r="AC337" s="845">
        <f t="shared" si="61"/>
        <v>0</v>
      </c>
      <c r="AD337" s="846">
        <f t="shared" si="62"/>
        <v>0</v>
      </c>
      <c r="AE337" s="847">
        <f t="shared" si="63"/>
        <v>0</v>
      </c>
      <c r="AF337" s="855">
        <f t="shared" si="56"/>
        <v>0</v>
      </c>
      <c r="AG337" s="848">
        <f>IF('Input Sheet'!$C$15="Yes",'Input Sheet'!$F$8,0)</f>
        <v>0</v>
      </c>
      <c r="AH337" s="846">
        <f>IF('Input Sheet'!$C$15="Yes",Rates!$E$45,0)</f>
        <v>0</v>
      </c>
      <c r="AI337" s="849">
        <f>IF('Input Sheet'!$C$15="Yes",'Input Sheet'!$F$11,0)</f>
        <v>0</v>
      </c>
      <c r="AJ337" s="850">
        <f>IF('Input Sheet'!$C$15="Yes",'Input Sheet'!$F$7,0)</f>
        <v>0</v>
      </c>
      <c r="AK337" s="856">
        <f t="shared" si="57"/>
        <v>0</v>
      </c>
      <c r="AL337" s="856">
        <f t="shared" si="58"/>
        <v>0</v>
      </c>
      <c r="AM337" s="856">
        <f t="shared" si="64"/>
        <v>0</v>
      </c>
      <c r="AN337" s="856">
        <f t="shared" si="59"/>
        <v>0</v>
      </c>
      <c r="AO337" s="852">
        <f t="shared" si="65"/>
        <v>0</v>
      </c>
      <c r="AP337" s="853">
        <f t="shared" si="66"/>
        <v>0</v>
      </c>
      <c r="AQ337" s="854">
        <f>IFERROR(P337*'Input Sheet'!$F$8/(((AI337)*AK337*2)-AN337),0)</f>
        <v>0</v>
      </c>
      <c r="AR337" s="854">
        <f>IFERROR(($P337-$AF337)*'Input Sheet'!$F$8/(((AI337)*AK337*2)-AN337),0)</f>
        <v>0</v>
      </c>
    </row>
    <row r="338" spans="2:44" s="798" customFormat="1" ht="30" customHeight="1" thickBot="1" x14ac:dyDescent="0.3">
      <c r="B338" s="835"/>
      <c r="C338" s="836"/>
      <c r="D338" s="836"/>
      <c r="E338" s="837"/>
      <c r="F338" s="837"/>
      <c r="G338" s="838"/>
      <c r="H338" s="838"/>
      <c r="I338" s="839"/>
      <c r="J338" s="839"/>
      <c r="K338" s="840"/>
      <c r="L338" s="841"/>
      <c r="M338" s="841"/>
      <c r="N338" s="842"/>
      <c r="O338" s="842"/>
      <c r="P338" s="843"/>
      <c r="Q338" s="843"/>
      <c r="R338" s="843"/>
      <c r="S338" s="844">
        <f t="shared" si="60"/>
        <v>0</v>
      </c>
      <c r="T338" s="838"/>
      <c r="U338" s="842"/>
      <c r="V338" s="843"/>
      <c r="W338" s="843"/>
      <c r="X338" s="843"/>
      <c r="Y338" s="843"/>
      <c r="Z338" s="843"/>
      <c r="AA338" s="837"/>
      <c r="AB338" s="837"/>
      <c r="AC338" s="845">
        <f t="shared" si="61"/>
        <v>0</v>
      </c>
      <c r="AD338" s="846">
        <f t="shared" si="62"/>
        <v>0</v>
      </c>
      <c r="AE338" s="847">
        <f t="shared" si="63"/>
        <v>0</v>
      </c>
      <c r="AF338" s="855">
        <f t="shared" si="56"/>
        <v>0</v>
      </c>
      <c r="AG338" s="848">
        <f>IF('Input Sheet'!$C$15="Yes",'Input Sheet'!$F$8,0)</f>
        <v>0</v>
      </c>
      <c r="AH338" s="846">
        <f>IF('Input Sheet'!$C$15="Yes",Rates!$E$45,0)</f>
        <v>0</v>
      </c>
      <c r="AI338" s="849">
        <f>IF('Input Sheet'!$C$15="Yes",'Input Sheet'!$F$11,0)</f>
        <v>0</v>
      </c>
      <c r="AJ338" s="850">
        <f>IF('Input Sheet'!$C$15="Yes",'Input Sheet'!$F$7,0)</f>
        <v>0</v>
      </c>
      <c r="AK338" s="856">
        <f t="shared" si="57"/>
        <v>0</v>
      </c>
      <c r="AL338" s="856">
        <f t="shared" si="58"/>
        <v>0</v>
      </c>
      <c r="AM338" s="856">
        <f t="shared" si="64"/>
        <v>0</v>
      </c>
      <c r="AN338" s="856">
        <f t="shared" si="59"/>
        <v>0</v>
      </c>
      <c r="AO338" s="852">
        <f t="shared" si="65"/>
        <v>0</v>
      </c>
      <c r="AP338" s="853">
        <f t="shared" si="66"/>
        <v>0</v>
      </c>
      <c r="AQ338" s="854">
        <f>IFERROR(P338*'Input Sheet'!$F$8/(((AI338)*AK338*2)-AN338),0)</f>
        <v>0</v>
      </c>
      <c r="AR338" s="854">
        <f>IFERROR(($P338-$AF338)*'Input Sheet'!$F$8/(((AI338)*AK338*2)-AN338),0)</f>
        <v>0</v>
      </c>
    </row>
    <row r="339" spans="2:44" s="798" customFormat="1" ht="30" customHeight="1" thickBot="1" x14ac:dyDescent="0.3">
      <c r="B339" s="835"/>
      <c r="C339" s="836"/>
      <c r="D339" s="836"/>
      <c r="E339" s="837"/>
      <c r="F339" s="837"/>
      <c r="G339" s="838"/>
      <c r="H339" s="838"/>
      <c r="I339" s="839"/>
      <c r="J339" s="839"/>
      <c r="K339" s="840"/>
      <c r="L339" s="841"/>
      <c r="M339" s="841"/>
      <c r="N339" s="842"/>
      <c r="O339" s="842"/>
      <c r="P339" s="843"/>
      <c r="Q339" s="843"/>
      <c r="R339" s="843"/>
      <c r="S339" s="844">
        <f t="shared" si="60"/>
        <v>0</v>
      </c>
      <c r="T339" s="838"/>
      <c r="U339" s="842"/>
      <c r="V339" s="843"/>
      <c r="W339" s="843"/>
      <c r="X339" s="843"/>
      <c r="Y339" s="843"/>
      <c r="Z339" s="843"/>
      <c r="AA339" s="837"/>
      <c r="AB339" s="837"/>
      <c r="AC339" s="845">
        <f t="shared" si="61"/>
        <v>0</v>
      </c>
      <c r="AD339" s="846">
        <f t="shared" si="62"/>
        <v>0</v>
      </c>
      <c r="AE339" s="847">
        <f t="shared" si="63"/>
        <v>0</v>
      </c>
      <c r="AF339" s="855">
        <f t="shared" si="56"/>
        <v>0</v>
      </c>
      <c r="AG339" s="848">
        <f>IF('Input Sheet'!$C$15="Yes",'Input Sheet'!$F$8,0)</f>
        <v>0</v>
      </c>
      <c r="AH339" s="846">
        <f>IF('Input Sheet'!$C$15="Yes",Rates!$E$45,0)</f>
        <v>0</v>
      </c>
      <c r="AI339" s="849">
        <f>IF('Input Sheet'!$C$15="Yes",'Input Sheet'!$F$11,0)</f>
        <v>0</v>
      </c>
      <c r="AJ339" s="850">
        <f>IF('Input Sheet'!$C$15="Yes",'Input Sheet'!$F$7,0)</f>
        <v>0</v>
      </c>
      <c r="AK339" s="856">
        <f t="shared" si="57"/>
        <v>0</v>
      </c>
      <c r="AL339" s="856">
        <f t="shared" si="58"/>
        <v>0</v>
      </c>
      <c r="AM339" s="856">
        <f t="shared" si="64"/>
        <v>0</v>
      </c>
      <c r="AN339" s="856">
        <f t="shared" si="59"/>
        <v>0</v>
      </c>
      <c r="AO339" s="852">
        <f t="shared" si="65"/>
        <v>0</v>
      </c>
      <c r="AP339" s="853">
        <f t="shared" si="66"/>
        <v>0</v>
      </c>
      <c r="AQ339" s="854">
        <f>IFERROR(P339*'Input Sheet'!$F$8/(((AI339)*AK339*2)-AN339),0)</f>
        <v>0</v>
      </c>
      <c r="AR339" s="854">
        <f>IFERROR(($P339-$AF339)*'Input Sheet'!$F$8/(((AI339)*AK339*2)-AN339),0)</f>
        <v>0</v>
      </c>
    </row>
    <row r="340" spans="2:44" s="798" customFormat="1" ht="30" customHeight="1" thickBot="1" x14ac:dyDescent="0.3">
      <c r="B340" s="835"/>
      <c r="C340" s="836"/>
      <c r="D340" s="836"/>
      <c r="E340" s="837"/>
      <c r="F340" s="837"/>
      <c r="G340" s="838"/>
      <c r="H340" s="838"/>
      <c r="I340" s="839"/>
      <c r="J340" s="839"/>
      <c r="K340" s="840"/>
      <c r="L340" s="841"/>
      <c r="M340" s="841"/>
      <c r="N340" s="842"/>
      <c r="O340" s="842"/>
      <c r="P340" s="843"/>
      <c r="Q340" s="843"/>
      <c r="R340" s="843"/>
      <c r="S340" s="844">
        <f t="shared" si="60"/>
        <v>0</v>
      </c>
      <c r="T340" s="838"/>
      <c r="U340" s="842"/>
      <c r="V340" s="843"/>
      <c r="W340" s="843"/>
      <c r="X340" s="843"/>
      <c r="Y340" s="843"/>
      <c r="Z340" s="843"/>
      <c r="AA340" s="837"/>
      <c r="AB340" s="837"/>
      <c r="AC340" s="845">
        <f t="shared" si="61"/>
        <v>0</v>
      </c>
      <c r="AD340" s="846">
        <f t="shared" si="62"/>
        <v>0</v>
      </c>
      <c r="AE340" s="847">
        <f t="shared" si="63"/>
        <v>0</v>
      </c>
      <c r="AF340" s="855">
        <f t="shared" si="56"/>
        <v>0</v>
      </c>
      <c r="AG340" s="848">
        <f>IF('Input Sheet'!$C$15="Yes",'Input Sheet'!$F$8,0)</f>
        <v>0</v>
      </c>
      <c r="AH340" s="846">
        <f>IF('Input Sheet'!$C$15="Yes",Rates!$E$45,0)</f>
        <v>0</v>
      </c>
      <c r="AI340" s="849">
        <f>IF('Input Sheet'!$C$15="Yes",'Input Sheet'!$F$11,0)</f>
        <v>0</v>
      </c>
      <c r="AJ340" s="850">
        <f>IF('Input Sheet'!$C$15="Yes",'Input Sheet'!$F$7,0)</f>
        <v>0</v>
      </c>
      <c r="AK340" s="856">
        <f t="shared" si="57"/>
        <v>0</v>
      </c>
      <c r="AL340" s="856">
        <f t="shared" si="58"/>
        <v>0</v>
      </c>
      <c r="AM340" s="856">
        <f t="shared" si="64"/>
        <v>0</v>
      </c>
      <c r="AN340" s="856">
        <f t="shared" si="59"/>
        <v>0</v>
      </c>
      <c r="AO340" s="852">
        <f t="shared" si="65"/>
        <v>0</v>
      </c>
      <c r="AP340" s="853">
        <f t="shared" si="66"/>
        <v>0</v>
      </c>
      <c r="AQ340" s="854">
        <f>IFERROR(P340*'Input Sheet'!$F$8/(((AI340)*AK340*2)-AN340),0)</f>
        <v>0</v>
      </c>
      <c r="AR340" s="854">
        <f>IFERROR(($P340-$AF340)*'Input Sheet'!$F$8/(((AI340)*AK340*2)-AN340),0)</f>
        <v>0</v>
      </c>
    </row>
    <row r="341" spans="2:44" s="798" customFormat="1" ht="30" customHeight="1" thickBot="1" x14ac:dyDescent="0.3">
      <c r="B341" s="835"/>
      <c r="C341" s="836"/>
      <c r="D341" s="836"/>
      <c r="E341" s="837"/>
      <c r="F341" s="837"/>
      <c r="G341" s="838"/>
      <c r="H341" s="838"/>
      <c r="I341" s="839"/>
      <c r="J341" s="839"/>
      <c r="K341" s="840"/>
      <c r="L341" s="841"/>
      <c r="M341" s="841"/>
      <c r="N341" s="842"/>
      <c r="O341" s="842"/>
      <c r="P341" s="843"/>
      <c r="Q341" s="843"/>
      <c r="R341" s="843"/>
      <c r="S341" s="844">
        <f t="shared" si="60"/>
        <v>0</v>
      </c>
      <c r="T341" s="838"/>
      <c r="U341" s="842"/>
      <c r="V341" s="843"/>
      <c r="W341" s="843"/>
      <c r="X341" s="843"/>
      <c r="Y341" s="843"/>
      <c r="Z341" s="843"/>
      <c r="AA341" s="837"/>
      <c r="AB341" s="837"/>
      <c r="AC341" s="845">
        <f t="shared" si="61"/>
        <v>0</v>
      </c>
      <c r="AD341" s="846">
        <f t="shared" si="62"/>
        <v>0</v>
      </c>
      <c r="AE341" s="847">
        <f t="shared" si="63"/>
        <v>0</v>
      </c>
      <c r="AF341" s="855">
        <f t="shared" si="56"/>
        <v>0</v>
      </c>
      <c r="AG341" s="848">
        <f>IF('Input Sheet'!$C$15="Yes",'Input Sheet'!$F$8,0)</f>
        <v>0</v>
      </c>
      <c r="AH341" s="846">
        <f>IF('Input Sheet'!$C$15="Yes",Rates!$E$45,0)</f>
        <v>0</v>
      </c>
      <c r="AI341" s="849">
        <f>IF('Input Sheet'!$C$15="Yes",'Input Sheet'!$F$11,0)</f>
        <v>0</v>
      </c>
      <c r="AJ341" s="850">
        <f>IF('Input Sheet'!$C$15="Yes",'Input Sheet'!$F$7,0)</f>
        <v>0</v>
      </c>
      <c r="AK341" s="856">
        <f t="shared" si="57"/>
        <v>0</v>
      </c>
      <c r="AL341" s="856">
        <f t="shared" si="58"/>
        <v>0</v>
      </c>
      <c r="AM341" s="856">
        <f t="shared" si="64"/>
        <v>0</v>
      </c>
      <c r="AN341" s="856">
        <f t="shared" si="59"/>
        <v>0</v>
      </c>
      <c r="AO341" s="852">
        <f t="shared" si="65"/>
        <v>0</v>
      </c>
      <c r="AP341" s="853">
        <f t="shared" si="66"/>
        <v>0</v>
      </c>
      <c r="AQ341" s="854">
        <f>IFERROR(P341*'Input Sheet'!$F$8/(((AI341)*AK341*2)-AN341),0)</f>
        <v>0</v>
      </c>
      <c r="AR341" s="854">
        <f>IFERROR(($P341-$AF341)*'Input Sheet'!$F$8/(((AI341)*AK341*2)-AN341),0)</f>
        <v>0</v>
      </c>
    </row>
    <row r="342" spans="2:44" s="798" customFormat="1" ht="30" customHeight="1" thickBot="1" x14ac:dyDescent="0.3">
      <c r="B342" s="835"/>
      <c r="C342" s="836"/>
      <c r="D342" s="836"/>
      <c r="E342" s="837"/>
      <c r="F342" s="837"/>
      <c r="G342" s="838"/>
      <c r="H342" s="838"/>
      <c r="I342" s="839"/>
      <c r="J342" s="839"/>
      <c r="K342" s="840"/>
      <c r="L342" s="841"/>
      <c r="M342" s="841"/>
      <c r="N342" s="842"/>
      <c r="O342" s="842"/>
      <c r="P342" s="843"/>
      <c r="Q342" s="843"/>
      <c r="R342" s="843"/>
      <c r="S342" s="844">
        <f t="shared" si="60"/>
        <v>0</v>
      </c>
      <c r="T342" s="838"/>
      <c r="U342" s="842"/>
      <c r="V342" s="843"/>
      <c r="W342" s="843"/>
      <c r="X342" s="843"/>
      <c r="Y342" s="843"/>
      <c r="Z342" s="843"/>
      <c r="AA342" s="837"/>
      <c r="AB342" s="837"/>
      <c r="AC342" s="845">
        <f t="shared" si="61"/>
        <v>0</v>
      </c>
      <c r="AD342" s="846">
        <f t="shared" si="62"/>
        <v>0</v>
      </c>
      <c r="AE342" s="847">
        <f t="shared" si="63"/>
        <v>0</v>
      </c>
      <c r="AF342" s="855">
        <f t="shared" si="56"/>
        <v>0</v>
      </c>
      <c r="AG342" s="848">
        <f>IF('Input Sheet'!$C$15="Yes",'Input Sheet'!$F$8,0)</f>
        <v>0</v>
      </c>
      <c r="AH342" s="846">
        <f>IF('Input Sheet'!$C$15="Yes",Rates!$E$45,0)</f>
        <v>0</v>
      </c>
      <c r="AI342" s="849">
        <f>IF('Input Sheet'!$C$15="Yes",'Input Sheet'!$F$11,0)</f>
        <v>0</v>
      </c>
      <c r="AJ342" s="850">
        <f>IF('Input Sheet'!$C$15="Yes",'Input Sheet'!$F$7,0)</f>
        <v>0</v>
      </c>
      <c r="AK342" s="856">
        <f t="shared" si="57"/>
        <v>0</v>
      </c>
      <c r="AL342" s="856">
        <f t="shared" si="58"/>
        <v>0</v>
      </c>
      <c r="AM342" s="856">
        <f t="shared" si="64"/>
        <v>0</v>
      </c>
      <c r="AN342" s="856">
        <f t="shared" si="59"/>
        <v>0</v>
      </c>
      <c r="AO342" s="852">
        <f t="shared" si="65"/>
        <v>0</v>
      </c>
      <c r="AP342" s="853">
        <f t="shared" si="66"/>
        <v>0</v>
      </c>
      <c r="AQ342" s="854">
        <f>IFERROR(P342*'Input Sheet'!$F$8/(((AI342)*AK342*2)-AN342),0)</f>
        <v>0</v>
      </c>
      <c r="AR342" s="854">
        <f>IFERROR(($P342-$AF342)*'Input Sheet'!$F$8/(((AI342)*AK342*2)-AN342),0)</f>
        <v>0</v>
      </c>
    </row>
    <row r="343" spans="2:44" s="798" customFormat="1" ht="30" customHeight="1" thickBot="1" x14ac:dyDescent="0.3">
      <c r="B343" s="835"/>
      <c r="C343" s="836"/>
      <c r="D343" s="836"/>
      <c r="E343" s="837"/>
      <c r="F343" s="837"/>
      <c r="G343" s="838"/>
      <c r="H343" s="838"/>
      <c r="I343" s="839"/>
      <c r="J343" s="839"/>
      <c r="K343" s="840"/>
      <c r="L343" s="841"/>
      <c r="M343" s="841"/>
      <c r="N343" s="842"/>
      <c r="O343" s="842"/>
      <c r="P343" s="843"/>
      <c r="Q343" s="843"/>
      <c r="R343" s="843"/>
      <c r="S343" s="844">
        <f t="shared" si="60"/>
        <v>0</v>
      </c>
      <c r="T343" s="838"/>
      <c r="U343" s="842"/>
      <c r="V343" s="843"/>
      <c r="W343" s="843"/>
      <c r="X343" s="843"/>
      <c r="Y343" s="843"/>
      <c r="Z343" s="843"/>
      <c r="AA343" s="837"/>
      <c r="AB343" s="837"/>
      <c r="AC343" s="845">
        <f t="shared" si="61"/>
        <v>0</v>
      </c>
      <c r="AD343" s="846">
        <f t="shared" si="62"/>
        <v>0</v>
      </c>
      <c r="AE343" s="847">
        <f t="shared" si="63"/>
        <v>0</v>
      </c>
      <c r="AF343" s="855">
        <f t="shared" si="56"/>
        <v>0</v>
      </c>
      <c r="AG343" s="848">
        <f>IF('Input Sheet'!$C$15="Yes",'Input Sheet'!$F$8,0)</f>
        <v>0</v>
      </c>
      <c r="AH343" s="846">
        <f>IF('Input Sheet'!$C$15="Yes",Rates!$E$45,0)</f>
        <v>0</v>
      </c>
      <c r="AI343" s="849">
        <f>IF('Input Sheet'!$C$15="Yes",'Input Sheet'!$F$11,0)</f>
        <v>0</v>
      </c>
      <c r="AJ343" s="850">
        <f>IF('Input Sheet'!$C$15="Yes",'Input Sheet'!$F$7,0)</f>
        <v>0</v>
      </c>
      <c r="AK343" s="856">
        <f t="shared" si="57"/>
        <v>0</v>
      </c>
      <c r="AL343" s="856">
        <f t="shared" si="58"/>
        <v>0</v>
      </c>
      <c r="AM343" s="856">
        <f t="shared" si="64"/>
        <v>0</v>
      </c>
      <c r="AN343" s="856">
        <f t="shared" si="59"/>
        <v>0</v>
      </c>
      <c r="AO343" s="852">
        <f t="shared" si="65"/>
        <v>0</v>
      </c>
      <c r="AP343" s="853">
        <f t="shared" si="66"/>
        <v>0</v>
      </c>
      <c r="AQ343" s="854">
        <f>IFERROR(P343*'Input Sheet'!$F$8/(((AI343)*AK343*2)-AN343),0)</f>
        <v>0</v>
      </c>
      <c r="AR343" s="854">
        <f>IFERROR(($P343-$AF343)*'Input Sheet'!$F$8/(((AI343)*AK343*2)-AN343),0)</f>
        <v>0</v>
      </c>
    </row>
    <row r="344" spans="2:44" s="798" customFormat="1" ht="30" customHeight="1" thickBot="1" x14ac:dyDescent="0.3">
      <c r="B344" s="835"/>
      <c r="C344" s="836"/>
      <c r="D344" s="836"/>
      <c r="E344" s="837"/>
      <c r="F344" s="837"/>
      <c r="G344" s="838"/>
      <c r="H344" s="838"/>
      <c r="I344" s="839"/>
      <c r="J344" s="839"/>
      <c r="K344" s="840"/>
      <c r="L344" s="841"/>
      <c r="M344" s="841"/>
      <c r="N344" s="842"/>
      <c r="O344" s="842"/>
      <c r="P344" s="843"/>
      <c r="Q344" s="843"/>
      <c r="R344" s="843"/>
      <c r="S344" s="844">
        <f t="shared" si="60"/>
        <v>0</v>
      </c>
      <c r="T344" s="838"/>
      <c r="U344" s="842"/>
      <c r="V344" s="843"/>
      <c r="W344" s="843"/>
      <c r="X344" s="843"/>
      <c r="Y344" s="843"/>
      <c r="Z344" s="843"/>
      <c r="AA344" s="837"/>
      <c r="AB344" s="837"/>
      <c r="AC344" s="845">
        <f t="shared" si="61"/>
        <v>0</v>
      </c>
      <c r="AD344" s="846">
        <f t="shared" si="62"/>
        <v>0</v>
      </c>
      <c r="AE344" s="847">
        <f t="shared" si="63"/>
        <v>0</v>
      </c>
      <c r="AF344" s="855">
        <f t="shared" si="56"/>
        <v>0</v>
      </c>
      <c r="AG344" s="848">
        <f>IF('Input Sheet'!$C$15="Yes",'Input Sheet'!$F$8,0)</f>
        <v>0</v>
      </c>
      <c r="AH344" s="846">
        <f>IF('Input Sheet'!$C$15="Yes",Rates!$E$45,0)</f>
        <v>0</v>
      </c>
      <c r="AI344" s="849">
        <f>IF('Input Sheet'!$C$15="Yes",'Input Sheet'!$F$11,0)</f>
        <v>0</v>
      </c>
      <c r="AJ344" s="850">
        <f>IF('Input Sheet'!$C$15="Yes",'Input Sheet'!$F$7,0)</f>
        <v>0</v>
      </c>
      <c r="AK344" s="856">
        <f t="shared" si="57"/>
        <v>0</v>
      </c>
      <c r="AL344" s="856">
        <f t="shared" si="58"/>
        <v>0</v>
      </c>
      <c r="AM344" s="856">
        <f t="shared" si="64"/>
        <v>0</v>
      </c>
      <c r="AN344" s="856">
        <f t="shared" si="59"/>
        <v>0</v>
      </c>
      <c r="AO344" s="852">
        <f t="shared" si="65"/>
        <v>0</v>
      </c>
      <c r="AP344" s="853">
        <f t="shared" si="66"/>
        <v>0</v>
      </c>
      <c r="AQ344" s="854">
        <f>IFERROR(P344*'Input Sheet'!$F$8/(((AI344)*AK344*2)-AN344),0)</f>
        <v>0</v>
      </c>
      <c r="AR344" s="854">
        <f>IFERROR(($P344-$AF344)*'Input Sheet'!$F$8/(((AI344)*AK344*2)-AN344),0)</f>
        <v>0</v>
      </c>
    </row>
    <row r="345" spans="2:44" s="798" customFormat="1" ht="30" customHeight="1" thickBot="1" x14ac:dyDescent="0.3">
      <c r="B345" s="835"/>
      <c r="C345" s="836"/>
      <c r="D345" s="836"/>
      <c r="E345" s="837"/>
      <c r="F345" s="837"/>
      <c r="G345" s="838"/>
      <c r="H345" s="838"/>
      <c r="I345" s="839"/>
      <c r="J345" s="839"/>
      <c r="K345" s="840"/>
      <c r="L345" s="841"/>
      <c r="M345" s="841"/>
      <c r="N345" s="842"/>
      <c r="O345" s="842"/>
      <c r="P345" s="843"/>
      <c r="Q345" s="843"/>
      <c r="R345" s="843"/>
      <c r="S345" s="844">
        <f t="shared" si="60"/>
        <v>0</v>
      </c>
      <c r="T345" s="838"/>
      <c r="U345" s="842"/>
      <c r="V345" s="843"/>
      <c r="W345" s="843"/>
      <c r="X345" s="843"/>
      <c r="Y345" s="843"/>
      <c r="Z345" s="843"/>
      <c r="AA345" s="837"/>
      <c r="AB345" s="837"/>
      <c r="AC345" s="845">
        <f t="shared" si="61"/>
        <v>0</v>
      </c>
      <c r="AD345" s="846">
        <f t="shared" si="62"/>
        <v>0</v>
      </c>
      <c r="AE345" s="847">
        <f t="shared" si="63"/>
        <v>0</v>
      </c>
      <c r="AF345" s="855">
        <f t="shared" si="56"/>
        <v>0</v>
      </c>
      <c r="AG345" s="848">
        <f>IF('Input Sheet'!$C$15="Yes",'Input Sheet'!$F$8,0)</f>
        <v>0</v>
      </c>
      <c r="AH345" s="846">
        <f>IF('Input Sheet'!$C$15="Yes",Rates!$E$45,0)</f>
        <v>0</v>
      </c>
      <c r="AI345" s="849">
        <f>IF('Input Sheet'!$C$15="Yes",'Input Sheet'!$F$11,0)</f>
        <v>0</v>
      </c>
      <c r="AJ345" s="850">
        <f>IF('Input Sheet'!$C$15="Yes",'Input Sheet'!$F$7,0)</f>
        <v>0</v>
      </c>
      <c r="AK345" s="856">
        <f t="shared" si="57"/>
        <v>0</v>
      </c>
      <c r="AL345" s="856">
        <f t="shared" si="58"/>
        <v>0</v>
      </c>
      <c r="AM345" s="856">
        <f t="shared" si="64"/>
        <v>0</v>
      </c>
      <c r="AN345" s="856">
        <f t="shared" si="59"/>
        <v>0</v>
      </c>
      <c r="AO345" s="852">
        <f t="shared" si="65"/>
        <v>0</v>
      </c>
      <c r="AP345" s="853">
        <f t="shared" si="66"/>
        <v>0</v>
      </c>
      <c r="AQ345" s="854">
        <f>IFERROR(P345*'Input Sheet'!$F$8/(((AI345)*AK345*2)-AN345),0)</f>
        <v>0</v>
      </c>
      <c r="AR345" s="854">
        <f>IFERROR(($P345-$AF345)*'Input Sheet'!$F$8/(((AI345)*AK345*2)-AN345),0)</f>
        <v>0</v>
      </c>
    </row>
    <row r="346" spans="2:44" s="798" customFormat="1" ht="30" customHeight="1" thickBot="1" x14ac:dyDescent="0.3">
      <c r="B346" s="835"/>
      <c r="C346" s="836"/>
      <c r="D346" s="836"/>
      <c r="E346" s="837"/>
      <c r="F346" s="837"/>
      <c r="G346" s="838"/>
      <c r="H346" s="838"/>
      <c r="I346" s="839"/>
      <c r="J346" s="839"/>
      <c r="K346" s="840"/>
      <c r="L346" s="841"/>
      <c r="M346" s="841"/>
      <c r="N346" s="842"/>
      <c r="O346" s="842"/>
      <c r="P346" s="843"/>
      <c r="Q346" s="843"/>
      <c r="R346" s="843"/>
      <c r="S346" s="844">
        <f t="shared" si="60"/>
        <v>0</v>
      </c>
      <c r="T346" s="838"/>
      <c r="U346" s="842"/>
      <c r="V346" s="843"/>
      <c r="W346" s="843"/>
      <c r="X346" s="843"/>
      <c r="Y346" s="843"/>
      <c r="Z346" s="843"/>
      <c r="AA346" s="837"/>
      <c r="AB346" s="837"/>
      <c r="AC346" s="845">
        <f t="shared" si="61"/>
        <v>0</v>
      </c>
      <c r="AD346" s="846">
        <f t="shared" si="62"/>
        <v>0</v>
      </c>
      <c r="AE346" s="847">
        <f t="shared" si="63"/>
        <v>0</v>
      </c>
      <c r="AF346" s="855">
        <f t="shared" si="56"/>
        <v>0</v>
      </c>
      <c r="AG346" s="848">
        <f>IF('Input Sheet'!$C$15="Yes",'Input Sheet'!$F$8,0)</f>
        <v>0</v>
      </c>
      <c r="AH346" s="846">
        <f>IF('Input Sheet'!$C$15="Yes",Rates!$E$45,0)</f>
        <v>0</v>
      </c>
      <c r="AI346" s="849">
        <f>IF('Input Sheet'!$C$15="Yes",'Input Sheet'!$F$11,0)</f>
        <v>0</v>
      </c>
      <c r="AJ346" s="850">
        <f>IF('Input Sheet'!$C$15="Yes",'Input Sheet'!$F$7,0)</f>
        <v>0</v>
      </c>
      <c r="AK346" s="856">
        <f t="shared" si="57"/>
        <v>0</v>
      </c>
      <c r="AL346" s="856">
        <f t="shared" si="58"/>
        <v>0</v>
      </c>
      <c r="AM346" s="856">
        <f t="shared" si="64"/>
        <v>0</v>
      </c>
      <c r="AN346" s="856">
        <f t="shared" si="59"/>
        <v>0</v>
      </c>
      <c r="AO346" s="852">
        <f t="shared" si="65"/>
        <v>0</v>
      </c>
      <c r="AP346" s="853">
        <f t="shared" si="66"/>
        <v>0</v>
      </c>
      <c r="AQ346" s="854">
        <f>IFERROR(P346*'Input Sheet'!$F$8/(((AI346)*AK346*2)-AN346),0)</f>
        <v>0</v>
      </c>
      <c r="AR346" s="854">
        <f>IFERROR(($P346-$AF346)*'Input Sheet'!$F$8/(((AI346)*AK346*2)-AN346),0)</f>
        <v>0</v>
      </c>
    </row>
    <row r="347" spans="2:44" s="798" customFormat="1" ht="30" customHeight="1" thickBot="1" x14ac:dyDescent="0.3">
      <c r="B347" s="835"/>
      <c r="C347" s="836"/>
      <c r="D347" s="836"/>
      <c r="E347" s="837"/>
      <c r="F347" s="837"/>
      <c r="G347" s="838"/>
      <c r="H347" s="838"/>
      <c r="I347" s="839"/>
      <c r="J347" s="839"/>
      <c r="K347" s="840"/>
      <c r="L347" s="841"/>
      <c r="M347" s="841"/>
      <c r="N347" s="842"/>
      <c r="O347" s="842"/>
      <c r="P347" s="843"/>
      <c r="Q347" s="843"/>
      <c r="R347" s="843"/>
      <c r="S347" s="844">
        <f t="shared" si="60"/>
        <v>0</v>
      </c>
      <c r="T347" s="838"/>
      <c r="U347" s="842"/>
      <c r="V347" s="843"/>
      <c r="W347" s="843"/>
      <c r="X347" s="843"/>
      <c r="Y347" s="843"/>
      <c r="Z347" s="843"/>
      <c r="AA347" s="837"/>
      <c r="AB347" s="837"/>
      <c r="AC347" s="845">
        <f t="shared" si="61"/>
        <v>0</v>
      </c>
      <c r="AD347" s="846">
        <f t="shared" si="62"/>
        <v>0</v>
      </c>
      <c r="AE347" s="847">
        <f t="shared" si="63"/>
        <v>0</v>
      </c>
      <c r="AF347" s="855">
        <f t="shared" si="56"/>
        <v>0</v>
      </c>
      <c r="AG347" s="848">
        <f>IF('Input Sheet'!$C$15="Yes",'Input Sheet'!$F$8,0)</f>
        <v>0</v>
      </c>
      <c r="AH347" s="846">
        <f>IF('Input Sheet'!$C$15="Yes",Rates!$E$45,0)</f>
        <v>0</v>
      </c>
      <c r="AI347" s="849">
        <f>IF('Input Sheet'!$C$15="Yes",'Input Sheet'!$F$11,0)</f>
        <v>0</v>
      </c>
      <c r="AJ347" s="850">
        <f>IF('Input Sheet'!$C$15="Yes",'Input Sheet'!$F$7,0)</f>
        <v>0</v>
      </c>
      <c r="AK347" s="856">
        <f t="shared" si="57"/>
        <v>0</v>
      </c>
      <c r="AL347" s="856">
        <f t="shared" si="58"/>
        <v>0</v>
      </c>
      <c r="AM347" s="856">
        <f t="shared" si="64"/>
        <v>0</v>
      </c>
      <c r="AN347" s="856">
        <f t="shared" si="59"/>
        <v>0</v>
      </c>
      <c r="AO347" s="852">
        <f t="shared" si="65"/>
        <v>0</v>
      </c>
      <c r="AP347" s="853">
        <f t="shared" si="66"/>
        <v>0</v>
      </c>
      <c r="AQ347" s="854">
        <f>IFERROR(P347*'Input Sheet'!$F$8/(((AI347)*AK347*2)-AN347),0)</f>
        <v>0</v>
      </c>
      <c r="AR347" s="854">
        <f>IFERROR(($P347-$AF347)*'Input Sheet'!$F$8/(((AI347)*AK347*2)-AN347),0)</f>
        <v>0</v>
      </c>
    </row>
    <row r="348" spans="2:44" s="798" customFormat="1" ht="30" customHeight="1" thickBot="1" x14ac:dyDescent="0.3">
      <c r="B348" s="835"/>
      <c r="C348" s="836"/>
      <c r="D348" s="836"/>
      <c r="E348" s="837"/>
      <c r="F348" s="837"/>
      <c r="G348" s="838"/>
      <c r="H348" s="838"/>
      <c r="I348" s="839"/>
      <c r="J348" s="839"/>
      <c r="K348" s="840"/>
      <c r="L348" s="841"/>
      <c r="M348" s="841"/>
      <c r="N348" s="842"/>
      <c r="O348" s="842"/>
      <c r="P348" s="843"/>
      <c r="Q348" s="843"/>
      <c r="R348" s="843"/>
      <c r="S348" s="844">
        <f t="shared" si="60"/>
        <v>0</v>
      </c>
      <c r="T348" s="838"/>
      <c r="U348" s="842"/>
      <c r="V348" s="843"/>
      <c r="W348" s="843"/>
      <c r="X348" s="843"/>
      <c r="Y348" s="843"/>
      <c r="Z348" s="843"/>
      <c r="AA348" s="837"/>
      <c r="AB348" s="837"/>
      <c r="AC348" s="845">
        <f t="shared" si="61"/>
        <v>0</v>
      </c>
      <c r="AD348" s="846">
        <f t="shared" si="62"/>
        <v>0</v>
      </c>
      <c r="AE348" s="847">
        <f t="shared" si="63"/>
        <v>0</v>
      </c>
      <c r="AF348" s="855">
        <f t="shared" si="56"/>
        <v>0</v>
      </c>
      <c r="AG348" s="848">
        <f>IF('Input Sheet'!$C$15="Yes",'Input Sheet'!$F$8,0)</f>
        <v>0</v>
      </c>
      <c r="AH348" s="846">
        <f>IF('Input Sheet'!$C$15="Yes",Rates!$E$45,0)</f>
        <v>0</v>
      </c>
      <c r="AI348" s="849">
        <f>IF('Input Sheet'!$C$15="Yes",'Input Sheet'!$F$11,0)</f>
        <v>0</v>
      </c>
      <c r="AJ348" s="850">
        <f>IF('Input Sheet'!$C$15="Yes",'Input Sheet'!$F$7,0)</f>
        <v>0</v>
      </c>
      <c r="AK348" s="856">
        <f t="shared" si="57"/>
        <v>0</v>
      </c>
      <c r="AL348" s="856">
        <f t="shared" si="58"/>
        <v>0</v>
      </c>
      <c r="AM348" s="856">
        <f t="shared" si="64"/>
        <v>0</v>
      </c>
      <c r="AN348" s="856">
        <f t="shared" si="59"/>
        <v>0</v>
      </c>
      <c r="AO348" s="852">
        <f t="shared" si="65"/>
        <v>0</v>
      </c>
      <c r="AP348" s="853">
        <f t="shared" si="66"/>
        <v>0</v>
      </c>
      <c r="AQ348" s="854">
        <f>IFERROR(P348*'Input Sheet'!$F$8/(((AI348)*AK348*2)-AN348),0)</f>
        <v>0</v>
      </c>
      <c r="AR348" s="854">
        <f>IFERROR(($P348-$AF348)*'Input Sheet'!$F$8/(((AI348)*AK348*2)-AN348),0)</f>
        <v>0</v>
      </c>
    </row>
    <row r="349" spans="2:44" s="798" customFormat="1" ht="30" customHeight="1" thickBot="1" x14ac:dyDescent="0.3">
      <c r="B349" s="835"/>
      <c r="C349" s="836"/>
      <c r="D349" s="836"/>
      <c r="E349" s="837"/>
      <c r="F349" s="837"/>
      <c r="G349" s="838"/>
      <c r="H349" s="838"/>
      <c r="I349" s="839"/>
      <c r="J349" s="839"/>
      <c r="K349" s="840"/>
      <c r="L349" s="841"/>
      <c r="M349" s="841"/>
      <c r="N349" s="842"/>
      <c r="O349" s="842"/>
      <c r="P349" s="843"/>
      <c r="Q349" s="843"/>
      <c r="R349" s="843"/>
      <c r="S349" s="844">
        <f t="shared" si="60"/>
        <v>0</v>
      </c>
      <c r="T349" s="838"/>
      <c r="U349" s="842"/>
      <c r="V349" s="843"/>
      <c r="W349" s="843"/>
      <c r="X349" s="843"/>
      <c r="Y349" s="843"/>
      <c r="Z349" s="843"/>
      <c r="AA349" s="837"/>
      <c r="AB349" s="837"/>
      <c r="AC349" s="845">
        <f t="shared" si="61"/>
        <v>0</v>
      </c>
      <c r="AD349" s="846">
        <f t="shared" si="62"/>
        <v>0</v>
      </c>
      <c r="AE349" s="847">
        <f t="shared" si="63"/>
        <v>0</v>
      </c>
      <c r="AF349" s="855">
        <f t="shared" si="56"/>
        <v>0</v>
      </c>
      <c r="AG349" s="848">
        <f>IF('Input Sheet'!$C$15="Yes",'Input Sheet'!$F$8,0)</f>
        <v>0</v>
      </c>
      <c r="AH349" s="846">
        <f>IF('Input Sheet'!$C$15="Yes",Rates!$E$45,0)</f>
        <v>0</v>
      </c>
      <c r="AI349" s="849">
        <f>IF('Input Sheet'!$C$15="Yes",'Input Sheet'!$F$11,0)</f>
        <v>0</v>
      </c>
      <c r="AJ349" s="850">
        <f>IF('Input Sheet'!$C$15="Yes",'Input Sheet'!$F$7,0)</f>
        <v>0</v>
      </c>
      <c r="AK349" s="856">
        <f t="shared" si="57"/>
        <v>0</v>
      </c>
      <c r="AL349" s="856">
        <f t="shared" si="58"/>
        <v>0</v>
      </c>
      <c r="AM349" s="856">
        <f t="shared" si="64"/>
        <v>0</v>
      </c>
      <c r="AN349" s="856">
        <f t="shared" si="59"/>
        <v>0</v>
      </c>
      <c r="AO349" s="852">
        <f t="shared" si="65"/>
        <v>0</v>
      </c>
      <c r="AP349" s="853">
        <f t="shared" si="66"/>
        <v>0</v>
      </c>
      <c r="AQ349" s="854">
        <f>IFERROR(P349*'Input Sheet'!$F$8/(((AI349)*AK349*2)-AN349),0)</f>
        <v>0</v>
      </c>
      <c r="AR349" s="854">
        <f>IFERROR(($P349-$AF349)*'Input Sheet'!$F$8/(((AI349)*AK349*2)-AN349),0)</f>
        <v>0</v>
      </c>
    </row>
    <row r="350" spans="2:44" s="798" customFormat="1" ht="30" customHeight="1" thickBot="1" x14ac:dyDescent="0.3">
      <c r="B350" s="835"/>
      <c r="C350" s="836"/>
      <c r="D350" s="836"/>
      <c r="E350" s="837"/>
      <c r="F350" s="837"/>
      <c r="G350" s="838"/>
      <c r="H350" s="838"/>
      <c r="I350" s="839"/>
      <c r="J350" s="839"/>
      <c r="K350" s="840"/>
      <c r="L350" s="841"/>
      <c r="M350" s="841"/>
      <c r="N350" s="842"/>
      <c r="O350" s="842"/>
      <c r="P350" s="843"/>
      <c r="Q350" s="843"/>
      <c r="R350" s="843"/>
      <c r="S350" s="844">
        <f t="shared" si="60"/>
        <v>0</v>
      </c>
      <c r="T350" s="838"/>
      <c r="U350" s="842"/>
      <c r="V350" s="843"/>
      <c r="W350" s="843"/>
      <c r="X350" s="843"/>
      <c r="Y350" s="843"/>
      <c r="Z350" s="843"/>
      <c r="AA350" s="837"/>
      <c r="AB350" s="837"/>
      <c r="AC350" s="845">
        <f t="shared" si="61"/>
        <v>0</v>
      </c>
      <c r="AD350" s="846">
        <f t="shared" si="62"/>
        <v>0</v>
      </c>
      <c r="AE350" s="847">
        <f t="shared" si="63"/>
        <v>0</v>
      </c>
      <c r="AF350" s="855">
        <f t="shared" si="56"/>
        <v>0</v>
      </c>
      <c r="AG350" s="848">
        <f>IF('Input Sheet'!$C$15="Yes",'Input Sheet'!$F$8,0)</f>
        <v>0</v>
      </c>
      <c r="AH350" s="846">
        <f>IF('Input Sheet'!$C$15="Yes",Rates!$E$45,0)</f>
        <v>0</v>
      </c>
      <c r="AI350" s="849">
        <f>IF('Input Sheet'!$C$15="Yes",'Input Sheet'!$F$11,0)</f>
        <v>0</v>
      </c>
      <c r="AJ350" s="850">
        <f>IF('Input Sheet'!$C$15="Yes",'Input Sheet'!$F$7,0)</f>
        <v>0</v>
      </c>
      <c r="AK350" s="856">
        <f t="shared" si="57"/>
        <v>0</v>
      </c>
      <c r="AL350" s="856">
        <f t="shared" si="58"/>
        <v>0</v>
      </c>
      <c r="AM350" s="856">
        <f t="shared" si="64"/>
        <v>0</v>
      </c>
      <c r="AN350" s="856">
        <f t="shared" si="59"/>
        <v>0</v>
      </c>
      <c r="AO350" s="852">
        <f t="shared" si="65"/>
        <v>0</v>
      </c>
      <c r="AP350" s="853">
        <f t="shared" si="66"/>
        <v>0</v>
      </c>
      <c r="AQ350" s="854">
        <f>IFERROR(P350*'Input Sheet'!$F$8/(((AI350)*AK350*2)-AN350),0)</f>
        <v>0</v>
      </c>
      <c r="AR350" s="854">
        <f>IFERROR(($P350-$AF350)*'Input Sheet'!$F$8/(((AI350)*AK350*2)-AN350),0)</f>
        <v>0</v>
      </c>
    </row>
    <row r="351" spans="2:44" s="798" customFormat="1" ht="30" customHeight="1" thickBot="1" x14ac:dyDescent="0.3">
      <c r="B351" s="835"/>
      <c r="C351" s="836"/>
      <c r="D351" s="836"/>
      <c r="E351" s="837"/>
      <c r="F351" s="837"/>
      <c r="G351" s="838"/>
      <c r="H351" s="838"/>
      <c r="I351" s="839"/>
      <c r="J351" s="839"/>
      <c r="K351" s="840"/>
      <c r="L351" s="841"/>
      <c r="M351" s="841"/>
      <c r="N351" s="842"/>
      <c r="O351" s="842"/>
      <c r="P351" s="843"/>
      <c r="Q351" s="843"/>
      <c r="R351" s="843"/>
      <c r="S351" s="844">
        <f t="shared" si="60"/>
        <v>0</v>
      </c>
      <c r="T351" s="838"/>
      <c r="U351" s="842"/>
      <c r="V351" s="843"/>
      <c r="W351" s="843"/>
      <c r="X351" s="843"/>
      <c r="Y351" s="843"/>
      <c r="Z351" s="843"/>
      <c r="AA351" s="837"/>
      <c r="AB351" s="837"/>
      <c r="AC351" s="845">
        <f t="shared" si="61"/>
        <v>0</v>
      </c>
      <c r="AD351" s="846">
        <f t="shared" si="62"/>
        <v>0</v>
      </c>
      <c r="AE351" s="847">
        <f t="shared" si="63"/>
        <v>0</v>
      </c>
      <c r="AF351" s="855">
        <f t="shared" si="56"/>
        <v>0</v>
      </c>
      <c r="AG351" s="848">
        <f>IF('Input Sheet'!$C$15="Yes",'Input Sheet'!$F$8,0)</f>
        <v>0</v>
      </c>
      <c r="AH351" s="846">
        <f>IF('Input Sheet'!$C$15="Yes",Rates!$E$45,0)</f>
        <v>0</v>
      </c>
      <c r="AI351" s="849">
        <f>IF('Input Sheet'!$C$15="Yes",'Input Sheet'!$F$11,0)</f>
        <v>0</v>
      </c>
      <c r="AJ351" s="850">
        <f>IF('Input Sheet'!$C$15="Yes",'Input Sheet'!$F$7,0)</f>
        <v>0</v>
      </c>
      <c r="AK351" s="856">
        <f t="shared" si="57"/>
        <v>0</v>
      </c>
      <c r="AL351" s="856">
        <f t="shared" si="58"/>
        <v>0</v>
      </c>
      <c r="AM351" s="856">
        <f t="shared" si="64"/>
        <v>0</v>
      </c>
      <c r="AN351" s="856">
        <f t="shared" si="59"/>
        <v>0</v>
      </c>
      <c r="AO351" s="852">
        <f t="shared" si="65"/>
        <v>0</v>
      </c>
      <c r="AP351" s="853">
        <f t="shared" si="66"/>
        <v>0</v>
      </c>
      <c r="AQ351" s="854">
        <f>IFERROR(P351*'Input Sheet'!$F$8/(((AI351)*AK351*2)-AN351),0)</f>
        <v>0</v>
      </c>
      <c r="AR351" s="854">
        <f>IFERROR(($P351-$AF351)*'Input Sheet'!$F$8/(((AI351)*AK351*2)-AN351),0)</f>
        <v>0</v>
      </c>
    </row>
    <row r="352" spans="2:44" s="798" customFormat="1" ht="30" customHeight="1" thickBot="1" x14ac:dyDescent="0.3">
      <c r="B352" s="835"/>
      <c r="C352" s="836"/>
      <c r="D352" s="836"/>
      <c r="E352" s="837"/>
      <c r="F352" s="837"/>
      <c r="G352" s="838"/>
      <c r="H352" s="838"/>
      <c r="I352" s="839"/>
      <c r="J352" s="839"/>
      <c r="K352" s="840"/>
      <c r="L352" s="841"/>
      <c r="M352" s="841"/>
      <c r="N352" s="842"/>
      <c r="O352" s="842"/>
      <c r="P352" s="843"/>
      <c r="Q352" s="843"/>
      <c r="R352" s="843"/>
      <c r="S352" s="844">
        <f t="shared" si="60"/>
        <v>0</v>
      </c>
      <c r="T352" s="838"/>
      <c r="U352" s="842"/>
      <c r="V352" s="843"/>
      <c r="W352" s="843"/>
      <c r="X352" s="843"/>
      <c r="Y352" s="843"/>
      <c r="Z352" s="843"/>
      <c r="AA352" s="837"/>
      <c r="AB352" s="837"/>
      <c r="AC352" s="845">
        <f t="shared" si="61"/>
        <v>0</v>
      </c>
      <c r="AD352" s="846">
        <f t="shared" si="62"/>
        <v>0</v>
      </c>
      <c r="AE352" s="847">
        <f t="shared" si="63"/>
        <v>0</v>
      </c>
      <c r="AF352" s="855">
        <f t="shared" si="56"/>
        <v>0</v>
      </c>
      <c r="AG352" s="848">
        <f>IF('Input Sheet'!$C$15="Yes",'Input Sheet'!$F$8,0)</f>
        <v>0</v>
      </c>
      <c r="AH352" s="846">
        <f>IF('Input Sheet'!$C$15="Yes",Rates!$E$45,0)</f>
        <v>0</v>
      </c>
      <c r="AI352" s="849">
        <f>IF('Input Sheet'!$C$15="Yes",'Input Sheet'!$F$11,0)</f>
        <v>0</v>
      </c>
      <c r="AJ352" s="850">
        <f>IF('Input Sheet'!$C$15="Yes",'Input Sheet'!$F$7,0)</f>
        <v>0</v>
      </c>
      <c r="AK352" s="856">
        <f t="shared" si="57"/>
        <v>0</v>
      </c>
      <c r="AL352" s="856">
        <f t="shared" si="58"/>
        <v>0</v>
      </c>
      <c r="AM352" s="856">
        <f t="shared" si="64"/>
        <v>0</v>
      </c>
      <c r="AN352" s="856">
        <f t="shared" si="59"/>
        <v>0</v>
      </c>
      <c r="AO352" s="852">
        <f t="shared" si="65"/>
        <v>0</v>
      </c>
      <c r="AP352" s="853">
        <f t="shared" si="66"/>
        <v>0</v>
      </c>
      <c r="AQ352" s="854">
        <f>IFERROR(P352*'Input Sheet'!$F$8/(((AI352)*AK352*2)-AN352),0)</f>
        <v>0</v>
      </c>
      <c r="AR352" s="854">
        <f>IFERROR(($P352-$AF352)*'Input Sheet'!$F$8/(((AI352)*AK352*2)-AN352),0)</f>
        <v>0</v>
      </c>
    </row>
    <row r="353" spans="2:44" s="798" customFormat="1" ht="30" customHeight="1" thickBot="1" x14ac:dyDescent="0.3">
      <c r="B353" s="835"/>
      <c r="C353" s="836"/>
      <c r="D353" s="836"/>
      <c r="E353" s="837"/>
      <c r="F353" s="837"/>
      <c r="G353" s="838"/>
      <c r="H353" s="838"/>
      <c r="I353" s="839"/>
      <c r="J353" s="839"/>
      <c r="K353" s="840"/>
      <c r="L353" s="841"/>
      <c r="M353" s="841"/>
      <c r="N353" s="842"/>
      <c r="O353" s="842"/>
      <c r="P353" s="843"/>
      <c r="Q353" s="843"/>
      <c r="R353" s="843"/>
      <c r="S353" s="844">
        <f t="shared" si="60"/>
        <v>0</v>
      </c>
      <c r="T353" s="838"/>
      <c r="U353" s="842"/>
      <c r="V353" s="843"/>
      <c r="W353" s="843"/>
      <c r="X353" s="843"/>
      <c r="Y353" s="843"/>
      <c r="Z353" s="843"/>
      <c r="AA353" s="837"/>
      <c r="AB353" s="837"/>
      <c r="AC353" s="845">
        <f t="shared" si="61"/>
        <v>0</v>
      </c>
      <c r="AD353" s="846">
        <f t="shared" si="62"/>
        <v>0</v>
      </c>
      <c r="AE353" s="847">
        <f t="shared" si="63"/>
        <v>0</v>
      </c>
      <c r="AF353" s="855">
        <f t="shared" si="56"/>
        <v>0</v>
      </c>
      <c r="AG353" s="848">
        <f>IF('Input Sheet'!$C$15="Yes",'Input Sheet'!$F$8,0)</f>
        <v>0</v>
      </c>
      <c r="AH353" s="846">
        <f>IF('Input Sheet'!$C$15="Yes",Rates!$E$45,0)</f>
        <v>0</v>
      </c>
      <c r="AI353" s="849">
        <f>IF('Input Sheet'!$C$15="Yes",'Input Sheet'!$F$11,0)</f>
        <v>0</v>
      </c>
      <c r="AJ353" s="850">
        <f>IF('Input Sheet'!$C$15="Yes",'Input Sheet'!$F$7,0)</f>
        <v>0</v>
      </c>
      <c r="AK353" s="856">
        <f t="shared" si="57"/>
        <v>0</v>
      </c>
      <c r="AL353" s="856">
        <f t="shared" si="58"/>
        <v>0</v>
      </c>
      <c r="AM353" s="856">
        <f t="shared" si="64"/>
        <v>0</v>
      </c>
      <c r="AN353" s="856">
        <f t="shared" si="59"/>
        <v>0</v>
      </c>
      <c r="AO353" s="852">
        <f t="shared" si="65"/>
        <v>0</v>
      </c>
      <c r="AP353" s="853">
        <f t="shared" si="66"/>
        <v>0</v>
      </c>
      <c r="AQ353" s="854">
        <f>IFERROR(P353*'Input Sheet'!$F$8/(((AI353)*AK353*2)-AN353),0)</f>
        <v>0</v>
      </c>
      <c r="AR353" s="854">
        <f>IFERROR(($P353-$AF353)*'Input Sheet'!$F$8/(((AI353)*AK353*2)-AN353),0)</f>
        <v>0</v>
      </c>
    </row>
    <row r="354" spans="2:44" s="798" customFormat="1" ht="30" customHeight="1" thickBot="1" x14ac:dyDescent="0.3">
      <c r="B354" s="835"/>
      <c r="C354" s="836"/>
      <c r="D354" s="836"/>
      <c r="E354" s="837"/>
      <c r="F354" s="837"/>
      <c r="G354" s="838"/>
      <c r="H354" s="838"/>
      <c r="I354" s="839"/>
      <c r="J354" s="839"/>
      <c r="K354" s="840"/>
      <c r="L354" s="841"/>
      <c r="M354" s="841"/>
      <c r="N354" s="842"/>
      <c r="O354" s="842"/>
      <c r="P354" s="843"/>
      <c r="Q354" s="843"/>
      <c r="R354" s="843"/>
      <c r="S354" s="844">
        <f t="shared" si="60"/>
        <v>0</v>
      </c>
      <c r="T354" s="838"/>
      <c r="U354" s="842"/>
      <c r="V354" s="843"/>
      <c r="W354" s="843"/>
      <c r="X354" s="843"/>
      <c r="Y354" s="843"/>
      <c r="Z354" s="843"/>
      <c r="AA354" s="837"/>
      <c r="AB354" s="837"/>
      <c r="AC354" s="845">
        <f t="shared" si="61"/>
        <v>0</v>
      </c>
      <c r="AD354" s="846">
        <f t="shared" si="62"/>
        <v>0</v>
      </c>
      <c r="AE354" s="847">
        <f t="shared" si="63"/>
        <v>0</v>
      </c>
      <c r="AF354" s="855">
        <f t="shared" si="56"/>
        <v>0</v>
      </c>
      <c r="AG354" s="848">
        <f>IF('Input Sheet'!$C$15="Yes",'Input Sheet'!$F$8,0)</f>
        <v>0</v>
      </c>
      <c r="AH354" s="846">
        <f>IF('Input Sheet'!$C$15="Yes",Rates!$E$45,0)</f>
        <v>0</v>
      </c>
      <c r="AI354" s="849">
        <f>IF('Input Sheet'!$C$15="Yes",'Input Sheet'!$F$11,0)</f>
        <v>0</v>
      </c>
      <c r="AJ354" s="850">
        <f>IF('Input Sheet'!$C$15="Yes",'Input Sheet'!$F$7,0)</f>
        <v>0</v>
      </c>
      <c r="AK354" s="856">
        <f t="shared" si="57"/>
        <v>0</v>
      </c>
      <c r="AL354" s="856">
        <f t="shared" si="58"/>
        <v>0</v>
      </c>
      <c r="AM354" s="856">
        <f t="shared" si="64"/>
        <v>0</v>
      </c>
      <c r="AN354" s="856">
        <f t="shared" si="59"/>
        <v>0</v>
      </c>
      <c r="AO354" s="852">
        <f t="shared" si="65"/>
        <v>0</v>
      </c>
      <c r="AP354" s="853">
        <f t="shared" si="66"/>
        <v>0</v>
      </c>
      <c r="AQ354" s="854">
        <f>IFERROR(P354*'Input Sheet'!$F$8/(((AI354)*AK354*2)-AN354),0)</f>
        <v>0</v>
      </c>
      <c r="AR354" s="854">
        <f>IFERROR(($P354-$AF354)*'Input Sheet'!$F$8/(((AI354)*AK354*2)-AN354),0)</f>
        <v>0</v>
      </c>
    </row>
    <row r="355" spans="2:44" s="798" customFormat="1" ht="30" customHeight="1" thickBot="1" x14ac:dyDescent="0.3">
      <c r="B355" s="835"/>
      <c r="C355" s="836"/>
      <c r="D355" s="836"/>
      <c r="E355" s="837"/>
      <c r="F355" s="837"/>
      <c r="G355" s="838"/>
      <c r="H355" s="838"/>
      <c r="I355" s="839"/>
      <c r="J355" s="839"/>
      <c r="K355" s="840"/>
      <c r="L355" s="841"/>
      <c r="M355" s="841"/>
      <c r="N355" s="842"/>
      <c r="O355" s="842"/>
      <c r="P355" s="843"/>
      <c r="Q355" s="843"/>
      <c r="R355" s="843"/>
      <c r="S355" s="844">
        <f t="shared" si="60"/>
        <v>0</v>
      </c>
      <c r="T355" s="838"/>
      <c r="U355" s="842"/>
      <c r="V355" s="843"/>
      <c r="W355" s="843"/>
      <c r="X355" s="843"/>
      <c r="Y355" s="843"/>
      <c r="Z355" s="843"/>
      <c r="AA355" s="837"/>
      <c r="AB355" s="837"/>
      <c r="AC355" s="845">
        <f t="shared" si="61"/>
        <v>0</v>
      </c>
      <c r="AD355" s="846">
        <f t="shared" si="62"/>
        <v>0</v>
      </c>
      <c r="AE355" s="847">
        <f t="shared" si="63"/>
        <v>0</v>
      </c>
      <c r="AF355" s="855">
        <f t="shared" si="56"/>
        <v>0</v>
      </c>
      <c r="AG355" s="848">
        <f>IF('Input Sheet'!$C$15="Yes",'Input Sheet'!$F$8,0)</f>
        <v>0</v>
      </c>
      <c r="AH355" s="846">
        <f>IF('Input Sheet'!$C$15="Yes",Rates!$E$45,0)</f>
        <v>0</v>
      </c>
      <c r="AI355" s="849">
        <f>IF('Input Sheet'!$C$15="Yes",'Input Sheet'!$F$11,0)</f>
        <v>0</v>
      </c>
      <c r="AJ355" s="850">
        <f>IF('Input Sheet'!$C$15="Yes",'Input Sheet'!$F$7,0)</f>
        <v>0</v>
      </c>
      <c r="AK355" s="856">
        <f t="shared" si="57"/>
        <v>0</v>
      </c>
      <c r="AL355" s="856">
        <f t="shared" si="58"/>
        <v>0</v>
      </c>
      <c r="AM355" s="856">
        <f t="shared" si="64"/>
        <v>0</v>
      </c>
      <c r="AN355" s="856">
        <f t="shared" si="59"/>
        <v>0</v>
      </c>
      <c r="AO355" s="852">
        <f t="shared" si="65"/>
        <v>0</v>
      </c>
      <c r="AP355" s="853">
        <f t="shared" si="66"/>
        <v>0</v>
      </c>
      <c r="AQ355" s="854">
        <f>IFERROR(P355*'Input Sheet'!$F$8/(((AI355)*AK355*2)-AN355),0)</f>
        <v>0</v>
      </c>
      <c r="AR355" s="854">
        <f>IFERROR(($P355-$AF355)*'Input Sheet'!$F$8/(((AI355)*AK355*2)-AN355),0)</f>
        <v>0</v>
      </c>
    </row>
    <row r="356" spans="2:44" s="798" customFormat="1" ht="30" customHeight="1" thickBot="1" x14ac:dyDescent="0.3">
      <c r="B356" s="835"/>
      <c r="C356" s="836"/>
      <c r="D356" s="836"/>
      <c r="E356" s="837"/>
      <c r="F356" s="837"/>
      <c r="G356" s="838"/>
      <c r="H356" s="838"/>
      <c r="I356" s="839"/>
      <c r="J356" s="839"/>
      <c r="K356" s="840"/>
      <c r="L356" s="841"/>
      <c r="M356" s="841"/>
      <c r="N356" s="842"/>
      <c r="O356" s="842"/>
      <c r="P356" s="843"/>
      <c r="Q356" s="843"/>
      <c r="R356" s="843"/>
      <c r="S356" s="844">
        <f t="shared" si="60"/>
        <v>0</v>
      </c>
      <c r="T356" s="838"/>
      <c r="U356" s="842"/>
      <c r="V356" s="843"/>
      <c r="W356" s="843"/>
      <c r="X356" s="843"/>
      <c r="Y356" s="843"/>
      <c r="Z356" s="843"/>
      <c r="AA356" s="837"/>
      <c r="AB356" s="837"/>
      <c r="AC356" s="845">
        <f t="shared" si="61"/>
        <v>0</v>
      </c>
      <c r="AD356" s="846">
        <f t="shared" si="62"/>
        <v>0</v>
      </c>
      <c r="AE356" s="847">
        <f t="shared" si="63"/>
        <v>0</v>
      </c>
      <c r="AF356" s="855">
        <f t="shared" si="56"/>
        <v>0</v>
      </c>
      <c r="AG356" s="848">
        <f>IF('Input Sheet'!$C$15="Yes",'Input Sheet'!$F$8,0)</f>
        <v>0</v>
      </c>
      <c r="AH356" s="846">
        <f>IF('Input Sheet'!$C$15="Yes",Rates!$E$45,0)</f>
        <v>0</v>
      </c>
      <c r="AI356" s="849">
        <f>IF('Input Sheet'!$C$15="Yes",'Input Sheet'!$F$11,0)</f>
        <v>0</v>
      </c>
      <c r="AJ356" s="850">
        <f>IF('Input Sheet'!$C$15="Yes",'Input Sheet'!$F$7,0)</f>
        <v>0</v>
      </c>
      <c r="AK356" s="856">
        <f t="shared" si="57"/>
        <v>0</v>
      </c>
      <c r="AL356" s="856">
        <f t="shared" si="58"/>
        <v>0</v>
      </c>
      <c r="AM356" s="856">
        <f t="shared" si="64"/>
        <v>0</v>
      </c>
      <c r="AN356" s="856">
        <f t="shared" si="59"/>
        <v>0</v>
      </c>
      <c r="AO356" s="852">
        <f t="shared" si="65"/>
        <v>0</v>
      </c>
      <c r="AP356" s="853">
        <f t="shared" si="66"/>
        <v>0</v>
      </c>
      <c r="AQ356" s="854">
        <f>IFERROR(P356*'Input Sheet'!$F$8/(((AI356)*AK356*2)-AN356),0)</f>
        <v>0</v>
      </c>
      <c r="AR356" s="854">
        <f>IFERROR(($P356-$AF356)*'Input Sheet'!$F$8/(((AI356)*AK356*2)-AN356),0)</f>
        <v>0</v>
      </c>
    </row>
    <row r="357" spans="2:44" s="798" customFormat="1" ht="30" customHeight="1" thickBot="1" x14ac:dyDescent="0.3">
      <c r="B357" s="835"/>
      <c r="C357" s="836"/>
      <c r="D357" s="836"/>
      <c r="E357" s="837"/>
      <c r="F357" s="837"/>
      <c r="G357" s="838"/>
      <c r="H357" s="838"/>
      <c r="I357" s="839"/>
      <c r="J357" s="839"/>
      <c r="K357" s="840"/>
      <c r="L357" s="841"/>
      <c r="M357" s="841"/>
      <c r="N357" s="842"/>
      <c r="O357" s="842"/>
      <c r="P357" s="843"/>
      <c r="Q357" s="843"/>
      <c r="R357" s="843"/>
      <c r="S357" s="844">
        <f t="shared" si="60"/>
        <v>0</v>
      </c>
      <c r="T357" s="838"/>
      <c r="U357" s="842"/>
      <c r="V357" s="843"/>
      <c r="W357" s="843"/>
      <c r="X357" s="843"/>
      <c r="Y357" s="843"/>
      <c r="Z357" s="843"/>
      <c r="AA357" s="837"/>
      <c r="AB357" s="837"/>
      <c r="AC357" s="845">
        <f t="shared" si="61"/>
        <v>0</v>
      </c>
      <c r="AD357" s="846">
        <f t="shared" si="62"/>
        <v>0</v>
      </c>
      <c r="AE357" s="847">
        <f t="shared" si="63"/>
        <v>0</v>
      </c>
      <c r="AF357" s="855">
        <f t="shared" si="56"/>
        <v>0</v>
      </c>
      <c r="AG357" s="848">
        <f>IF('Input Sheet'!$C$15="Yes",'Input Sheet'!$F$8,0)</f>
        <v>0</v>
      </c>
      <c r="AH357" s="846">
        <f>IF('Input Sheet'!$C$15="Yes",Rates!$E$45,0)</f>
        <v>0</v>
      </c>
      <c r="AI357" s="849">
        <f>IF('Input Sheet'!$C$15="Yes",'Input Sheet'!$F$11,0)</f>
        <v>0</v>
      </c>
      <c r="AJ357" s="850">
        <f>IF('Input Sheet'!$C$15="Yes",'Input Sheet'!$F$7,0)</f>
        <v>0</v>
      </c>
      <c r="AK357" s="856">
        <f t="shared" si="57"/>
        <v>0</v>
      </c>
      <c r="AL357" s="856">
        <f t="shared" si="58"/>
        <v>0</v>
      </c>
      <c r="AM357" s="856">
        <f t="shared" si="64"/>
        <v>0</v>
      </c>
      <c r="AN357" s="856">
        <f t="shared" si="59"/>
        <v>0</v>
      </c>
      <c r="AO357" s="852">
        <f t="shared" si="65"/>
        <v>0</v>
      </c>
      <c r="AP357" s="853">
        <f t="shared" si="66"/>
        <v>0</v>
      </c>
      <c r="AQ357" s="854">
        <f>IFERROR(P357*'Input Sheet'!$F$8/(((AI357)*AK357*2)-AN357),0)</f>
        <v>0</v>
      </c>
      <c r="AR357" s="854">
        <f>IFERROR(($P357-$AF357)*'Input Sheet'!$F$8/(((AI357)*AK357*2)-AN357),0)</f>
        <v>0</v>
      </c>
    </row>
    <row r="358" spans="2:44" s="798" customFormat="1" ht="30" customHeight="1" thickBot="1" x14ac:dyDescent="0.3">
      <c r="B358" s="835"/>
      <c r="C358" s="836"/>
      <c r="D358" s="836"/>
      <c r="E358" s="837"/>
      <c r="F358" s="837"/>
      <c r="G358" s="838"/>
      <c r="H358" s="838"/>
      <c r="I358" s="839"/>
      <c r="J358" s="839"/>
      <c r="K358" s="840"/>
      <c r="L358" s="841"/>
      <c r="M358" s="841"/>
      <c r="N358" s="842"/>
      <c r="O358" s="842"/>
      <c r="P358" s="843"/>
      <c r="Q358" s="843"/>
      <c r="R358" s="843"/>
      <c r="S358" s="844">
        <f t="shared" si="60"/>
        <v>0</v>
      </c>
      <c r="T358" s="838"/>
      <c r="U358" s="842"/>
      <c r="V358" s="843"/>
      <c r="W358" s="843"/>
      <c r="X358" s="843"/>
      <c r="Y358" s="843"/>
      <c r="Z358" s="843"/>
      <c r="AA358" s="837"/>
      <c r="AB358" s="837"/>
      <c r="AC358" s="845">
        <f t="shared" si="61"/>
        <v>0</v>
      </c>
      <c r="AD358" s="846">
        <f t="shared" si="62"/>
        <v>0</v>
      </c>
      <c r="AE358" s="847">
        <f t="shared" si="63"/>
        <v>0</v>
      </c>
      <c r="AF358" s="855">
        <f t="shared" si="56"/>
        <v>0</v>
      </c>
      <c r="AG358" s="848">
        <f>IF('Input Sheet'!$C$15="Yes",'Input Sheet'!$F$8,0)</f>
        <v>0</v>
      </c>
      <c r="AH358" s="846">
        <f>IF('Input Sheet'!$C$15="Yes",Rates!$E$45,0)</f>
        <v>0</v>
      </c>
      <c r="AI358" s="849">
        <f>IF('Input Sheet'!$C$15="Yes",'Input Sheet'!$F$11,0)</f>
        <v>0</v>
      </c>
      <c r="AJ358" s="850">
        <f>IF('Input Sheet'!$C$15="Yes",'Input Sheet'!$F$7,0)</f>
        <v>0</v>
      </c>
      <c r="AK358" s="856">
        <f t="shared" si="57"/>
        <v>0</v>
      </c>
      <c r="AL358" s="856">
        <f t="shared" si="58"/>
        <v>0</v>
      </c>
      <c r="AM358" s="856">
        <f t="shared" si="64"/>
        <v>0</v>
      </c>
      <c r="AN358" s="856">
        <f t="shared" si="59"/>
        <v>0</v>
      </c>
      <c r="AO358" s="852">
        <f t="shared" si="65"/>
        <v>0</v>
      </c>
      <c r="AP358" s="853">
        <f t="shared" si="66"/>
        <v>0</v>
      </c>
      <c r="AQ358" s="854">
        <f>IFERROR(P358*'Input Sheet'!$F$8/(((AI358)*AK358*2)-AN358),0)</f>
        <v>0</v>
      </c>
      <c r="AR358" s="854">
        <f>IFERROR(($P358-$AF358)*'Input Sheet'!$F$8/(((AI358)*AK358*2)-AN358),0)</f>
        <v>0</v>
      </c>
    </row>
    <row r="359" spans="2:44" s="798" customFormat="1" ht="30" customHeight="1" thickBot="1" x14ac:dyDescent="0.3">
      <c r="B359" s="835"/>
      <c r="C359" s="836"/>
      <c r="D359" s="836"/>
      <c r="E359" s="837"/>
      <c r="F359" s="837"/>
      <c r="G359" s="838"/>
      <c r="H359" s="838"/>
      <c r="I359" s="839"/>
      <c r="J359" s="839"/>
      <c r="K359" s="840"/>
      <c r="L359" s="841"/>
      <c r="M359" s="841"/>
      <c r="N359" s="842"/>
      <c r="O359" s="842"/>
      <c r="P359" s="843"/>
      <c r="Q359" s="843"/>
      <c r="R359" s="843"/>
      <c r="S359" s="844">
        <f t="shared" si="60"/>
        <v>0</v>
      </c>
      <c r="T359" s="838"/>
      <c r="U359" s="842"/>
      <c r="V359" s="843"/>
      <c r="W359" s="843"/>
      <c r="X359" s="843"/>
      <c r="Y359" s="843"/>
      <c r="Z359" s="843"/>
      <c r="AA359" s="837"/>
      <c r="AB359" s="837"/>
      <c r="AC359" s="845">
        <f t="shared" si="61"/>
        <v>0</v>
      </c>
      <c r="AD359" s="846">
        <f t="shared" si="62"/>
        <v>0</v>
      </c>
      <c r="AE359" s="847">
        <f t="shared" si="63"/>
        <v>0</v>
      </c>
      <c r="AF359" s="855">
        <f t="shared" si="56"/>
        <v>0</v>
      </c>
      <c r="AG359" s="848">
        <f>IF('Input Sheet'!$C$15="Yes",'Input Sheet'!$F$8,0)</f>
        <v>0</v>
      </c>
      <c r="AH359" s="846">
        <f>IF('Input Sheet'!$C$15="Yes",Rates!$E$45,0)</f>
        <v>0</v>
      </c>
      <c r="AI359" s="849">
        <f>IF('Input Sheet'!$C$15="Yes",'Input Sheet'!$F$11,0)</f>
        <v>0</v>
      </c>
      <c r="AJ359" s="850">
        <f>IF('Input Sheet'!$C$15="Yes",'Input Sheet'!$F$7,0)</f>
        <v>0</v>
      </c>
      <c r="AK359" s="856">
        <f t="shared" si="57"/>
        <v>0</v>
      </c>
      <c r="AL359" s="856">
        <f t="shared" si="58"/>
        <v>0</v>
      </c>
      <c r="AM359" s="856">
        <f t="shared" si="64"/>
        <v>0</v>
      </c>
      <c r="AN359" s="856">
        <f t="shared" si="59"/>
        <v>0</v>
      </c>
      <c r="AO359" s="852">
        <f t="shared" si="65"/>
        <v>0</v>
      </c>
      <c r="AP359" s="853">
        <f t="shared" si="66"/>
        <v>0</v>
      </c>
      <c r="AQ359" s="854">
        <f>IFERROR(P359*'Input Sheet'!$F$8/(((AI359)*AK359*2)-AN359),0)</f>
        <v>0</v>
      </c>
      <c r="AR359" s="854">
        <f>IFERROR(($P359-$AF359)*'Input Sheet'!$F$8/(((AI359)*AK359*2)-AN359),0)</f>
        <v>0</v>
      </c>
    </row>
    <row r="360" spans="2:44" s="798" customFormat="1" ht="30" customHeight="1" thickBot="1" x14ac:dyDescent="0.3">
      <c r="B360" s="835"/>
      <c r="C360" s="836"/>
      <c r="D360" s="836"/>
      <c r="E360" s="837"/>
      <c r="F360" s="837"/>
      <c r="G360" s="838"/>
      <c r="H360" s="838"/>
      <c r="I360" s="839"/>
      <c r="J360" s="839"/>
      <c r="K360" s="840"/>
      <c r="L360" s="841"/>
      <c r="M360" s="841"/>
      <c r="N360" s="842"/>
      <c r="O360" s="842"/>
      <c r="P360" s="843"/>
      <c r="Q360" s="843"/>
      <c r="R360" s="843"/>
      <c r="S360" s="844">
        <f t="shared" si="60"/>
        <v>0</v>
      </c>
      <c r="T360" s="838"/>
      <c r="U360" s="842"/>
      <c r="V360" s="843"/>
      <c r="W360" s="843"/>
      <c r="X360" s="843"/>
      <c r="Y360" s="843"/>
      <c r="Z360" s="843"/>
      <c r="AA360" s="837"/>
      <c r="AB360" s="837"/>
      <c r="AC360" s="845">
        <f t="shared" si="61"/>
        <v>0</v>
      </c>
      <c r="AD360" s="846">
        <f t="shared" si="62"/>
        <v>0</v>
      </c>
      <c r="AE360" s="847">
        <f t="shared" si="63"/>
        <v>0</v>
      </c>
      <c r="AF360" s="855">
        <f t="shared" si="56"/>
        <v>0</v>
      </c>
      <c r="AG360" s="848">
        <f>IF('Input Sheet'!$C$15="Yes",'Input Sheet'!$F$8,0)</f>
        <v>0</v>
      </c>
      <c r="AH360" s="846">
        <f>IF('Input Sheet'!$C$15="Yes",Rates!$E$45,0)</f>
        <v>0</v>
      </c>
      <c r="AI360" s="849">
        <f>IF('Input Sheet'!$C$15="Yes",'Input Sheet'!$F$11,0)</f>
        <v>0</v>
      </c>
      <c r="AJ360" s="850">
        <f>IF('Input Sheet'!$C$15="Yes",'Input Sheet'!$F$7,0)</f>
        <v>0</v>
      </c>
      <c r="AK360" s="856">
        <f t="shared" si="57"/>
        <v>0</v>
      </c>
      <c r="AL360" s="856">
        <f t="shared" si="58"/>
        <v>0</v>
      </c>
      <c r="AM360" s="856">
        <f t="shared" si="64"/>
        <v>0</v>
      </c>
      <c r="AN360" s="856">
        <f t="shared" si="59"/>
        <v>0</v>
      </c>
      <c r="AO360" s="852">
        <f t="shared" si="65"/>
        <v>0</v>
      </c>
      <c r="AP360" s="853">
        <f t="shared" si="66"/>
        <v>0</v>
      </c>
      <c r="AQ360" s="854">
        <f>IFERROR(P360*'Input Sheet'!$F$8/(((AI360)*AK360*2)-AN360),0)</f>
        <v>0</v>
      </c>
      <c r="AR360" s="854">
        <f>IFERROR(($P360-$AF360)*'Input Sheet'!$F$8/(((AI360)*AK360*2)-AN360),0)</f>
        <v>0</v>
      </c>
    </row>
    <row r="361" spans="2:44" s="798" customFormat="1" ht="30" customHeight="1" thickBot="1" x14ac:dyDescent="0.3">
      <c r="B361" s="835"/>
      <c r="C361" s="836"/>
      <c r="D361" s="836"/>
      <c r="E361" s="837"/>
      <c r="F361" s="837"/>
      <c r="G361" s="838"/>
      <c r="H361" s="838"/>
      <c r="I361" s="839"/>
      <c r="J361" s="839"/>
      <c r="K361" s="840"/>
      <c r="L361" s="841"/>
      <c r="M361" s="841"/>
      <c r="N361" s="842"/>
      <c r="O361" s="842"/>
      <c r="P361" s="843"/>
      <c r="Q361" s="843"/>
      <c r="R361" s="843"/>
      <c r="S361" s="844">
        <f t="shared" si="60"/>
        <v>0</v>
      </c>
      <c r="T361" s="838"/>
      <c r="U361" s="842"/>
      <c r="V361" s="843"/>
      <c r="W361" s="843"/>
      <c r="X361" s="843"/>
      <c r="Y361" s="843"/>
      <c r="Z361" s="843"/>
      <c r="AA361" s="837"/>
      <c r="AB361" s="837"/>
      <c r="AC361" s="845">
        <f t="shared" si="61"/>
        <v>0</v>
      </c>
      <c r="AD361" s="846">
        <f t="shared" si="62"/>
        <v>0</v>
      </c>
      <c r="AE361" s="847">
        <f t="shared" si="63"/>
        <v>0</v>
      </c>
      <c r="AF361" s="855">
        <f t="shared" si="56"/>
        <v>0</v>
      </c>
      <c r="AG361" s="848">
        <f>IF('Input Sheet'!$C$15="Yes",'Input Sheet'!$F$8,0)</f>
        <v>0</v>
      </c>
      <c r="AH361" s="846">
        <f>IF('Input Sheet'!$C$15="Yes",Rates!$E$45,0)</f>
        <v>0</v>
      </c>
      <c r="AI361" s="849">
        <f>IF('Input Sheet'!$C$15="Yes",'Input Sheet'!$F$11,0)</f>
        <v>0</v>
      </c>
      <c r="AJ361" s="850">
        <f>IF('Input Sheet'!$C$15="Yes",'Input Sheet'!$F$7,0)</f>
        <v>0</v>
      </c>
      <c r="AK361" s="856">
        <f t="shared" si="57"/>
        <v>0</v>
      </c>
      <c r="AL361" s="856">
        <f t="shared" si="58"/>
        <v>0</v>
      </c>
      <c r="AM361" s="856">
        <f t="shared" si="64"/>
        <v>0</v>
      </c>
      <c r="AN361" s="856">
        <f t="shared" si="59"/>
        <v>0</v>
      </c>
      <c r="AO361" s="852">
        <f t="shared" si="65"/>
        <v>0</v>
      </c>
      <c r="AP361" s="853">
        <f t="shared" si="66"/>
        <v>0</v>
      </c>
      <c r="AQ361" s="854">
        <f>IFERROR(P361*'Input Sheet'!$F$8/(((AI361)*AK361*2)-AN361),0)</f>
        <v>0</v>
      </c>
      <c r="AR361" s="854">
        <f>IFERROR(($P361-$AF361)*'Input Sheet'!$F$8/(((AI361)*AK361*2)-AN361),0)</f>
        <v>0</v>
      </c>
    </row>
    <row r="362" spans="2:44" s="798" customFormat="1" ht="30" customHeight="1" thickBot="1" x14ac:dyDescent="0.3">
      <c r="B362" s="835"/>
      <c r="C362" s="836"/>
      <c r="D362" s="836"/>
      <c r="E362" s="837"/>
      <c r="F362" s="837"/>
      <c r="G362" s="838"/>
      <c r="H362" s="838"/>
      <c r="I362" s="839"/>
      <c r="J362" s="839"/>
      <c r="K362" s="840"/>
      <c r="L362" s="841"/>
      <c r="M362" s="841"/>
      <c r="N362" s="842"/>
      <c r="O362" s="842"/>
      <c r="P362" s="843"/>
      <c r="Q362" s="843"/>
      <c r="R362" s="843"/>
      <c r="S362" s="844">
        <f t="shared" si="60"/>
        <v>0</v>
      </c>
      <c r="T362" s="838"/>
      <c r="U362" s="842"/>
      <c r="V362" s="843"/>
      <c r="W362" s="843"/>
      <c r="X362" s="843"/>
      <c r="Y362" s="843"/>
      <c r="Z362" s="843"/>
      <c r="AA362" s="837"/>
      <c r="AB362" s="837"/>
      <c r="AC362" s="845">
        <f t="shared" si="61"/>
        <v>0</v>
      </c>
      <c r="AD362" s="846">
        <f t="shared" si="62"/>
        <v>0</v>
      </c>
      <c r="AE362" s="847">
        <f t="shared" si="63"/>
        <v>0</v>
      </c>
      <c r="AF362" s="855">
        <f t="shared" si="56"/>
        <v>0</v>
      </c>
      <c r="AG362" s="848">
        <f>IF('Input Sheet'!$C$15="Yes",'Input Sheet'!$F$8,0)</f>
        <v>0</v>
      </c>
      <c r="AH362" s="846">
        <f>IF('Input Sheet'!$C$15="Yes",Rates!$E$45,0)</f>
        <v>0</v>
      </c>
      <c r="AI362" s="849">
        <f>IF('Input Sheet'!$C$15="Yes",'Input Sheet'!$F$11,0)</f>
        <v>0</v>
      </c>
      <c r="AJ362" s="850">
        <f>IF('Input Sheet'!$C$15="Yes",'Input Sheet'!$F$7,0)</f>
        <v>0</v>
      </c>
      <c r="AK362" s="856">
        <f t="shared" si="57"/>
        <v>0</v>
      </c>
      <c r="AL362" s="856">
        <f t="shared" si="58"/>
        <v>0</v>
      </c>
      <c r="AM362" s="856">
        <f t="shared" si="64"/>
        <v>0</v>
      </c>
      <c r="AN362" s="856">
        <f t="shared" si="59"/>
        <v>0</v>
      </c>
      <c r="AO362" s="852">
        <f t="shared" si="65"/>
        <v>0</v>
      </c>
      <c r="AP362" s="853">
        <f t="shared" si="66"/>
        <v>0</v>
      </c>
      <c r="AQ362" s="854">
        <f>IFERROR(P362*'Input Sheet'!$F$8/(((AI362)*AK362*2)-AN362),0)</f>
        <v>0</v>
      </c>
      <c r="AR362" s="854">
        <f>IFERROR(($P362-$AF362)*'Input Sheet'!$F$8/(((AI362)*AK362*2)-AN362),0)</f>
        <v>0</v>
      </c>
    </row>
    <row r="363" spans="2:44" s="798" customFormat="1" ht="30" customHeight="1" thickBot="1" x14ac:dyDescent="0.3">
      <c r="B363" s="835"/>
      <c r="C363" s="836"/>
      <c r="D363" s="836"/>
      <c r="E363" s="837"/>
      <c r="F363" s="837"/>
      <c r="G363" s="838"/>
      <c r="H363" s="838"/>
      <c r="I363" s="839"/>
      <c r="J363" s="839"/>
      <c r="K363" s="840"/>
      <c r="L363" s="841"/>
      <c r="M363" s="841"/>
      <c r="N363" s="842"/>
      <c r="O363" s="842"/>
      <c r="P363" s="843"/>
      <c r="Q363" s="843"/>
      <c r="R363" s="843"/>
      <c r="S363" s="844">
        <f t="shared" si="60"/>
        <v>0</v>
      </c>
      <c r="T363" s="838"/>
      <c r="U363" s="842"/>
      <c r="V363" s="843"/>
      <c r="W363" s="843"/>
      <c r="X363" s="843"/>
      <c r="Y363" s="843"/>
      <c r="Z363" s="843"/>
      <c r="AA363" s="837"/>
      <c r="AB363" s="837"/>
      <c r="AC363" s="845">
        <f t="shared" si="61"/>
        <v>0</v>
      </c>
      <c r="AD363" s="846">
        <f t="shared" si="62"/>
        <v>0</v>
      </c>
      <c r="AE363" s="847">
        <f t="shared" si="63"/>
        <v>0</v>
      </c>
      <c r="AF363" s="855">
        <f t="shared" si="56"/>
        <v>0</v>
      </c>
      <c r="AG363" s="848">
        <f>IF('Input Sheet'!$C$15="Yes",'Input Sheet'!$F$8,0)</f>
        <v>0</v>
      </c>
      <c r="AH363" s="846">
        <f>IF('Input Sheet'!$C$15="Yes",Rates!$E$45,0)</f>
        <v>0</v>
      </c>
      <c r="AI363" s="849">
        <f>IF('Input Sheet'!$C$15="Yes",'Input Sheet'!$F$11,0)</f>
        <v>0</v>
      </c>
      <c r="AJ363" s="850">
        <f>IF('Input Sheet'!$C$15="Yes",'Input Sheet'!$F$7,0)</f>
        <v>0</v>
      </c>
      <c r="AK363" s="856">
        <f t="shared" si="57"/>
        <v>0</v>
      </c>
      <c r="AL363" s="856">
        <f t="shared" si="58"/>
        <v>0</v>
      </c>
      <c r="AM363" s="856">
        <f t="shared" si="64"/>
        <v>0</v>
      </c>
      <c r="AN363" s="856">
        <f t="shared" si="59"/>
        <v>0</v>
      </c>
      <c r="AO363" s="852">
        <f t="shared" si="65"/>
        <v>0</v>
      </c>
      <c r="AP363" s="853">
        <f t="shared" si="66"/>
        <v>0</v>
      </c>
      <c r="AQ363" s="854">
        <f>IFERROR(P363*'Input Sheet'!$F$8/(((AI363)*AK363*2)-AN363),0)</f>
        <v>0</v>
      </c>
      <c r="AR363" s="854">
        <f>IFERROR(($P363-$AF363)*'Input Sheet'!$F$8/(((AI363)*AK363*2)-AN363),0)</f>
        <v>0</v>
      </c>
    </row>
    <row r="364" spans="2:44" s="798" customFormat="1" ht="30" customHeight="1" thickBot="1" x14ac:dyDescent="0.3">
      <c r="B364" s="835"/>
      <c r="C364" s="836"/>
      <c r="D364" s="836"/>
      <c r="E364" s="837"/>
      <c r="F364" s="837"/>
      <c r="G364" s="838"/>
      <c r="H364" s="838"/>
      <c r="I364" s="839"/>
      <c r="J364" s="839"/>
      <c r="K364" s="840"/>
      <c r="L364" s="841"/>
      <c r="M364" s="841"/>
      <c r="N364" s="842"/>
      <c r="O364" s="842"/>
      <c r="P364" s="843"/>
      <c r="Q364" s="843"/>
      <c r="R364" s="843"/>
      <c r="S364" s="844">
        <f t="shared" si="60"/>
        <v>0</v>
      </c>
      <c r="T364" s="838"/>
      <c r="U364" s="842"/>
      <c r="V364" s="843"/>
      <c r="W364" s="843"/>
      <c r="X364" s="843"/>
      <c r="Y364" s="843"/>
      <c r="Z364" s="843"/>
      <c r="AA364" s="837"/>
      <c r="AB364" s="837"/>
      <c r="AC364" s="845">
        <f t="shared" si="61"/>
        <v>0</v>
      </c>
      <c r="AD364" s="846">
        <f t="shared" si="62"/>
        <v>0</v>
      </c>
      <c r="AE364" s="847">
        <f t="shared" si="63"/>
        <v>0</v>
      </c>
      <c r="AF364" s="855">
        <f t="shared" si="56"/>
        <v>0</v>
      </c>
      <c r="AG364" s="848">
        <f>IF('Input Sheet'!$C$15="Yes",'Input Sheet'!$F$8,0)</f>
        <v>0</v>
      </c>
      <c r="AH364" s="846">
        <f>IF('Input Sheet'!$C$15="Yes",Rates!$E$45,0)</f>
        <v>0</v>
      </c>
      <c r="AI364" s="849">
        <f>IF('Input Sheet'!$C$15="Yes",'Input Sheet'!$F$11,0)</f>
        <v>0</v>
      </c>
      <c r="AJ364" s="850">
        <f>IF('Input Sheet'!$C$15="Yes",'Input Sheet'!$F$7,0)</f>
        <v>0</v>
      </c>
      <c r="AK364" s="856">
        <f t="shared" si="57"/>
        <v>0</v>
      </c>
      <c r="AL364" s="856">
        <f t="shared" si="58"/>
        <v>0</v>
      </c>
      <c r="AM364" s="856">
        <f t="shared" si="64"/>
        <v>0</v>
      </c>
      <c r="AN364" s="856">
        <f t="shared" si="59"/>
        <v>0</v>
      </c>
      <c r="AO364" s="852">
        <f t="shared" si="65"/>
        <v>0</v>
      </c>
      <c r="AP364" s="853">
        <f t="shared" si="66"/>
        <v>0</v>
      </c>
      <c r="AQ364" s="854">
        <f>IFERROR(P364*'Input Sheet'!$F$8/(((AI364)*AK364*2)-AN364),0)</f>
        <v>0</v>
      </c>
      <c r="AR364" s="854">
        <f>IFERROR(($P364-$AF364)*'Input Sheet'!$F$8/(((AI364)*AK364*2)-AN364),0)</f>
        <v>0</v>
      </c>
    </row>
    <row r="365" spans="2:44" s="798" customFormat="1" ht="30" customHeight="1" thickBot="1" x14ac:dyDescent="0.3">
      <c r="B365" s="835"/>
      <c r="C365" s="836"/>
      <c r="D365" s="836"/>
      <c r="E365" s="837"/>
      <c r="F365" s="837"/>
      <c r="G365" s="838"/>
      <c r="H365" s="838"/>
      <c r="I365" s="839"/>
      <c r="J365" s="839"/>
      <c r="K365" s="840"/>
      <c r="L365" s="841"/>
      <c r="M365" s="841"/>
      <c r="N365" s="842"/>
      <c r="O365" s="842"/>
      <c r="P365" s="843"/>
      <c r="Q365" s="843"/>
      <c r="R365" s="843"/>
      <c r="S365" s="844">
        <f t="shared" si="60"/>
        <v>0</v>
      </c>
      <c r="T365" s="838"/>
      <c r="U365" s="842"/>
      <c r="V365" s="843"/>
      <c r="W365" s="843"/>
      <c r="X365" s="843"/>
      <c r="Y365" s="843"/>
      <c r="Z365" s="843"/>
      <c r="AA365" s="837"/>
      <c r="AB365" s="837"/>
      <c r="AC365" s="845">
        <f t="shared" si="61"/>
        <v>0</v>
      </c>
      <c r="AD365" s="846">
        <f t="shared" si="62"/>
        <v>0</v>
      </c>
      <c r="AE365" s="847">
        <f t="shared" si="63"/>
        <v>0</v>
      </c>
      <c r="AF365" s="855">
        <f t="shared" si="56"/>
        <v>0</v>
      </c>
      <c r="AG365" s="848">
        <f>IF('Input Sheet'!$C$15="Yes",'Input Sheet'!$F$8,0)</f>
        <v>0</v>
      </c>
      <c r="AH365" s="846">
        <f>IF('Input Sheet'!$C$15="Yes",Rates!$E$45,0)</f>
        <v>0</v>
      </c>
      <c r="AI365" s="849">
        <f>IF('Input Sheet'!$C$15="Yes",'Input Sheet'!$F$11,0)</f>
        <v>0</v>
      </c>
      <c r="AJ365" s="850">
        <f>IF('Input Sheet'!$C$15="Yes",'Input Sheet'!$F$7,0)</f>
        <v>0</v>
      </c>
      <c r="AK365" s="856">
        <f t="shared" si="57"/>
        <v>0</v>
      </c>
      <c r="AL365" s="856">
        <f t="shared" si="58"/>
        <v>0</v>
      </c>
      <c r="AM365" s="856">
        <f t="shared" si="64"/>
        <v>0</v>
      </c>
      <c r="AN365" s="856">
        <f t="shared" si="59"/>
        <v>0</v>
      </c>
      <c r="AO365" s="852">
        <f t="shared" si="65"/>
        <v>0</v>
      </c>
      <c r="AP365" s="853">
        <f t="shared" si="66"/>
        <v>0</v>
      </c>
      <c r="AQ365" s="854">
        <f>IFERROR(P365*'Input Sheet'!$F$8/(((AI365)*AK365*2)-AN365),0)</f>
        <v>0</v>
      </c>
      <c r="AR365" s="854">
        <f>IFERROR(($P365-$AF365)*'Input Sheet'!$F$8/(((AI365)*AK365*2)-AN365),0)</f>
        <v>0</v>
      </c>
    </row>
    <row r="366" spans="2:44" s="798" customFormat="1" ht="30" customHeight="1" thickBot="1" x14ac:dyDescent="0.3">
      <c r="B366" s="835"/>
      <c r="C366" s="836"/>
      <c r="D366" s="836"/>
      <c r="E366" s="837"/>
      <c r="F366" s="837"/>
      <c r="G366" s="838"/>
      <c r="H366" s="838"/>
      <c r="I366" s="839"/>
      <c r="J366" s="839"/>
      <c r="K366" s="840"/>
      <c r="L366" s="841"/>
      <c r="M366" s="841"/>
      <c r="N366" s="842"/>
      <c r="O366" s="842"/>
      <c r="P366" s="843"/>
      <c r="Q366" s="843"/>
      <c r="R366" s="843"/>
      <c r="S366" s="844">
        <f t="shared" si="60"/>
        <v>0</v>
      </c>
      <c r="T366" s="838"/>
      <c r="U366" s="842"/>
      <c r="V366" s="843"/>
      <c r="W366" s="843"/>
      <c r="X366" s="843"/>
      <c r="Y366" s="843"/>
      <c r="Z366" s="843"/>
      <c r="AA366" s="837"/>
      <c r="AB366" s="837"/>
      <c r="AC366" s="845">
        <f t="shared" si="61"/>
        <v>0</v>
      </c>
      <c r="AD366" s="846">
        <f t="shared" si="62"/>
        <v>0</v>
      </c>
      <c r="AE366" s="847">
        <f t="shared" si="63"/>
        <v>0</v>
      </c>
      <c r="AF366" s="855">
        <f t="shared" si="56"/>
        <v>0</v>
      </c>
      <c r="AG366" s="848">
        <f>IF('Input Sheet'!$C$15="Yes",'Input Sheet'!$F$8,0)</f>
        <v>0</v>
      </c>
      <c r="AH366" s="846">
        <f>IF('Input Sheet'!$C$15="Yes",Rates!$E$45,0)</f>
        <v>0</v>
      </c>
      <c r="AI366" s="849">
        <f>IF('Input Sheet'!$C$15="Yes",'Input Sheet'!$F$11,0)</f>
        <v>0</v>
      </c>
      <c r="AJ366" s="850">
        <f>IF('Input Sheet'!$C$15="Yes",'Input Sheet'!$F$7,0)</f>
        <v>0</v>
      </c>
      <c r="AK366" s="856">
        <f t="shared" si="57"/>
        <v>0</v>
      </c>
      <c r="AL366" s="856">
        <f t="shared" si="58"/>
        <v>0</v>
      </c>
      <c r="AM366" s="856">
        <f t="shared" si="64"/>
        <v>0</v>
      </c>
      <c r="AN366" s="856">
        <f t="shared" si="59"/>
        <v>0</v>
      </c>
      <c r="AO366" s="852">
        <f t="shared" si="65"/>
        <v>0</v>
      </c>
      <c r="AP366" s="853">
        <f t="shared" si="66"/>
        <v>0</v>
      </c>
      <c r="AQ366" s="854">
        <f>IFERROR(P366*'Input Sheet'!$F$8/(((AI366)*AK366*2)-AN366),0)</f>
        <v>0</v>
      </c>
      <c r="AR366" s="854">
        <f>IFERROR(($P366-$AF366)*'Input Sheet'!$F$8/(((AI366)*AK366*2)-AN366),0)</f>
        <v>0</v>
      </c>
    </row>
    <row r="367" spans="2:44" s="798" customFormat="1" ht="30" customHeight="1" thickBot="1" x14ac:dyDescent="0.3">
      <c r="B367" s="835"/>
      <c r="C367" s="836"/>
      <c r="D367" s="836"/>
      <c r="E367" s="837"/>
      <c r="F367" s="837"/>
      <c r="G367" s="838"/>
      <c r="H367" s="838"/>
      <c r="I367" s="839"/>
      <c r="J367" s="839"/>
      <c r="K367" s="840"/>
      <c r="L367" s="841"/>
      <c r="M367" s="841"/>
      <c r="N367" s="842"/>
      <c r="O367" s="842"/>
      <c r="P367" s="843"/>
      <c r="Q367" s="843"/>
      <c r="R367" s="843"/>
      <c r="S367" s="844">
        <f t="shared" si="60"/>
        <v>0</v>
      </c>
      <c r="T367" s="838"/>
      <c r="U367" s="842"/>
      <c r="V367" s="843"/>
      <c r="W367" s="843"/>
      <c r="X367" s="843"/>
      <c r="Y367" s="843"/>
      <c r="Z367" s="843"/>
      <c r="AA367" s="837"/>
      <c r="AB367" s="837"/>
      <c r="AC367" s="845">
        <f t="shared" si="61"/>
        <v>0</v>
      </c>
      <c r="AD367" s="846">
        <f t="shared" si="62"/>
        <v>0</v>
      </c>
      <c r="AE367" s="847">
        <f t="shared" si="63"/>
        <v>0</v>
      </c>
      <c r="AF367" s="855">
        <f t="shared" si="56"/>
        <v>0</v>
      </c>
      <c r="AG367" s="848">
        <f>IF('Input Sheet'!$C$15="Yes",'Input Sheet'!$F$8,0)</f>
        <v>0</v>
      </c>
      <c r="AH367" s="846">
        <f>IF('Input Sheet'!$C$15="Yes",Rates!$E$45,0)</f>
        <v>0</v>
      </c>
      <c r="AI367" s="849">
        <f>IF('Input Sheet'!$C$15="Yes",'Input Sheet'!$F$11,0)</f>
        <v>0</v>
      </c>
      <c r="AJ367" s="850">
        <f>IF('Input Sheet'!$C$15="Yes",'Input Sheet'!$F$7,0)</f>
        <v>0</v>
      </c>
      <c r="AK367" s="856">
        <f t="shared" si="57"/>
        <v>0</v>
      </c>
      <c r="AL367" s="856">
        <f t="shared" si="58"/>
        <v>0</v>
      </c>
      <c r="AM367" s="856">
        <f t="shared" si="64"/>
        <v>0</v>
      </c>
      <c r="AN367" s="856">
        <f t="shared" si="59"/>
        <v>0</v>
      </c>
      <c r="AO367" s="852">
        <f t="shared" si="65"/>
        <v>0</v>
      </c>
      <c r="AP367" s="853">
        <f t="shared" si="66"/>
        <v>0</v>
      </c>
      <c r="AQ367" s="854">
        <f>IFERROR(P367*'Input Sheet'!$F$8/(((AI367)*AK367*2)-AN367),0)</f>
        <v>0</v>
      </c>
      <c r="AR367" s="854">
        <f>IFERROR(($P367-$AF367)*'Input Sheet'!$F$8/(((AI367)*AK367*2)-AN367),0)</f>
        <v>0</v>
      </c>
    </row>
    <row r="368" spans="2:44" s="798" customFormat="1" ht="30" customHeight="1" thickBot="1" x14ac:dyDescent="0.3">
      <c r="B368" s="835"/>
      <c r="C368" s="836"/>
      <c r="D368" s="836"/>
      <c r="E368" s="837"/>
      <c r="F368" s="837"/>
      <c r="G368" s="838"/>
      <c r="H368" s="838"/>
      <c r="I368" s="839"/>
      <c r="J368" s="839"/>
      <c r="K368" s="840"/>
      <c r="L368" s="841"/>
      <c r="M368" s="841"/>
      <c r="N368" s="842"/>
      <c r="O368" s="842"/>
      <c r="P368" s="843"/>
      <c r="Q368" s="843"/>
      <c r="R368" s="843"/>
      <c r="S368" s="844">
        <f t="shared" si="60"/>
        <v>0</v>
      </c>
      <c r="T368" s="838"/>
      <c r="U368" s="842"/>
      <c r="V368" s="843"/>
      <c r="W368" s="843"/>
      <c r="X368" s="843"/>
      <c r="Y368" s="843"/>
      <c r="Z368" s="843"/>
      <c r="AA368" s="837"/>
      <c r="AB368" s="837"/>
      <c r="AC368" s="845">
        <f t="shared" si="61"/>
        <v>0</v>
      </c>
      <c r="AD368" s="846">
        <f t="shared" si="62"/>
        <v>0</v>
      </c>
      <c r="AE368" s="847">
        <f t="shared" si="63"/>
        <v>0</v>
      </c>
      <c r="AF368" s="855">
        <f t="shared" si="56"/>
        <v>0</v>
      </c>
      <c r="AG368" s="848">
        <f>IF('Input Sheet'!$C$15="Yes",'Input Sheet'!$F$8,0)</f>
        <v>0</v>
      </c>
      <c r="AH368" s="846">
        <f>IF('Input Sheet'!$C$15="Yes",Rates!$E$45,0)</f>
        <v>0</v>
      </c>
      <c r="AI368" s="849">
        <f>IF('Input Sheet'!$C$15="Yes",'Input Sheet'!$F$11,0)</f>
        <v>0</v>
      </c>
      <c r="AJ368" s="850">
        <f>IF('Input Sheet'!$C$15="Yes",'Input Sheet'!$F$7,0)</f>
        <v>0</v>
      </c>
      <c r="AK368" s="856">
        <f t="shared" si="57"/>
        <v>0</v>
      </c>
      <c r="AL368" s="856">
        <f t="shared" si="58"/>
        <v>0</v>
      </c>
      <c r="AM368" s="856">
        <f t="shared" si="64"/>
        <v>0</v>
      </c>
      <c r="AN368" s="856">
        <f t="shared" si="59"/>
        <v>0</v>
      </c>
      <c r="AO368" s="852">
        <f t="shared" si="65"/>
        <v>0</v>
      </c>
      <c r="AP368" s="853">
        <f t="shared" si="66"/>
        <v>0</v>
      </c>
      <c r="AQ368" s="854">
        <f>IFERROR(P368*'Input Sheet'!$F$8/(((AI368)*AK368*2)-AN368),0)</f>
        <v>0</v>
      </c>
      <c r="AR368" s="854">
        <f>IFERROR(($P368-$AF368)*'Input Sheet'!$F$8/(((AI368)*AK368*2)-AN368),0)</f>
        <v>0</v>
      </c>
    </row>
    <row r="369" spans="2:44" s="798" customFormat="1" ht="30" customHeight="1" thickBot="1" x14ac:dyDescent="0.3">
      <c r="B369" s="835"/>
      <c r="C369" s="836"/>
      <c r="D369" s="836"/>
      <c r="E369" s="837"/>
      <c r="F369" s="837"/>
      <c r="G369" s="838"/>
      <c r="H369" s="838"/>
      <c r="I369" s="839"/>
      <c r="J369" s="839"/>
      <c r="K369" s="840"/>
      <c r="L369" s="841"/>
      <c r="M369" s="841"/>
      <c r="N369" s="842"/>
      <c r="O369" s="842"/>
      <c r="P369" s="843"/>
      <c r="Q369" s="843"/>
      <c r="R369" s="843"/>
      <c r="S369" s="844">
        <f t="shared" si="60"/>
        <v>0</v>
      </c>
      <c r="T369" s="838"/>
      <c r="U369" s="842"/>
      <c r="V369" s="843"/>
      <c r="W369" s="843"/>
      <c r="X369" s="843"/>
      <c r="Y369" s="843"/>
      <c r="Z369" s="843"/>
      <c r="AA369" s="837"/>
      <c r="AB369" s="837"/>
      <c r="AC369" s="845">
        <f t="shared" si="61"/>
        <v>0</v>
      </c>
      <c r="AD369" s="846">
        <f t="shared" si="62"/>
        <v>0</v>
      </c>
      <c r="AE369" s="847">
        <f t="shared" si="63"/>
        <v>0</v>
      </c>
      <c r="AF369" s="855">
        <f t="shared" si="56"/>
        <v>0</v>
      </c>
      <c r="AG369" s="848">
        <f>IF('Input Sheet'!$C$15="Yes",'Input Sheet'!$F$8,0)</f>
        <v>0</v>
      </c>
      <c r="AH369" s="846">
        <f>IF('Input Sheet'!$C$15="Yes",Rates!$E$45,0)</f>
        <v>0</v>
      </c>
      <c r="AI369" s="849">
        <f>IF('Input Sheet'!$C$15="Yes",'Input Sheet'!$F$11,0)</f>
        <v>0</v>
      </c>
      <c r="AJ369" s="850">
        <f>IF('Input Sheet'!$C$15="Yes",'Input Sheet'!$F$7,0)</f>
        <v>0</v>
      </c>
      <c r="AK369" s="856">
        <f t="shared" si="57"/>
        <v>0</v>
      </c>
      <c r="AL369" s="856">
        <f t="shared" si="58"/>
        <v>0</v>
      </c>
      <c r="AM369" s="856">
        <f t="shared" si="64"/>
        <v>0</v>
      </c>
      <c r="AN369" s="856">
        <f t="shared" si="59"/>
        <v>0</v>
      </c>
      <c r="AO369" s="852">
        <f t="shared" si="65"/>
        <v>0</v>
      </c>
      <c r="AP369" s="853">
        <f t="shared" si="66"/>
        <v>0</v>
      </c>
      <c r="AQ369" s="854">
        <f>IFERROR(P369*'Input Sheet'!$F$8/(((AI369)*AK369*2)-AN369),0)</f>
        <v>0</v>
      </c>
      <c r="AR369" s="854">
        <f>IFERROR(($P369-$AF369)*'Input Sheet'!$F$8/(((AI369)*AK369*2)-AN369),0)</f>
        <v>0</v>
      </c>
    </row>
    <row r="370" spans="2:44" s="798" customFormat="1" ht="30" customHeight="1" thickBot="1" x14ac:dyDescent="0.3">
      <c r="B370" s="835"/>
      <c r="C370" s="836"/>
      <c r="D370" s="836"/>
      <c r="E370" s="837"/>
      <c r="F370" s="837"/>
      <c r="G370" s="838"/>
      <c r="H370" s="838"/>
      <c r="I370" s="839"/>
      <c r="J370" s="839"/>
      <c r="K370" s="840"/>
      <c r="L370" s="841"/>
      <c r="M370" s="841"/>
      <c r="N370" s="842"/>
      <c r="O370" s="842"/>
      <c r="P370" s="843"/>
      <c r="Q370" s="843"/>
      <c r="R370" s="843"/>
      <c r="S370" s="844">
        <f t="shared" si="60"/>
        <v>0</v>
      </c>
      <c r="T370" s="838"/>
      <c r="U370" s="842"/>
      <c r="V370" s="843"/>
      <c r="W370" s="843"/>
      <c r="X370" s="843"/>
      <c r="Y370" s="843"/>
      <c r="Z370" s="843"/>
      <c r="AA370" s="837"/>
      <c r="AB370" s="837"/>
      <c r="AC370" s="845">
        <f t="shared" si="61"/>
        <v>0</v>
      </c>
      <c r="AD370" s="846">
        <f t="shared" si="62"/>
        <v>0</v>
      </c>
      <c r="AE370" s="847">
        <f t="shared" si="63"/>
        <v>0</v>
      </c>
      <c r="AF370" s="855">
        <f t="shared" si="56"/>
        <v>0</v>
      </c>
      <c r="AG370" s="848">
        <f>IF('Input Sheet'!$C$15="Yes",'Input Sheet'!$F$8,0)</f>
        <v>0</v>
      </c>
      <c r="AH370" s="846">
        <f>IF('Input Sheet'!$C$15="Yes",Rates!$E$45,0)</f>
        <v>0</v>
      </c>
      <c r="AI370" s="849">
        <f>IF('Input Sheet'!$C$15="Yes",'Input Sheet'!$F$11,0)</f>
        <v>0</v>
      </c>
      <c r="AJ370" s="850">
        <f>IF('Input Sheet'!$C$15="Yes",'Input Sheet'!$F$7,0)</f>
        <v>0</v>
      </c>
      <c r="AK370" s="856">
        <f t="shared" si="57"/>
        <v>0</v>
      </c>
      <c r="AL370" s="856">
        <f t="shared" si="58"/>
        <v>0</v>
      </c>
      <c r="AM370" s="856">
        <f t="shared" si="64"/>
        <v>0</v>
      </c>
      <c r="AN370" s="856">
        <f t="shared" si="59"/>
        <v>0</v>
      </c>
      <c r="AO370" s="852">
        <f t="shared" si="65"/>
        <v>0</v>
      </c>
      <c r="AP370" s="853">
        <f t="shared" si="66"/>
        <v>0</v>
      </c>
      <c r="AQ370" s="854">
        <f>IFERROR(P370*'Input Sheet'!$F$8/(((AI370)*AK370*2)-AN370),0)</f>
        <v>0</v>
      </c>
      <c r="AR370" s="854">
        <f>IFERROR(($P370-$AF370)*'Input Sheet'!$F$8/(((AI370)*AK370*2)-AN370),0)</f>
        <v>0</v>
      </c>
    </row>
    <row r="371" spans="2:44" s="798" customFormat="1" ht="30" customHeight="1" thickBot="1" x14ac:dyDescent="0.3">
      <c r="B371" s="835"/>
      <c r="C371" s="836"/>
      <c r="D371" s="836"/>
      <c r="E371" s="837"/>
      <c r="F371" s="837"/>
      <c r="G371" s="838"/>
      <c r="H371" s="838"/>
      <c r="I371" s="839"/>
      <c r="J371" s="839"/>
      <c r="K371" s="840"/>
      <c r="L371" s="841"/>
      <c r="M371" s="841"/>
      <c r="N371" s="842"/>
      <c r="O371" s="842"/>
      <c r="P371" s="843"/>
      <c r="Q371" s="843"/>
      <c r="R371" s="843"/>
      <c r="S371" s="844">
        <f t="shared" si="60"/>
        <v>0</v>
      </c>
      <c r="T371" s="838"/>
      <c r="U371" s="842"/>
      <c r="V371" s="843"/>
      <c r="W371" s="843"/>
      <c r="X371" s="843"/>
      <c r="Y371" s="843"/>
      <c r="Z371" s="843"/>
      <c r="AA371" s="837"/>
      <c r="AB371" s="837"/>
      <c r="AC371" s="845">
        <f t="shared" si="61"/>
        <v>0</v>
      </c>
      <c r="AD371" s="846">
        <f t="shared" si="62"/>
        <v>0</v>
      </c>
      <c r="AE371" s="847">
        <f t="shared" si="63"/>
        <v>0</v>
      </c>
      <c r="AF371" s="855">
        <f t="shared" si="56"/>
        <v>0</v>
      </c>
      <c r="AG371" s="848">
        <f>IF('Input Sheet'!$C$15="Yes",'Input Sheet'!$F$8,0)</f>
        <v>0</v>
      </c>
      <c r="AH371" s="846">
        <f>IF('Input Sheet'!$C$15="Yes",Rates!$E$45,0)</f>
        <v>0</v>
      </c>
      <c r="AI371" s="849">
        <f>IF('Input Sheet'!$C$15="Yes",'Input Sheet'!$F$11,0)</f>
        <v>0</v>
      </c>
      <c r="AJ371" s="850">
        <f>IF('Input Sheet'!$C$15="Yes",'Input Sheet'!$F$7,0)</f>
        <v>0</v>
      </c>
      <c r="AK371" s="856">
        <f t="shared" si="57"/>
        <v>0</v>
      </c>
      <c r="AL371" s="856">
        <f t="shared" si="58"/>
        <v>0</v>
      </c>
      <c r="AM371" s="856">
        <f t="shared" si="64"/>
        <v>0</v>
      </c>
      <c r="AN371" s="856">
        <f t="shared" si="59"/>
        <v>0</v>
      </c>
      <c r="AO371" s="852">
        <f t="shared" si="65"/>
        <v>0</v>
      </c>
      <c r="AP371" s="853">
        <f t="shared" si="66"/>
        <v>0</v>
      </c>
      <c r="AQ371" s="854">
        <f>IFERROR(P371*'Input Sheet'!$F$8/(((AI371)*AK371*2)-AN371),0)</f>
        <v>0</v>
      </c>
      <c r="AR371" s="854">
        <f>IFERROR(($P371-$AF371)*'Input Sheet'!$F$8/(((AI371)*AK371*2)-AN371),0)</f>
        <v>0</v>
      </c>
    </row>
    <row r="372" spans="2:44" s="798" customFormat="1" ht="30" customHeight="1" thickBot="1" x14ac:dyDescent="0.3">
      <c r="B372" s="835"/>
      <c r="C372" s="836"/>
      <c r="D372" s="836"/>
      <c r="E372" s="837"/>
      <c r="F372" s="837"/>
      <c r="G372" s="838"/>
      <c r="H372" s="838"/>
      <c r="I372" s="839"/>
      <c r="J372" s="839"/>
      <c r="K372" s="840"/>
      <c r="L372" s="841"/>
      <c r="M372" s="841"/>
      <c r="N372" s="842"/>
      <c r="O372" s="842"/>
      <c r="P372" s="843"/>
      <c r="Q372" s="843"/>
      <c r="R372" s="843"/>
      <c r="S372" s="844">
        <f t="shared" si="60"/>
        <v>0</v>
      </c>
      <c r="T372" s="838"/>
      <c r="U372" s="842"/>
      <c r="V372" s="843"/>
      <c r="W372" s="843"/>
      <c r="X372" s="843"/>
      <c r="Y372" s="843"/>
      <c r="Z372" s="843"/>
      <c r="AA372" s="837"/>
      <c r="AB372" s="837"/>
      <c r="AC372" s="845">
        <f t="shared" si="61"/>
        <v>0</v>
      </c>
      <c r="AD372" s="846">
        <f t="shared" si="62"/>
        <v>0</v>
      </c>
      <c r="AE372" s="847">
        <f t="shared" si="63"/>
        <v>0</v>
      </c>
      <c r="AF372" s="855">
        <f t="shared" si="56"/>
        <v>0</v>
      </c>
      <c r="AG372" s="848">
        <f>IF('Input Sheet'!$C$15="Yes",'Input Sheet'!$F$8,0)</f>
        <v>0</v>
      </c>
      <c r="AH372" s="846">
        <f>IF('Input Sheet'!$C$15="Yes",Rates!$E$45,0)</f>
        <v>0</v>
      </c>
      <c r="AI372" s="849">
        <f>IF('Input Sheet'!$C$15="Yes",'Input Sheet'!$F$11,0)</f>
        <v>0</v>
      </c>
      <c r="AJ372" s="850">
        <f>IF('Input Sheet'!$C$15="Yes",'Input Sheet'!$F$7,0)</f>
        <v>0</v>
      </c>
      <c r="AK372" s="856">
        <f t="shared" si="57"/>
        <v>0</v>
      </c>
      <c r="AL372" s="856">
        <f t="shared" si="58"/>
        <v>0</v>
      </c>
      <c r="AM372" s="856">
        <f t="shared" si="64"/>
        <v>0</v>
      </c>
      <c r="AN372" s="856">
        <f t="shared" si="59"/>
        <v>0</v>
      </c>
      <c r="AO372" s="852">
        <f t="shared" si="65"/>
        <v>0</v>
      </c>
      <c r="AP372" s="853">
        <f t="shared" si="66"/>
        <v>0</v>
      </c>
      <c r="AQ372" s="854">
        <f>IFERROR(P372*'Input Sheet'!$F$8/(((AI372)*AK372*2)-AN372),0)</f>
        <v>0</v>
      </c>
      <c r="AR372" s="854">
        <f>IFERROR(($P372-$AF372)*'Input Sheet'!$F$8/(((AI372)*AK372*2)-AN372),0)</f>
        <v>0</v>
      </c>
    </row>
    <row r="373" spans="2:44" s="798" customFormat="1" ht="30" customHeight="1" thickBot="1" x14ac:dyDescent="0.3">
      <c r="B373" s="835"/>
      <c r="C373" s="836"/>
      <c r="D373" s="836"/>
      <c r="E373" s="837"/>
      <c r="F373" s="837"/>
      <c r="G373" s="838"/>
      <c r="H373" s="838"/>
      <c r="I373" s="839"/>
      <c r="J373" s="839"/>
      <c r="K373" s="840"/>
      <c r="L373" s="841"/>
      <c r="M373" s="841"/>
      <c r="N373" s="842"/>
      <c r="O373" s="842"/>
      <c r="P373" s="843"/>
      <c r="Q373" s="843"/>
      <c r="R373" s="843"/>
      <c r="S373" s="844">
        <f t="shared" si="60"/>
        <v>0</v>
      </c>
      <c r="T373" s="838"/>
      <c r="U373" s="842"/>
      <c r="V373" s="843"/>
      <c r="W373" s="843"/>
      <c r="X373" s="843"/>
      <c r="Y373" s="843"/>
      <c r="Z373" s="843"/>
      <c r="AA373" s="837"/>
      <c r="AB373" s="837"/>
      <c r="AC373" s="845">
        <f t="shared" si="61"/>
        <v>0</v>
      </c>
      <c r="AD373" s="846">
        <f t="shared" si="62"/>
        <v>0</v>
      </c>
      <c r="AE373" s="847">
        <f t="shared" si="63"/>
        <v>0</v>
      </c>
      <c r="AF373" s="855">
        <f t="shared" si="56"/>
        <v>0</v>
      </c>
      <c r="AG373" s="848">
        <f>IF('Input Sheet'!$C$15="Yes",'Input Sheet'!$F$8,0)</f>
        <v>0</v>
      </c>
      <c r="AH373" s="846">
        <f>IF('Input Sheet'!$C$15="Yes",Rates!$E$45,0)</f>
        <v>0</v>
      </c>
      <c r="AI373" s="849">
        <f>IF('Input Sheet'!$C$15="Yes",'Input Sheet'!$F$11,0)</f>
        <v>0</v>
      </c>
      <c r="AJ373" s="850">
        <f>IF('Input Sheet'!$C$15="Yes",'Input Sheet'!$F$7,0)</f>
        <v>0</v>
      </c>
      <c r="AK373" s="856">
        <f t="shared" si="57"/>
        <v>0</v>
      </c>
      <c r="AL373" s="856">
        <f t="shared" si="58"/>
        <v>0</v>
      </c>
      <c r="AM373" s="856">
        <f t="shared" si="64"/>
        <v>0</v>
      </c>
      <c r="AN373" s="856">
        <f t="shared" si="59"/>
        <v>0</v>
      </c>
      <c r="AO373" s="852">
        <f t="shared" si="65"/>
        <v>0</v>
      </c>
      <c r="AP373" s="853">
        <f t="shared" si="66"/>
        <v>0</v>
      </c>
      <c r="AQ373" s="854">
        <f>IFERROR(P373*'Input Sheet'!$F$8/(((AI373)*AK373*2)-AN373),0)</f>
        <v>0</v>
      </c>
      <c r="AR373" s="854">
        <f>IFERROR(($P373-$AF373)*'Input Sheet'!$F$8/(((AI373)*AK373*2)-AN373),0)</f>
        <v>0</v>
      </c>
    </row>
    <row r="374" spans="2:44" s="798" customFormat="1" ht="30" customHeight="1" thickBot="1" x14ac:dyDescent="0.3">
      <c r="B374" s="835"/>
      <c r="C374" s="836"/>
      <c r="D374" s="836"/>
      <c r="E374" s="837"/>
      <c r="F374" s="837"/>
      <c r="G374" s="838"/>
      <c r="H374" s="838"/>
      <c r="I374" s="839"/>
      <c r="J374" s="839"/>
      <c r="K374" s="840"/>
      <c r="L374" s="841"/>
      <c r="M374" s="841"/>
      <c r="N374" s="842"/>
      <c r="O374" s="842"/>
      <c r="P374" s="843"/>
      <c r="Q374" s="843"/>
      <c r="R374" s="843"/>
      <c r="S374" s="844">
        <f t="shared" si="60"/>
        <v>0</v>
      </c>
      <c r="T374" s="838"/>
      <c r="U374" s="842"/>
      <c r="V374" s="843"/>
      <c r="W374" s="843"/>
      <c r="X374" s="843"/>
      <c r="Y374" s="843"/>
      <c r="Z374" s="843"/>
      <c r="AA374" s="837"/>
      <c r="AB374" s="837"/>
      <c r="AC374" s="845">
        <f t="shared" si="61"/>
        <v>0</v>
      </c>
      <c r="AD374" s="846">
        <f t="shared" si="62"/>
        <v>0</v>
      </c>
      <c r="AE374" s="847">
        <f t="shared" si="63"/>
        <v>0</v>
      </c>
      <c r="AF374" s="855">
        <f t="shared" si="56"/>
        <v>0</v>
      </c>
      <c r="AG374" s="848">
        <f>IF('Input Sheet'!$C$15="Yes",'Input Sheet'!$F$8,0)</f>
        <v>0</v>
      </c>
      <c r="AH374" s="846">
        <f>IF('Input Sheet'!$C$15="Yes",Rates!$E$45,0)</f>
        <v>0</v>
      </c>
      <c r="AI374" s="849">
        <f>IF('Input Sheet'!$C$15="Yes",'Input Sheet'!$F$11,0)</f>
        <v>0</v>
      </c>
      <c r="AJ374" s="850">
        <f>IF('Input Sheet'!$C$15="Yes",'Input Sheet'!$F$7,0)</f>
        <v>0</v>
      </c>
      <c r="AK374" s="856">
        <f t="shared" si="57"/>
        <v>0</v>
      </c>
      <c r="AL374" s="856">
        <f t="shared" si="58"/>
        <v>0</v>
      </c>
      <c r="AM374" s="856">
        <f t="shared" si="64"/>
        <v>0</v>
      </c>
      <c r="AN374" s="856">
        <f t="shared" si="59"/>
        <v>0</v>
      </c>
      <c r="AO374" s="852">
        <f t="shared" si="65"/>
        <v>0</v>
      </c>
      <c r="AP374" s="853">
        <f t="shared" si="66"/>
        <v>0</v>
      </c>
      <c r="AQ374" s="854">
        <f>IFERROR(P374*'Input Sheet'!$F$8/(((AI374)*AK374*2)-AN374),0)</f>
        <v>0</v>
      </c>
      <c r="AR374" s="854">
        <f>IFERROR(($P374-$AF374)*'Input Sheet'!$F$8/(((AI374)*AK374*2)-AN374),0)</f>
        <v>0</v>
      </c>
    </row>
    <row r="375" spans="2:44" s="798" customFormat="1" ht="30" customHeight="1" thickBot="1" x14ac:dyDescent="0.3">
      <c r="B375" s="835"/>
      <c r="C375" s="836"/>
      <c r="D375" s="836"/>
      <c r="E375" s="837"/>
      <c r="F375" s="837"/>
      <c r="G375" s="838"/>
      <c r="H375" s="838"/>
      <c r="I375" s="839"/>
      <c r="J375" s="839"/>
      <c r="K375" s="840"/>
      <c r="L375" s="841"/>
      <c r="M375" s="841"/>
      <c r="N375" s="842"/>
      <c r="O375" s="842"/>
      <c r="P375" s="843"/>
      <c r="Q375" s="843"/>
      <c r="R375" s="843"/>
      <c r="S375" s="844">
        <f t="shared" si="60"/>
        <v>0</v>
      </c>
      <c r="T375" s="838"/>
      <c r="U375" s="842"/>
      <c r="V375" s="843"/>
      <c r="W375" s="843"/>
      <c r="X375" s="843"/>
      <c r="Y375" s="843"/>
      <c r="Z375" s="843"/>
      <c r="AA375" s="837"/>
      <c r="AB375" s="837"/>
      <c r="AC375" s="845">
        <f t="shared" si="61"/>
        <v>0</v>
      </c>
      <c r="AD375" s="846">
        <f t="shared" si="62"/>
        <v>0</v>
      </c>
      <c r="AE375" s="847">
        <f t="shared" si="63"/>
        <v>0</v>
      </c>
      <c r="AF375" s="855">
        <f t="shared" si="56"/>
        <v>0</v>
      </c>
      <c r="AG375" s="848">
        <f>IF('Input Sheet'!$C$15="Yes",'Input Sheet'!$F$8,0)</f>
        <v>0</v>
      </c>
      <c r="AH375" s="846">
        <f>IF('Input Sheet'!$C$15="Yes",Rates!$E$45,0)</f>
        <v>0</v>
      </c>
      <c r="AI375" s="849">
        <f>IF('Input Sheet'!$C$15="Yes",'Input Sheet'!$F$11,0)</f>
        <v>0</v>
      </c>
      <c r="AJ375" s="850">
        <f>IF('Input Sheet'!$C$15="Yes",'Input Sheet'!$F$7,0)</f>
        <v>0</v>
      </c>
      <c r="AK375" s="856">
        <f t="shared" si="57"/>
        <v>0</v>
      </c>
      <c r="AL375" s="856">
        <f t="shared" si="58"/>
        <v>0</v>
      </c>
      <c r="AM375" s="856">
        <f t="shared" si="64"/>
        <v>0</v>
      </c>
      <c r="AN375" s="856">
        <f t="shared" si="59"/>
        <v>0</v>
      </c>
      <c r="AO375" s="852">
        <f t="shared" si="65"/>
        <v>0</v>
      </c>
      <c r="AP375" s="853">
        <f t="shared" si="66"/>
        <v>0</v>
      </c>
      <c r="AQ375" s="854">
        <f>IFERROR(P375*'Input Sheet'!$F$8/(((AI375)*AK375*2)-AN375),0)</f>
        <v>0</v>
      </c>
      <c r="AR375" s="854">
        <f>IFERROR(($P375-$AF375)*'Input Sheet'!$F$8/(((AI375)*AK375*2)-AN375),0)</f>
        <v>0</v>
      </c>
    </row>
    <row r="376" spans="2:44" s="798" customFormat="1" ht="30" customHeight="1" thickBot="1" x14ac:dyDescent="0.3">
      <c r="B376" s="835"/>
      <c r="C376" s="836"/>
      <c r="D376" s="836"/>
      <c r="E376" s="837"/>
      <c r="F376" s="837"/>
      <c r="G376" s="838"/>
      <c r="H376" s="838"/>
      <c r="I376" s="839"/>
      <c r="J376" s="839"/>
      <c r="K376" s="840"/>
      <c r="L376" s="841"/>
      <c r="M376" s="841"/>
      <c r="N376" s="842"/>
      <c r="O376" s="842"/>
      <c r="P376" s="843"/>
      <c r="Q376" s="843"/>
      <c r="R376" s="843"/>
      <c r="S376" s="844">
        <f t="shared" si="60"/>
        <v>0</v>
      </c>
      <c r="T376" s="838"/>
      <c r="U376" s="842"/>
      <c r="V376" s="843"/>
      <c r="W376" s="843"/>
      <c r="X376" s="843"/>
      <c r="Y376" s="843"/>
      <c r="Z376" s="843"/>
      <c r="AA376" s="837"/>
      <c r="AB376" s="837"/>
      <c r="AC376" s="845">
        <f t="shared" si="61"/>
        <v>0</v>
      </c>
      <c r="AD376" s="846">
        <f t="shared" si="62"/>
        <v>0</v>
      </c>
      <c r="AE376" s="847">
        <f t="shared" si="63"/>
        <v>0</v>
      </c>
      <c r="AF376" s="855">
        <f t="shared" si="56"/>
        <v>0</v>
      </c>
      <c r="AG376" s="848">
        <f>IF('Input Sheet'!$C$15="Yes",'Input Sheet'!$F$8,0)</f>
        <v>0</v>
      </c>
      <c r="AH376" s="846">
        <f>IF('Input Sheet'!$C$15="Yes",Rates!$E$45,0)</f>
        <v>0</v>
      </c>
      <c r="AI376" s="849">
        <f>IF('Input Sheet'!$C$15="Yes",'Input Sheet'!$F$11,0)</f>
        <v>0</v>
      </c>
      <c r="AJ376" s="850">
        <f>IF('Input Sheet'!$C$15="Yes",'Input Sheet'!$F$7,0)</f>
        <v>0</v>
      </c>
      <c r="AK376" s="856">
        <f t="shared" si="57"/>
        <v>0</v>
      </c>
      <c r="AL376" s="856">
        <f t="shared" si="58"/>
        <v>0</v>
      </c>
      <c r="AM376" s="856">
        <f t="shared" si="64"/>
        <v>0</v>
      </c>
      <c r="AN376" s="856">
        <f t="shared" si="59"/>
        <v>0</v>
      </c>
      <c r="AO376" s="852">
        <f t="shared" si="65"/>
        <v>0</v>
      </c>
      <c r="AP376" s="853">
        <f t="shared" si="66"/>
        <v>0</v>
      </c>
      <c r="AQ376" s="854">
        <f>IFERROR(P376*'Input Sheet'!$F$8/(((AI376)*AK376*2)-AN376),0)</f>
        <v>0</v>
      </c>
      <c r="AR376" s="854">
        <f>IFERROR(($P376-$AF376)*'Input Sheet'!$F$8/(((AI376)*AK376*2)-AN376),0)</f>
        <v>0</v>
      </c>
    </row>
    <row r="377" spans="2:44" s="798" customFormat="1" ht="30" customHeight="1" thickBot="1" x14ac:dyDescent="0.3">
      <c r="B377" s="835"/>
      <c r="C377" s="836"/>
      <c r="D377" s="836"/>
      <c r="E377" s="837"/>
      <c r="F377" s="837"/>
      <c r="G377" s="838"/>
      <c r="H377" s="838"/>
      <c r="I377" s="839"/>
      <c r="J377" s="839"/>
      <c r="K377" s="840"/>
      <c r="L377" s="841"/>
      <c r="M377" s="841"/>
      <c r="N377" s="842"/>
      <c r="O377" s="842"/>
      <c r="P377" s="843"/>
      <c r="Q377" s="843"/>
      <c r="R377" s="843"/>
      <c r="S377" s="844">
        <f t="shared" si="60"/>
        <v>0</v>
      </c>
      <c r="T377" s="838"/>
      <c r="U377" s="842"/>
      <c r="V377" s="843"/>
      <c r="W377" s="843"/>
      <c r="X377" s="843"/>
      <c r="Y377" s="843"/>
      <c r="Z377" s="843"/>
      <c r="AA377" s="837"/>
      <c r="AB377" s="837"/>
      <c r="AC377" s="845">
        <f t="shared" si="61"/>
        <v>0</v>
      </c>
      <c r="AD377" s="846">
        <f t="shared" si="62"/>
        <v>0</v>
      </c>
      <c r="AE377" s="847">
        <f t="shared" si="63"/>
        <v>0</v>
      </c>
      <c r="AF377" s="855">
        <f t="shared" si="56"/>
        <v>0</v>
      </c>
      <c r="AG377" s="848">
        <f>IF('Input Sheet'!$C$15="Yes",'Input Sheet'!$F$8,0)</f>
        <v>0</v>
      </c>
      <c r="AH377" s="846">
        <f>IF('Input Sheet'!$C$15="Yes",Rates!$E$45,0)</f>
        <v>0</v>
      </c>
      <c r="AI377" s="849">
        <f>IF('Input Sheet'!$C$15="Yes",'Input Sheet'!$F$11,0)</f>
        <v>0</v>
      </c>
      <c r="AJ377" s="850">
        <f>IF('Input Sheet'!$C$15="Yes",'Input Sheet'!$F$7,0)</f>
        <v>0</v>
      </c>
      <c r="AK377" s="856">
        <f t="shared" si="57"/>
        <v>0</v>
      </c>
      <c r="AL377" s="856">
        <f t="shared" si="58"/>
        <v>0</v>
      </c>
      <c r="AM377" s="856">
        <f t="shared" si="64"/>
        <v>0</v>
      </c>
      <c r="AN377" s="856">
        <f t="shared" si="59"/>
        <v>0</v>
      </c>
      <c r="AO377" s="852">
        <f t="shared" si="65"/>
        <v>0</v>
      </c>
      <c r="AP377" s="853">
        <f t="shared" si="66"/>
        <v>0</v>
      </c>
      <c r="AQ377" s="854">
        <f>IFERROR(P377*'Input Sheet'!$F$8/(((AI377)*AK377*2)-AN377),0)</f>
        <v>0</v>
      </c>
      <c r="AR377" s="854">
        <f>IFERROR(($P377-$AF377)*'Input Sheet'!$F$8/(((AI377)*AK377*2)-AN377),0)</f>
        <v>0</v>
      </c>
    </row>
    <row r="378" spans="2:44" s="798" customFormat="1" ht="30" customHeight="1" thickBot="1" x14ac:dyDescent="0.3">
      <c r="B378" s="835"/>
      <c r="C378" s="836"/>
      <c r="D378" s="836"/>
      <c r="E378" s="837"/>
      <c r="F378" s="837"/>
      <c r="G378" s="838"/>
      <c r="H378" s="838"/>
      <c r="I378" s="839"/>
      <c r="J378" s="839"/>
      <c r="K378" s="840"/>
      <c r="L378" s="841"/>
      <c r="M378" s="841"/>
      <c r="N378" s="842"/>
      <c r="O378" s="842"/>
      <c r="P378" s="843"/>
      <c r="Q378" s="843"/>
      <c r="R378" s="843"/>
      <c r="S378" s="844">
        <f t="shared" si="60"/>
        <v>0</v>
      </c>
      <c r="T378" s="838"/>
      <c r="U378" s="842"/>
      <c r="V378" s="843"/>
      <c r="W378" s="843"/>
      <c r="X378" s="843"/>
      <c r="Y378" s="843"/>
      <c r="Z378" s="843"/>
      <c r="AA378" s="837"/>
      <c r="AB378" s="837"/>
      <c r="AC378" s="845">
        <f t="shared" si="61"/>
        <v>0</v>
      </c>
      <c r="AD378" s="846">
        <f t="shared" si="62"/>
        <v>0</v>
      </c>
      <c r="AE378" s="847">
        <f t="shared" si="63"/>
        <v>0</v>
      </c>
      <c r="AF378" s="855">
        <f t="shared" si="56"/>
        <v>0</v>
      </c>
      <c r="AG378" s="848">
        <f>IF('Input Sheet'!$C$15="Yes",'Input Sheet'!$F$8,0)</f>
        <v>0</v>
      </c>
      <c r="AH378" s="846">
        <f>IF('Input Sheet'!$C$15="Yes",Rates!$E$45,0)</f>
        <v>0</v>
      </c>
      <c r="AI378" s="849">
        <f>IF('Input Sheet'!$C$15="Yes",'Input Sheet'!$F$11,0)</f>
        <v>0</v>
      </c>
      <c r="AJ378" s="850">
        <f>IF('Input Sheet'!$C$15="Yes",'Input Sheet'!$F$7,0)</f>
        <v>0</v>
      </c>
      <c r="AK378" s="856">
        <f t="shared" si="57"/>
        <v>0</v>
      </c>
      <c r="AL378" s="856">
        <f t="shared" si="58"/>
        <v>0</v>
      </c>
      <c r="AM378" s="856">
        <f t="shared" si="64"/>
        <v>0</v>
      </c>
      <c r="AN378" s="856">
        <f t="shared" si="59"/>
        <v>0</v>
      </c>
      <c r="AO378" s="852">
        <f t="shared" si="65"/>
        <v>0</v>
      </c>
      <c r="AP378" s="853">
        <f t="shared" si="66"/>
        <v>0</v>
      </c>
      <c r="AQ378" s="854">
        <f>IFERROR(P378*'Input Sheet'!$F$8/(((AI378)*AK378*2)-AN378),0)</f>
        <v>0</v>
      </c>
      <c r="AR378" s="854">
        <f>IFERROR(($P378-$AF378)*'Input Sheet'!$F$8/(((AI378)*AK378*2)-AN378),0)</f>
        <v>0</v>
      </c>
    </row>
    <row r="379" spans="2:44" s="798" customFormat="1" ht="30" customHeight="1" thickBot="1" x14ac:dyDescent="0.3">
      <c r="B379" s="835"/>
      <c r="C379" s="836"/>
      <c r="D379" s="836"/>
      <c r="E379" s="837"/>
      <c r="F379" s="837"/>
      <c r="G379" s="838"/>
      <c r="H379" s="838"/>
      <c r="I379" s="839"/>
      <c r="J379" s="839"/>
      <c r="K379" s="840"/>
      <c r="L379" s="841"/>
      <c r="M379" s="841"/>
      <c r="N379" s="842"/>
      <c r="O379" s="842"/>
      <c r="P379" s="843"/>
      <c r="Q379" s="843"/>
      <c r="R379" s="843"/>
      <c r="S379" s="844">
        <f t="shared" si="60"/>
        <v>0</v>
      </c>
      <c r="T379" s="838"/>
      <c r="U379" s="842"/>
      <c r="V379" s="843"/>
      <c r="W379" s="843"/>
      <c r="X379" s="843"/>
      <c r="Y379" s="843"/>
      <c r="Z379" s="843"/>
      <c r="AA379" s="837"/>
      <c r="AB379" s="837"/>
      <c r="AC379" s="845">
        <f t="shared" si="61"/>
        <v>0</v>
      </c>
      <c r="AD379" s="846">
        <f t="shared" si="62"/>
        <v>0</v>
      </c>
      <c r="AE379" s="847">
        <f t="shared" si="63"/>
        <v>0</v>
      </c>
      <c r="AF379" s="855">
        <f t="shared" si="56"/>
        <v>0</v>
      </c>
      <c r="AG379" s="848">
        <f>IF('Input Sheet'!$C$15="Yes",'Input Sheet'!$F$8,0)</f>
        <v>0</v>
      </c>
      <c r="AH379" s="846">
        <f>IF('Input Sheet'!$C$15="Yes",Rates!$E$45,0)</f>
        <v>0</v>
      </c>
      <c r="AI379" s="849">
        <f>IF('Input Sheet'!$C$15="Yes",'Input Sheet'!$F$11,0)</f>
        <v>0</v>
      </c>
      <c r="AJ379" s="850">
        <f>IF('Input Sheet'!$C$15="Yes",'Input Sheet'!$F$7,0)</f>
        <v>0</v>
      </c>
      <c r="AK379" s="856">
        <f t="shared" si="57"/>
        <v>0</v>
      </c>
      <c r="AL379" s="856">
        <f t="shared" si="58"/>
        <v>0</v>
      </c>
      <c r="AM379" s="856">
        <f t="shared" si="64"/>
        <v>0</v>
      </c>
      <c r="AN379" s="856">
        <f t="shared" si="59"/>
        <v>0</v>
      </c>
      <c r="AO379" s="852">
        <f t="shared" si="65"/>
        <v>0</v>
      </c>
      <c r="AP379" s="853">
        <f t="shared" si="66"/>
        <v>0</v>
      </c>
      <c r="AQ379" s="854">
        <f>IFERROR(P379*'Input Sheet'!$F$8/(((AI379)*AK379*2)-AN379),0)</f>
        <v>0</v>
      </c>
      <c r="AR379" s="854">
        <f>IFERROR(($P379-$AF379)*'Input Sheet'!$F$8/(((AI379)*AK379*2)-AN379),0)</f>
        <v>0</v>
      </c>
    </row>
    <row r="380" spans="2:44" s="798" customFormat="1" ht="30" customHeight="1" thickBot="1" x14ac:dyDescent="0.3">
      <c r="B380" s="835"/>
      <c r="C380" s="836"/>
      <c r="D380" s="836"/>
      <c r="E380" s="837"/>
      <c r="F380" s="837"/>
      <c r="G380" s="838"/>
      <c r="H380" s="838"/>
      <c r="I380" s="839"/>
      <c r="J380" s="839"/>
      <c r="K380" s="840"/>
      <c r="L380" s="841"/>
      <c r="M380" s="841"/>
      <c r="N380" s="842"/>
      <c r="O380" s="842"/>
      <c r="P380" s="843"/>
      <c r="Q380" s="843"/>
      <c r="R380" s="843"/>
      <c r="S380" s="844">
        <f t="shared" si="60"/>
        <v>0</v>
      </c>
      <c r="T380" s="838"/>
      <c r="U380" s="842"/>
      <c r="V380" s="843"/>
      <c r="W380" s="843"/>
      <c r="X380" s="843"/>
      <c r="Y380" s="843"/>
      <c r="Z380" s="843"/>
      <c r="AA380" s="837"/>
      <c r="AB380" s="837"/>
      <c r="AC380" s="845">
        <f t="shared" si="61"/>
        <v>0</v>
      </c>
      <c r="AD380" s="846">
        <f t="shared" si="62"/>
        <v>0</v>
      </c>
      <c r="AE380" s="847">
        <f t="shared" si="63"/>
        <v>0</v>
      </c>
      <c r="AF380" s="855">
        <f t="shared" si="56"/>
        <v>0</v>
      </c>
      <c r="AG380" s="848">
        <f>IF('Input Sheet'!$C$15="Yes",'Input Sheet'!$F$8,0)</f>
        <v>0</v>
      </c>
      <c r="AH380" s="846">
        <f>IF('Input Sheet'!$C$15="Yes",Rates!$E$45,0)</f>
        <v>0</v>
      </c>
      <c r="AI380" s="849">
        <f>IF('Input Sheet'!$C$15="Yes",'Input Sheet'!$F$11,0)</f>
        <v>0</v>
      </c>
      <c r="AJ380" s="850">
        <f>IF('Input Sheet'!$C$15="Yes",'Input Sheet'!$F$7,0)</f>
        <v>0</v>
      </c>
      <c r="AK380" s="856">
        <f t="shared" si="57"/>
        <v>0</v>
      </c>
      <c r="AL380" s="856">
        <f t="shared" si="58"/>
        <v>0</v>
      </c>
      <c r="AM380" s="856">
        <f t="shared" si="64"/>
        <v>0</v>
      </c>
      <c r="AN380" s="856">
        <f t="shared" si="59"/>
        <v>0</v>
      </c>
      <c r="AO380" s="852">
        <f t="shared" si="65"/>
        <v>0</v>
      </c>
      <c r="AP380" s="853">
        <f t="shared" si="66"/>
        <v>0</v>
      </c>
      <c r="AQ380" s="854">
        <f>IFERROR(P380*'Input Sheet'!$F$8/(((AI380)*AK380*2)-AN380),0)</f>
        <v>0</v>
      </c>
      <c r="AR380" s="854">
        <f>IFERROR(($P380-$AF380)*'Input Sheet'!$F$8/(((AI380)*AK380*2)-AN380),0)</f>
        <v>0</v>
      </c>
    </row>
    <row r="381" spans="2:44" s="798" customFormat="1" ht="30" customHeight="1" thickBot="1" x14ac:dyDescent="0.3">
      <c r="B381" s="835"/>
      <c r="C381" s="836"/>
      <c r="D381" s="836"/>
      <c r="E381" s="837"/>
      <c r="F381" s="837"/>
      <c r="G381" s="838"/>
      <c r="H381" s="838"/>
      <c r="I381" s="839"/>
      <c r="J381" s="839"/>
      <c r="K381" s="840"/>
      <c r="L381" s="841"/>
      <c r="M381" s="841"/>
      <c r="N381" s="842"/>
      <c r="O381" s="842"/>
      <c r="P381" s="843"/>
      <c r="Q381" s="843"/>
      <c r="R381" s="843"/>
      <c r="S381" s="844">
        <f t="shared" si="60"/>
        <v>0</v>
      </c>
      <c r="T381" s="838"/>
      <c r="U381" s="842"/>
      <c r="V381" s="843"/>
      <c r="W381" s="843"/>
      <c r="X381" s="843"/>
      <c r="Y381" s="843"/>
      <c r="Z381" s="843"/>
      <c r="AA381" s="837"/>
      <c r="AB381" s="837"/>
      <c r="AC381" s="845">
        <f t="shared" si="61"/>
        <v>0</v>
      </c>
      <c r="AD381" s="846">
        <f t="shared" si="62"/>
        <v>0</v>
      </c>
      <c r="AE381" s="847">
        <f t="shared" si="63"/>
        <v>0</v>
      </c>
      <c r="AF381" s="855">
        <f t="shared" si="56"/>
        <v>0</v>
      </c>
      <c r="AG381" s="848">
        <f>IF('Input Sheet'!$C$15="Yes",'Input Sheet'!$F$8,0)</f>
        <v>0</v>
      </c>
      <c r="AH381" s="846">
        <f>IF('Input Sheet'!$C$15="Yes",Rates!$E$45,0)</f>
        <v>0</v>
      </c>
      <c r="AI381" s="849">
        <f>IF('Input Sheet'!$C$15="Yes",'Input Sheet'!$F$11,0)</f>
        <v>0</v>
      </c>
      <c r="AJ381" s="850">
        <f>IF('Input Sheet'!$C$15="Yes",'Input Sheet'!$F$7,0)</f>
        <v>0</v>
      </c>
      <c r="AK381" s="856">
        <f t="shared" si="57"/>
        <v>0</v>
      </c>
      <c r="AL381" s="856">
        <f t="shared" si="58"/>
        <v>0</v>
      </c>
      <c r="AM381" s="856">
        <f t="shared" si="64"/>
        <v>0</v>
      </c>
      <c r="AN381" s="856">
        <f t="shared" si="59"/>
        <v>0</v>
      </c>
      <c r="AO381" s="852">
        <f t="shared" si="65"/>
        <v>0</v>
      </c>
      <c r="AP381" s="853">
        <f t="shared" si="66"/>
        <v>0</v>
      </c>
      <c r="AQ381" s="854">
        <f>IFERROR(P381*'Input Sheet'!$F$8/(((AI381)*AK381*2)-AN381),0)</f>
        <v>0</v>
      </c>
      <c r="AR381" s="854">
        <f>IFERROR(($P381-$AF381)*'Input Sheet'!$F$8/(((AI381)*AK381*2)-AN381),0)</f>
        <v>0</v>
      </c>
    </row>
    <row r="382" spans="2:44" s="798" customFormat="1" ht="30" customHeight="1" thickBot="1" x14ac:dyDescent="0.3">
      <c r="B382" s="835"/>
      <c r="C382" s="836"/>
      <c r="D382" s="836"/>
      <c r="E382" s="837"/>
      <c r="F382" s="837"/>
      <c r="G382" s="838"/>
      <c r="H382" s="838"/>
      <c r="I382" s="839"/>
      <c r="J382" s="839"/>
      <c r="K382" s="840"/>
      <c r="L382" s="841"/>
      <c r="M382" s="841"/>
      <c r="N382" s="842"/>
      <c r="O382" s="842"/>
      <c r="P382" s="843"/>
      <c r="Q382" s="843"/>
      <c r="R382" s="843"/>
      <c r="S382" s="844">
        <f t="shared" si="60"/>
        <v>0</v>
      </c>
      <c r="T382" s="838"/>
      <c r="U382" s="842"/>
      <c r="V382" s="843"/>
      <c r="W382" s="843"/>
      <c r="X382" s="843"/>
      <c r="Y382" s="843"/>
      <c r="Z382" s="843"/>
      <c r="AA382" s="837"/>
      <c r="AB382" s="837"/>
      <c r="AC382" s="845">
        <f t="shared" si="61"/>
        <v>0</v>
      </c>
      <c r="AD382" s="846">
        <f t="shared" si="62"/>
        <v>0</v>
      </c>
      <c r="AE382" s="847">
        <f t="shared" si="63"/>
        <v>0</v>
      </c>
      <c r="AF382" s="855">
        <f t="shared" si="56"/>
        <v>0</v>
      </c>
      <c r="AG382" s="848">
        <f>IF('Input Sheet'!$C$15="Yes",'Input Sheet'!$F$8,0)</f>
        <v>0</v>
      </c>
      <c r="AH382" s="846">
        <f>IF('Input Sheet'!$C$15="Yes",Rates!$E$45,0)</f>
        <v>0</v>
      </c>
      <c r="AI382" s="849">
        <f>IF('Input Sheet'!$C$15="Yes",'Input Sheet'!$F$11,0)</f>
        <v>0</v>
      </c>
      <c r="AJ382" s="850">
        <f>IF('Input Sheet'!$C$15="Yes",'Input Sheet'!$F$7,0)</f>
        <v>0</v>
      </c>
      <c r="AK382" s="856">
        <f t="shared" si="57"/>
        <v>0</v>
      </c>
      <c r="AL382" s="856">
        <f t="shared" si="58"/>
        <v>0</v>
      </c>
      <c r="AM382" s="856">
        <f t="shared" si="64"/>
        <v>0</v>
      </c>
      <c r="AN382" s="856">
        <f t="shared" si="59"/>
        <v>0</v>
      </c>
      <c r="AO382" s="852">
        <f t="shared" si="65"/>
        <v>0</v>
      </c>
      <c r="AP382" s="853">
        <f t="shared" si="66"/>
        <v>0</v>
      </c>
      <c r="AQ382" s="854">
        <f>IFERROR(P382*'Input Sheet'!$F$8/(((AI382)*AK382*2)-AN382),0)</f>
        <v>0</v>
      </c>
      <c r="AR382" s="854">
        <f>IFERROR(($P382-$AF382)*'Input Sheet'!$F$8/(((AI382)*AK382*2)-AN382),0)</f>
        <v>0</v>
      </c>
    </row>
    <row r="383" spans="2:44" s="798" customFormat="1" ht="30" customHeight="1" thickBot="1" x14ac:dyDescent="0.3">
      <c r="B383" s="835"/>
      <c r="C383" s="836"/>
      <c r="D383" s="836"/>
      <c r="E383" s="837"/>
      <c r="F383" s="837"/>
      <c r="G383" s="838"/>
      <c r="H383" s="838"/>
      <c r="I383" s="839"/>
      <c r="J383" s="839"/>
      <c r="K383" s="840"/>
      <c r="L383" s="841"/>
      <c r="M383" s="841"/>
      <c r="N383" s="842"/>
      <c r="O383" s="842"/>
      <c r="P383" s="843"/>
      <c r="Q383" s="843"/>
      <c r="R383" s="843"/>
      <c r="S383" s="844">
        <f t="shared" si="60"/>
        <v>0</v>
      </c>
      <c r="T383" s="838"/>
      <c r="U383" s="842"/>
      <c r="V383" s="843"/>
      <c r="W383" s="843"/>
      <c r="X383" s="843"/>
      <c r="Y383" s="843"/>
      <c r="Z383" s="843"/>
      <c r="AA383" s="837"/>
      <c r="AB383" s="837"/>
      <c r="AC383" s="845">
        <f t="shared" si="61"/>
        <v>0</v>
      </c>
      <c r="AD383" s="846">
        <f t="shared" si="62"/>
        <v>0</v>
      </c>
      <c r="AE383" s="847">
        <f t="shared" si="63"/>
        <v>0</v>
      </c>
      <c r="AF383" s="855">
        <f t="shared" si="56"/>
        <v>0</v>
      </c>
      <c r="AG383" s="848">
        <f>IF('Input Sheet'!$C$15="Yes",'Input Sheet'!$F$8,0)</f>
        <v>0</v>
      </c>
      <c r="AH383" s="846">
        <f>IF('Input Sheet'!$C$15="Yes",Rates!$E$45,0)</f>
        <v>0</v>
      </c>
      <c r="AI383" s="849">
        <f>IF('Input Sheet'!$C$15="Yes",'Input Sheet'!$F$11,0)</f>
        <v>0</v>
      </c>
      <c r="AJ383" s="850">
        <f>IF('Input Sheet'!$C$15="Yes",'Input Sheet'!$F$7,0)</f>
        <v>0</v>
      </c>
      <c r="AK383" s="856">
        <f t="shared" si="57"/>
        <v>0</v>
      </c>
      <c r="AL383" s="856">
        <f t="shared" si="58"/>
        <v>0</v>
      </c>
      <c r="AM383" s="856">
        <f t="shared" si="64"/>
        <v>0</v>
      </c>
      <c r="AN383" s="856">
        <f t="shared" si="59"/>
        <v>0</v>
      </c>
      <c r="AO383" s="852">
        <f t="shared" si="65"/>
        <v>0</v>
      </c>
      <c r="AP383" s="853">
        <f t="shared" si="66"/>
        <v>0</v>
      </c>
      <c r="AQ383" s="854">
        <f>IFERROR(P383*'Input Sheet'!$F$8/(((AI383)*AK383*2)-AN383),0)</f>
        <v>0</v>
      </c>
      <c r="AR383" s="854">
        <f>IFERROR(($P383-$AF383)*'Input Sheet'!$F$8/(((AI383)*AK383*2)-AN383),0)</f>
        <v>0</v>
      </c>
    </row>
    <row r="384" spans="2:44" s="798" customFormat="1" ht="30" customHeight="1" thickBot="1" x14ac:dyDescent="0.3">
      <c r="B384" s="835"/>
      <c r="C384" s="836"/>
      <c r="D384" s="836"/>
      <c r="E384" s="837"/>
      <c r="F384" s="837"/>
      <c r="G384" s="838"/>
      <c r="H384" s="838"/>
      <c r="I384" s="839"/>
      <c r="J384" s="839"/>
      <c r="K384" s="840"/>
      <c r="L384" s="841"/>
      <c r="M384" s="841"/>
      <c r="N384" s="842"/>
      <c r="O384" s="842"/>
      <c r="P384" s="843"/>
      <c r="Q384" s="843"/>
      <c r="R384" s="843"/>
      <c r="S384" s="844">
        <f t="shared" si="60"/>
        <v>0</v>
      </c>
      <c r="T384" s="838"/>
      <c r="U384" s="842"/>
      <c r="V384" s="843"/>
      <c r="W384" s="843"/>
      <c r="X384" s="843"/>
      <c r="Y384" s="843"/>
      <c r="Z384" s="843"/>
      <c r="AA384" s="837"/>
      <c r="AB384" s="837"/>
      <c r="AC384" s="845">
        <f t="shared" si="61"/>
        <v>0</v>
      </c>
      <c r="AD384" s="846">
        <f t="shared" si="62"/>
        <v>0</v>
      </c>
      <c r="AE384" s="847">
        <f t="shared" si="63"/>
        <v>0</v>
      </c>
      <c r="AF384" s="855">
        <f t="shared" si="56"/>
        <v>0</v>
      </c>
      <c r="AG384" s="848">
        <f>IF('Input Sheet'!$C$15="Yes",'Input Sheet'!$F$8,0)</f>
        <v>0</v>
      </c>
      <c r="AH384" s="846">
        <f>IF('Input Sheet'!$C$15="Yes",Rates!$E$45,0)</f>
        <v>0</v>
      </c>
      <c r="AI384" s="849">
        <f>IF('Input Sheet'!$C$15="Yes",'Input Sheet'!$F$11,0)</f>
        <v>0</v>
      </c>
      <c r="AJ384" s="850">
        <f>IF('Input Sheet'!$C$15="Yes",'Input Sheet'!$F$7,0)</f>
        <v>0</v>
      </c>
      <c r="AK384" s="856">
        <f t="shared" si="57"/>
        <v>0</v>
      </c>
      <c r="AL384" s="856">
        <f t="shared" si="58"/>
        <v>0</v>
      </c>
      <c r="AM384" s="856">
        <f t="shared" si="64"/>
        <v>0</v>
      </c>
      <c r="AN384" s="856">
        <f t="shared" si="59"/>
        <v>0</v>
      </c>
      <c r="AO384" s="852">
        <f t="shared" si="65"/>
        <v>0</v>
      </c>
      <c r="AP384" s="853">
        <f t="shared" si="66"/>
        <v>0</v>
      </c>
      <c r="AQ384" s="854">
        <f>IFERROR(P384*'Input Sheet'!$F$8/(((AI384)*AK384*2)-AN384),0)</f>
        <v>0</v>
      </c>
      <c r="AR384" s="854">
        <f>IFERROR(($P384-$AF384)*'Input Sheet'!$F$8/(((AI384)*AK384*2)-AN384),0)</f>
        <v>0</v>
      </c>
    </row>
    <row r="385" spans="2:44" s="798" customFormat="1" ht="30" customHeight="1" thickBot="1" x14ac:dyDescent="0.3">
      <c r="B385" s="835"/>
      <c r="C385" s="836"/>
      <c r="D385" s="836"/>
      <c r="E385" s="837"/>
      <c r="F385" s="837"/>
      <c r="G385" s="838"/>
      <c r="H385" s="838"/>
      <c r="I385" s="839"/>
      <c r="J385" s="839"/>
      <c r="K385" s="840"/>
      <c r="L385" s="841"/>
      <c r="M385" s="841"/>
      <c r="N385" s="842"/>
      <c r="O385" s="842"/>
      <c r="P385" s="843"/>
      <c r="Q385" s="843"/>
      <c r="R385" s="843"/>
      <c r="S385" s="844">
        <f t="shared" si="60"/>
        <v>0</v>
      </c>
      <c r="T385" s="838"/>
      <c r="U385" s="842"/>
      <c r="V385" s="843"/>
      <c r="W385" s="843"/>
      <c r="X385" s="843"/>
      <c r="Y385" s="843"/>
      <c r="Z385" s="843"/>
      <c r="AA385" s="837"/>
      <c r="AB385" s="837"/>
      <c r="AC385" s="845">
        <f t="shared" si="61"/>
        <v>0</v>
      </c>
      <c r="AD385" s="846">
        <f t="shared" si="62"/>
        <v>0</v>
      </c>
      <c r="AE385" s="847">
        <f t="shared" si="63"/>
        <v>0</v>
      </c>
      <c r="AF385" s="855">
        <f t="shared" si="56"/>
        <v>0</v>
      </c>
      <c r="AG385" s="848">
        <f>IF('Input Sheet'!$C$15="Yes",'Input Sheet'!$F$8,0)</f>
        <v>0</v>
      </c>
      <c r="AH385" s="846">
        <f>IF('Input Sheet'!$C$15="Yes",Rates!$E$45,0)</f>
        <v>0</v>
      </c>
      <c r="AI385" s="849">
        <f>IF('Input Sheet'!$C$15="Yes",'Input Sheet'!$F$11,0)</f>
        <v>0</v>
      </c>
      <c r="AJ385" s="850">
        <f>IF('Input Sheet'!$C$15="Yes",'Input Sheet'!$F$7,0)</f>
        <v>0</v>
      </c>
      <c r="AK385" s="856">
        <f t="shared" si="57"/>
        <v>0</v>
      </c>
      <c r="AL385" s="856">
        <f t="shared" si="58"/>
        <v>0</v>
      </c>
      <c r="AM385" s="856">
        <f t="shared" si="64"/>
        <v>0</v>
      </c>
      <c r="AN385" s="856">
        <f t="shared" si="59"/>
        <v>0</v>
      </c>
      <c r="AO385" s="852">
        <f t="shared" si="65"/>
        <v>0</v>
      </c>
      <c r="AP385" s="853">
        <f t="shared" si="66"/>
        <v>0</v>
      </c>
      <c r="AQ385" s="854">
        <f>IFERROR(P385*'Input Sheet'!$F$8/(((AI385)*AK385*2)-AN385),0)</f>
        <v>0</v>
      </c>
      <c r="AR385" s="854">
        <f>IFERROR(($P385-$AF385)*'Input Sheet'!$F$8/(((AI385)*AK385*2)-AN385),0)</f>
        <v>0</v>
      </c>
    </row>
    <row r="386" spans="2:44" s="798" customFormat="1" ht="30" customHeight="1" thickBot="1" x14ac:dyDescent="0.3">
      <c r="B386" s="835"/>
      <c r="C386" s="836"/>
      <c r="D386" s="836"/>
      <c r="E386" s="837"/>
      <c r="F386" s="837"/>
      <c r="G386" s="838"/>
      <c r="H386" s="838"/>
      <c r="I386" s="839"/>
      <c r="J386" s="839"/>
      <c r="K386" s="840"/>
      <c r="L386" s="841"/>
      <c r="M386" s="841"/>
      <c r="N386" s="842"/>
      <c r="O386" s="842"/>
      <c r="P386" s="843"/>
      <c r="Q386" s="843"/>
      <c r="R386" s="843"/>
      <c r="S386" s="844">
        <f t="shared" si="60"/>
        <v>0</v>
      </c>
      <c r="T386" s="838"/>
      <c r="U386" s="842"/>
      <c r="V386" s="843"/>
      <c r="W386" s="843"/>
      <c r="X386" s="843"/>
      <c r="Y386" s="843"/>
      <c r="Z386" s="843"/>
      <c r="AA386" s="837"/>
      <c r="AB386" s="837"/>
      <c r="AC386" s="845">
        <f t="shared" si="61"/>
        <v>0</v>
      </c>
      <c r="AD386" s="846">
        <f t="shared" si="62"/>
        <v>0</v>
      </c>
      <c r="AE386" s="847">
        <f t="shared" si="63"/>
        <v>0</v>
      </c>
      <c r="AF386" s="855">
        <f t="shared" si="56"/>
        <v>0</v>
      </c>
      <c r="AG386" s="848">
        <f>IF('Input Sheet'!$C$15="Yes",'Input Sheet'!$F$8,0)</f>
        <v>0</v>
      </c>
      <c r="AH386" s="846">
        <f>IF('Input Sheet'!$C$15="Yes",Rates!$E$45,0)</f>
        <v>0</v>
      </c>
      <c r="AI386" s="849">
        <f>IF('Input Sheet'!$C$15="Yes",'Input Sheet'!$F$11,0)</f>
        <v>0</v>
      </c>
      <c r="AJ386" s="850">
        <f>IF('Input Sheet'!$C$15="Yes",'Input Sheet'!$F$7,0)</f>
        <v>0</v>
      </c>
      <c r="AK386" s="856">
        <f t="shared" si="57"/>
        <v>0</v>
      </c>
      <c r="AL386" s="856">
        <f t="shared" si="58"/>
        <v>0</v>
      </c>
      <c r="AM386" s="856">
        <f t="shared" si="64"/>
        <v>0</v>
      </c>
      <c r="AN386" s="856">
        <f t="shared" si="59"/>
        <v>0</v>
      </c>
      <c r="AO386" s="852">
        <f t="shared" si="65"/>
        <v>0</v>
      </c>
      <c r="AP386" s="853">
        <f t="shared" si="66"/>
        <v>0</v>
      </c>
      <c r="AQ386" s="854">
        <f>IFERROR(P386*'Input Sheet'!$F$8/(((AI386)*AK386*2)-AN386),0)</f>
        <v>0</v>
      </c>
      <c r="AR386" s="854">
        <f>IFERROR(($P386-$AF386)*'Input Sheet'!$F$8/(((AI386)*AK386*2)-AN386),0)</f>
        <v>0</v>
      </c>
    </row>
    <row r="387" spans="2:44" s="798" customFormat="1" ht="30" customHeight="1" thickBot="1" x14ac:dyDescent="0.3">
      <c r="B387" s="835"/>
      <c r="C387" s="836"/>
      <c r="D387" s="836"/>
      <c r="E387" s="837"/>
      <c r="F387" s="837"/>
      <c r="G387" s="838"/>
      <c r="H387" s="838"/>
      <c r="I387" s="839"/>
      <c r="J387" s="839"/>
      <c r="K387" s="840"/>
      <c r="L387" s="841"/>
      <c r="M387" s="841"/>
      <c r="N387" s="842"/>
      <c r="O387" s="842"/>
      <c r="P387" s="843"/>
      <c r="Q387" s="843"/>
      <c r="R387" s="843"/>
      <c r="S387" s="844">
        <f t="shared" si="60"/>
        <v>0</v>
      </c>
      <c r="T387" s="838"/>
      <c r="U387" s="842"/>
      <c r="V387" s="843"/>
      <c r="W387" s="843"/>
      <c r="X387" s="843"/>
      <c r="Y387" s="843"/>
      <c r="Z387" s="843"/>
      <c r="AA387" s="837"/>
      <c r="AB387" s="837"/>
      <c r="AC387" s="845">
        <f t="shared" si="61"/>
        <v>0</v>
      </c>
      <c r="AD387" s="846">
        <f t="shared" si="62"/>
        <v>0</v>
      </c>
      <c r="AE387" s="847">
        <f t="shared" si="63"/>
        <v>0</v>
      </c>
      <c r="AF387" s="855">
        <f t="shared" si="56"/>
        <v>0</v>
      </c>
      <c r="AG387" s="848">
        <f>IF('Input Sheet'!$C$15="Yes",'Input Sheet'!$F$8,0)</f>
        <v>0</v>
      </c>
      <c r="AH387" s="846">
        <f>IF('Input Sheet'!$C$15="Yes",Rates!$E$45,0)</f>
        <v>0</v>
      </c>
      <c r="AI387" s="849">
        <f>IF('Input Sheet'!$C$15="Yes",'Input Sheet'!$F$11,0)</f>
        <v>0</v>
      </c>
      <c r="AJ387" s="850">
        <f>IF('Input Sheet'!$C$15="Yes",'Input Sheet'!$F$7,0)</f>
        <v>0</v>
      </c>
      <c r="AK387" s="856">
        <f t="shared" si="57"/>
        <v>0</v>
      </c>
      <c r="AL387" s="856">
        <f t="shared" si="58"/>
        <v>0</v>
      </c>
      <c r="AM387" s="856">
        <f t="shared" si="64"/>
        <v>0</v>
      </c>
      <c r="AN387" s="856">
        <f t="shared" si="59"/>
        <v>0</v>
      </c>
      <c r="AO387" s="852">
        <f t="shared" si="65"/>
        <v>0</v>
      </c>
      <c r="AP387" s="853">
        <f t="shared" si="66"/>
        <v>0</v>
      </c>
      <c r="AQ387" s="854">
        <f>IFERROR(P387*'Input Sheet'!$F$8/(((AI387)*AK387*2)-AN387),0)</f>
        <v>0</v>
      </c>
      <c r="AR387" s="854">
        <f>IFERROR(($P387-$AF387)*'Input Sheet'!$F$8/(((AI387)*AK387*2)-AN387),0)</f>
        <v>0</v>
      </c>
    </row>
    <row r="388" spans="2:44" s="798" customFormat="1" ht="30" customHeight="1" thickBot="1" x14ac:dyDescent="0.3">
      <c r="B388" s="835"/>
      <c r="C388" s="836"/>
      <c r="D388" s="836"/>
      <c r="E388" s="837"/>
      <c r="F388" s="837"/>
      <c r="G388" s="838"/>
      <c r="H388" s="838"/>
      <c r="I388" s="839"/>
      <c r="J388" s="839"/>
      <c r="K388" s="840"/>
      <c r="L388" s="841"/>
      <c r="M388" s="841"/>
      <c r="N388" s="842"/>
      <c r="O388" s="842"/>
      <c r="P388" s="843"/>
      <c r="Q388" s="843"/>
      <c r="R388" s="843"/>
      <c r="S388" s="844">
        <f t="shared" si="60"/>
        <v>0</v>
      </c>
      <c r="T388" s="838"/>
      <c r="U388" s="842"/>
      <c r="V388" s="843"/>
      <c r="W388" s="843"/>
      <c r="X388" s="843"/>
      <c r="Y388" s="843"/>
      <c r="Z388" s="843"/>
      <c r="AA388" s="837"/>
      <c r="AB388" s="837"/>
      <c r="AC388" s="845">
        <f t="shared" si="61"/>
        <v>0</v>
      </c>
      <c r="AD388" s="846">
        <f t="shared" si="62"/>
        <v>0</v>
      </c>
      <c r="AE388" s="847">
        <f t="shared" si="63"/>
        <v>0</v>
      </c>
      <c r="AF388" s="855">
        <f t="shared" si="56"/>
        <v>0</v>
      </c>
      <c r="AG388" s="848">
        <f>IF('Input Sheet'!$C$15="Yes",'Input Sheet'!$F$8,0)</f>
        <v>0</v>
      </c>
      <c r="AH388" s="846">
        <f>IF('Input Sheet'!$C$15="Yes",Rates!$E$45,0)</f>
        <v>0</v>
      </c>
      <c r="AI388" s="849">
        <f>IF('Input Sheet'!$C$15="Yes",'Input Sheet'!$F$11,0)</f>
        <v>0</v>
      </c>
      <c r="AJ388" s="850">
        <f>IF('Input Sheet'!$C$15="Yes",'Input Sheet'!$F$7,0)</f>
        <v>0</v>
      </c>
      <c r="AK388" s="856">
        <f t="shared" si="57"/>
        <v>0</v>
      </c>
      <c r="AL388" s="856">
        <f t="shared" si="58"/>
        <v>0</v>
      </c>
      <c r="AM388" s="856">
        <f t="shared" si="64"/>
        <v>0</v>
      </c>
      <c r="AN388" s="856">
        <f t="shared" si="59"/>
        <v>0</v>
      </c>
      <c r="AO388" s="852">
        <f t="shared" si="65"/>
        <v>0</v>
      </c>
      <c r="AP388" s="853">
        <f t="shared" si="66"/>
        <v>0</v>
      </c>
      <c r="AQ388" s="854">
        <f>IFERROR(P388*'Input Sheet'!$F$8/(((AI388)*AK388*2)-AN388),0)</f>
        <v>0</v>
      </c>
      <c r="AR388" s="854">
        <f>IFERROR(($P388-$AF388)*'Input Sheet'!$F$8/(((AI388)*AK388*2)-AN388),0)</f>
        <v>0</v>
      </c>
    </row>
    <row r="389" spans="2:44" s="798" customFormat="1" ht="30" customHeight="1" thickBot="1" x14ac:dyDescent="0.3">
      <c r="B389" s="835"/>
      <c r="C389" s="836"/>
      <c r="D389" s="836"/>
      <c r="E389" s="837"/>
      <c r="F389" s="837"/>
      <c r="G389" s="838"/>
      <c r="H389" s="838"/>
      <c r="I389" s="839"/>
      <c r="J389" s="839"/>
      <c r="K389" s="840"/>
      <c r="L389" s="841"/>
      <c r="M389" s="841"/>
      <c r="N389" s="842"/>
      <c r="O389" s="842"/>
      <c r="P389" s="843"/>
      <c r="Q389" s="843"/>
      <c r="R389" s="843"/>
      <c r="S389" s="844">
        <f t="shared" si="60"/>
        <v>0</v>
      </c>
      <c r="T389" s="838"/>
      <c r="U389" s="842"/>
      <c r="V389" s="843"/>
      <c r="W389" s="843"/>
      <c r="X389" s="843"/>
      <c r="Y389" s="843"/>
      <c r="Z389" s="843"/>
      <c r="AA389" s="837"/>
      <c r="AB389" s="837"/>
      <c r="AC389" s="845">
        <f t="shared" si="61"/>
        <v>0</v>
      </c>
      <c r="AD389" s="846">
        <f t="shared" si="62"/>
        <v>0</v>
      </c>
      <c r="AE389" s="847">
        <f t="shared" si="63"/>
        <v>0</v>
      </c>
      <c r="AF389" s="855">
        <f t="shared" si="56"/>
        <v>0</v>
      </c>
      <c r="AG389" s="848">
        <f>IF('Input Sheet'!$C$15="Yes",'Input Sheet'!$F$8,0)</f>
        <v>0</v>
      </c>
      <c r="AH389" s="846">
        <f>IF('Input Sheet'!$C$15="Yes",Rates!$E$45,0)</f>
        <v>0</v>
      </c>
      <c r="AI389" s="849">
        <f>IF('Input Sheet'!$C$15="Yes",'Input Sheet'!$F$11,0)</f>
        <v>0</v>
      </c>
      <c r="AJ389" s="850">
        <f>IF('Input Sheet'!$C$15="Yes",'Input Sheet'!$F$7,0)</f>
        <v>0</v>
      </c>
      <c r="AK389" s="856">
        <f t="shared" si="57"/>
        <v>0</v>
      </c>
      <c r="AL389" s="856">
        <f t="shared" si="58"/>
        <v>0</v>
      </c>
      <c r="AM389" s="856">
        <f t="shared" si="64"/>
        <v>0</v>
      </c>
      <c r="AN389" s="856">
        <f t="shared" si="59"/>
        <v>0</v>
      </c>
      <c r="AO389" s="852">
        <f t="shared" si="65"/>
        <v>0</v>
      </c>
      <c r="AP389" s="853">
        <f t="shared" si="66"/>
        <v>0</v>
      </c>
      <c r="AQ389" s="854">
        <f>IFERROR(P389*'Input Sheet'!$F$8/(((AI389)*AK389*2)-AN389),0)</f>
        <v>0</v>
      </c>
      <c r="AR389" s="854">
        <f>IFERROR(($P389-$AF389)*'Input Sheet'!$F$8/(((AI389)*AK389*2)-AN389),0)</f>
        <v>0</v>
      </c>
    </row>
    <row r="390" spans="2:44" s="798" customFormat="1" ht="30" customHeight="1" thickBot="1" x14ac:dyDescent="0.3">
      <c r="B390" s="835"/>
      <c r="C390" s="836"/>
      <c r="D390" s="836"/>
      <c r="E390" s="837"/>
      <c r="F390" s="837"/>
      <c r="G390" s="838"/>
      <c r="H390" s="838"/>
      <c r="I390" s="839"/>
      <c r="J390" s="839"/>
      <c r="K390" s="840"/>
      <c r="L390" s="841"/>
      <c r="M390" s="841"/>
      <c r="N390" s="842"/>
      <c r="O390" s="842"/>
      <c r="P390" s="843"/>
      <c r="Q390" s="843"/>
      <c r="R390" s="843"/>
      <c r="S390" s="844">
        <f t="shared" si="60"/>
        <v>0</v>
      </c>
      <c r="T390" s="838"/>
      <c r="U390" s="842"/>
      <c r="V390" s="843"/>
      <c r="W390" s="843"/>
      <c r="X390" s="843"/>
      <c r="Y390" s="843"/>
      <c r="Z390" s="843"/>
      <c r="AA390" s="837"/>
      <c r="AB390" s="837"/>
      <c r="AC390" s="845">
        <f t="shared" si="61"/>
        <v>0</v>
      </c>
      <c r="AD390" s="846">
        <f t="shared" si="62"/>
        <v>0</v>
      </c>
      <c r="AE390" s="847">
        <f t="shared" si="63"/>
        <v>0</v>
      </c>
      <c r="AF390" s="855">
        <f t="shared" si="56"/>
        <v>0</v>
      </c>
      <c r="AG390" s="848">
        <f>IF('Input Sheet'!$C$15="Yes",'Input Sheet'!$F$8,0)</f>
        <v>0</v>
      </c>
      <c r="AH390" s="846">
        <f>IF('Input Sheet'!$C$15="Yes",Rates!$E$45,0)</f>
        <v>0</v>
      </c>
      <c r="AI390" s="849">
        <f>IF('Input Sheet'!$C$15="Yes",'Input Sheet'!$F$11,0)</f>
        <v>0</v>
      </c>
      <c r="AJ390" s="850">
        <f>IF('Input Sheet'!$C$15="Yes",'Input Sheet'!$F$7,0)</f>
        <v>0</v>
      </c>
      <c r="AK390" s="856">
        <f t="shared" si="57"/>
        <v>0</v>
      </c>
      <c r="AL390" s="856">
        <f t="shared" si="58"/>
        <v>0</v>
      </c>
      <c r="AM390" s="856">
        <f t="shared" si="64"/>
        <v>0</v>
      </c>
      <c r="AN390" s="856">
        <f t="shared" si="59"/>
        <v>0</v>
      </c>
      <c r="AO390" s="852">
        <f t="shared" si="65"/>
        <v>0</v>
      </c>
      <c r="AP390" s="853">
        <f t="shared" si="66"/>
        <v>0</v>
      </c>
      <c r="AQ390" s="854">
        <f>IFERROR(P390*'Input Sheet'!$F$8/(((AI390)*AK390*2)-AN390),0)</f>
        <v>0</v>
      </c>
      <c r="AR390" s="854">
        <f>IFERROR(($P390-$AF390)*'Input Sheet'!$F$8/(((AI390)*AK390*2)-AN390),0)</f>
        <v>0</v>
      </c>
    </row>
    <row r="391" spans="2:44" s="798" customFormat="1" ht="30" customHeight="1" thickBot="1" x14ac:dyDescent="0.3">
      <c r="B391" s="835"/>
      <c r="C391" s="836"/>
      <c r="D391" s="836"/>
      <c r="E391" s="837"/>
      <c r="F391" s="837"/>
      <c r="G391" s="838"/>
      <c r="H391" s="838"/>
      <c r="I391" s="839"/>
      <c r="J391" s="839"/>
      <c r="K391" s="840"/>
      <c r="L391" s="841"/>
      <c r="M391" s="841"/>
      <c r="N391" s="842"/>
      <c r="O391" s="842"/>
      <c r="P391" s="843"/>
      <c r="Q391" s="843"/>
      <c r="R391" s="843"/>
      <c r="S391" s="844">
        <f t="shared" si="60"/>
        <v>0</v>
      </c>
      <c r="T391" s="838"/>
      <c r="U391" s="842"/>
      <c r="V391" s="843"/>
      <c r="W391" s="843"/>
      <c r="X391" s="843"/>
      <c r="Y391" s="843"/>
      <c r="Z391" s="843"/>
      <c r="AA391" s="837"/>
      <c r="AB391" s="837"/>
      <c r="AC391" s="845">
        <f t="shared" si="61"/>
        <v>0</v>
      </c>
      <c r="AD391" s="846">
        <f t="shared" si="62"/>
        <v>0</v>
      </c>
      <c r="AE391" s="847">
        <f t="shared" si="63"/>
        <v>0</v>
      </c>
      <c r="AF391" s="855">
        <f t="shared" si="56"/>
        <v>0</v>
      </c>
      <c r="AG391" s="848">
        <f>IF('Input Sheet'!$C$15="Yes",'Input Sheet'!$F$8,0)</f>
        <v>0</v>
      </c>
      <c r="AH391" s="846">
        <f>IF('Input Sheet'!$C$15="Yes",Rates!$E$45,0)</f>
        <v>0</v>
      </c>
      <c r="AI391" s="849">
        <f>IF('Input Sheet'!$C$15="Yes",'Input Sheet'!$F$11,0)</f>
        <v>0</v>
      </c>
      <c r="AJ391" s="850">
        <f>IF('Input Sheet'!$C$15="Yes",'Input Sheet'!$F$7,0)</f>
        <v>0</v>
      </c>
      <c r="AK391" s="856">
        <f t="shared" si="57"/>
        <v>0</v>
      </c>
      <c r="AL391" s="856">
        <f t="shared" si="58"/>
        <v>0</v>
      </c>
      <c r="AM391" s="856">
        <f t="shared" si="64"/>
        <v>0</v>
      </c>
      <c r="AN391" s="856">
        <f t="shared" si="59"/>
        <v>0</v>
      </c>
      <c r="AO391" s="852">
        <f t="shared" si="65"/>
        <v>0</v>
      </c>
      <c r="AP391" s="853">
        <f t="shared" si="66"/>
        <v>0</v>
      </c>
      <c r="AQ391" s="854">
        <f>IFERROR(P391*'Input Sheet'!$F$8/(((AI391)*AK391*2)-AN391),0)</f>
        <v>0</v>
      </c>
      <c r="AR391" s="854">
        <f>IFERROR(($P391-$AF391)*'Input Sheet'!$F$8/(((AI391)*AK391*2)-AN391),0)</f>
        <v>0</v>
      </c>
    </row>
    <row r="392" spans="2:44" s="798" customFormat="1" ht="30" customHeight="1" thickBot="1" x14ac:dyDescent="0.3">
      <c r="B392" s="835"/>
      <c r="C392" s="836"/>
      <c r="D392" s="836"/>
      <c r="E392" s="837"/>
      <c r="F392" s="837"/>
      <c r="G392" s="838"/>
      <c r="H392" s="838"/>
      <c r="I392" s="839"/>
      <c r="J392" s="839"/>
      <c r="K392" s="840"/>
      <c r="L392" s="841"/>
      <c r="M392" s="841"/>
      <c r="N392" s="842"/>
      <c r="O392" s="842"/>
      <c r="P392" s="843"/>
      <c r="Q392" s="843"/>
      <c r="R392" s="843"/>
      <c r="S392" s="844">
        <f t="shared" si="60"/>
        <v>0</v>
      </c>
      <c r="T392" s="838"/>
      <c r="U392" s="842"/>
      <c r="V392" s="843"/>
      <c r="W392" s="843"/>
      <c r="X392" s="843"/>
      <c r="Y392" s="843"/>
      <c r="Z392" s="843"/>
      <c r="AA392" s="837"/>
      <c r="AB392" s="837"/>
      <c r="AC392" s="845">
        <f t="shared" si="61"/>
        <v>0</v>
      </c>
      <c r="AD392" s="846">
        <f t="shared" si="62"/>
        <v>0</v>
      </c>
      <c r="AE392" s="847">
        <f t="shared" si="63"/>
        <v>0</v>
      </c>
      <c r="AF392" s="855">
        <f t="shared" si="56"/>
        <v>0</v>
      </c>
      <c r="AG392" s="848">
        <f>IF('Input Sheet'!$C$15="Yes",'Input Sheet'!$F$8,0)</f>
        <v>0</v>
      </c>
      <c r="AH392" s="846">
        <f>IF('Input Sheet'!$C$15="Yes",Rates!$E$45,0)</f>
        <v>0</v>
      </c>
      <c r="AI392" s="849">
        <f>IF('Input Sheet'!$C$15="Yes",'Input Sheet'!$F$11,0)</f>
        <v>0</v>
      </c>
      <c r="AJ392" s="850">
        <f>IF('Input Sheet'!$C$15="Yes",'Input Sheet'!$F$7,0)</f>
        <v>0</v>
      </c>
      <c r="AK392" s="856">
        <f t="shared" si="57"/>
        <v>0</v>
      </c>
      <c r="AL392" s="856">
        <f t="shared" si="58"/>
        <v>0</v>
      </c>
      <c r="AM392" s="856">
        <f t="shared" si="64"/>
        <v>0</v>
      </c>
      <c r="AN392" s="856">
        <f t="shared" si="59"/>
        <v>0</v>
      </c>
      <c r="AO392" s="852">
        <f t="shared" si="65"/>
        <v>0</v>
      </c>
      <c r="AP392" s="853">
        <f t="shared" si="66"/>
        <v>0</v>
      </c>
      <c r="AQ392" s="854">
        <f>IFERROR(P392*'Input Sheet'!$F$8/(((AI392)*AK392*2)-AN392),0)</f>
        <v>0</v>
      </c>
      <c r="AR392" s="854">
        <f>IFERROR(($P392-$AF392)*'Input Sheet'!$F$8/(((AI392)*AK392*2)-AN392),0)</f>
        <v>0</v>
      </c>
    </row>
    <row r="393" spans="2:44" s="798" customFormat="1" ht="30" customHeight="1" thickBot="1" x14ac:dyDescent="0.3">
      <c r="B393" s="835"/>
      <c r="C393" s="836"/>
      <c r="D393" s="836"/>
      <c r="E393" s="837"/>
      <c r="F393" s="837"/>
      <c r="G393" s="838"/>
      <c r="H393" s="838"/>
      <c r="I393" s="839"/>
      <c r="J393" s="839"/>
      <c r="K393" s="840"/>
      <c r="L393" s="841"/>
      <c r="M393" s="841"/>
      <c r="N393" s="842"/>
      <c r="O393" s="842"/>
      <c r="P393" s="843"/>
      <c r="Q393" s="843"/>
      <c r="R393" s="843"/>
      <c r="S393" s="844">
        <f t="shared" si="60"/>
        <v>0</v>
      </c>
      <c r="T393" s="838"/>
      <c r="U393" s="842"/>
      <c r="V393" s="843"/>
      <c r="W393" s="843"/>
      <c r="X393" s="843"/>
      <c r="Y393" s="843"/>
      <c r="Z393" s="843"/>
      <c r="AA393" s="837"/>
      <c r="AB393" s="837"/>
      <c r="AC393" s="845">
        <f t="shared" si="61"/>
        <v>0</v>
      </c>
      <c r="AD393" s="846">
        <f t="shared" si="62"/>
        <v>0</v>
      </c>
      <c r="AE393" s="847">
        <f t="shared" si="63"/>
        <v>0</v>
      </c>
      <c r="AF393" s="855">
        <f t="shared" ref="AF393:AF456" si="67">SUM($Q393:$W393)</f>
        <v>0</v>
      </c>
      <c r="AG393" s="848">
        <f>IF('Input Sheet'!$C$15="Yes",'Input Sheet'!$F$8,0)</f>
        <v>0</v>
      </c>
      <c r="AH393" s="846">
        <f>IF('Input Sheet'!$C$15="Yes",Rates!$E$45,0)</f>
        <v>0</v>
      </c>
      <c r="AI393" s="849">
        <f>IF('Input Sheet'!$C$15="Yes",'Input Sheet'!$F$11,0)</f>
        <v>0</v>
      </c>
      <c r="AJ393" s="850">
        <f>IF('Input Sheet'!$C$15="Yes",'Input Sheet'!$F$7,0)</f>
        <v>0</v>
      </c>
      <c r="AK393" s="856">
        <f t="shared" ref="AK393:AK456" si="68">L393*S393</f>
        <v>0</v>
      </c>
      <c r="AL393" s="856">
        <f t="shared" ref="AL393:AL456" si="69">(AK393)-(AK393*AH393)-(AK393*AP393*(AJ393/12))</f>
        <v>0</v>
      </c>
      <c r="AM393" s="856">
        <f t="shared" si="64"/>
        <v>0</v>
      </c>
      <c r="AN393" s="856">
        <f t="shared" ref="AN393:AN456" si="70">AK393*AP393*AJ393/12</f>
        <v>0</v>
      </c>
      <c r="AO393" s="852">
        <f t="shared" si="65"/>
        <v>0</v>
      </c>
      <c r="AP393" s="853">
        <f t="shared" si="66"/>
        <v>0</v>
      </c>
      <c r="AQ393" s="854">
        <f>IFERROR(P393*'Input Sheet'!$F$8/(((AI393)*AK393*2)-AN393),0)</f>
        <v>0</v>
      </c>
      <c r="AR393" s="854">
        <f>IFERROR(($P393-$AF393)*'Input Sheet'!$F$8/(((AI393)*AK393*2)-AN393),0)</f>
        <v>0</v>
      </c>
    </row>
    <row r="394" spans="2:44" s="798" customFormat="1" ht="30" customHeight="1" thickBot="1" x14ac:dyDescent="0.3">
      <c r="B394" s="835"/>
      <c r="C394" s="836"/>
      <c r="D394" s="836"/>
      <c r="E394" s="837"/>
      <c r="F394" s="837"/>
      <c r="G394" s="838"/>
      <c r="H394" s="838"/>
      <c r="I394" s="839"/>
      <c r="J394" s="839"/>
      <c r="K394" s="840"/>
      <c r="L394" s="841"/>
      <c r="M394" s="841"/>
      <c r="N394" s="842"/>
      <c r="O394" s="842"/>
      <c r="P394" s="843"/>
      <c r="Q394" s="843"/>
      <c r="R394" s="843"/>
      <c r="S394" s="844">
        <f t="shared" ref="S394:S457" si="71">IFERROR(M394/L394,0)</f>
        <v>0</v>
      </c>
      <c r="T394" s="838"/>
      <c r="U394" s="842"/>
      <c r="V394" s="843"/>
      <c r="W394" s="843"/>
      <c r="X394" s="843"/>
      <c r="Y394" s="843"/>
      <c r="Z394" s="843"/>
      <c r="AA394" s="837"/>
      <c r="AB394" s="837"/>
      <c r="AC394" s="845">
        <f t="shared" ref="AC394:AC457" si="72">IFERROR(L394/K394,0)</f>
        <v>0</v>
      </c>
      <c r="AD394" s="846">
        <f t="shared" ref="AD394:AD457" si="73">IFERROR(P394*12/L394,0)</f>
        <v>0</v>
      </c>
      <c r="AE394" s="847">
        <f t="shared" ref="AE394:AE457" si="74">IFERROR(P394*12/K394,0)</f>
        <v>0</v>
      </c>
      <c r="AF394" s="855">
        <f t="shared" si="67"/>
        <v>0</v>
      </c>
      <c r="AG394" s="848">
        <f>IF('Input Sheet'!$C$15="Yes",'Input Sheet'!$F$8,0)</f>
        <v>0</v>
      </c>
      <c r="AH394" s="846">
        <f>IF('Input Sheet'!$C$15="Yes",Rates!$E$45,0)</f>
        <v>0</v>
      </c>
      <c r="AI394" s="849">
        <f>IF('Input Sheet'!$C$15="Yes",'Input Sheet'!$F$11,0)</f>
        <v>0</v>
      </c>
      <c r="AJ394" s="850">
        <f>IF('Input Sheet'!$C$15="Yes",'Input Sheet'!$F$7,0)</f>
        <v>0</v>
      </c>
      <c r="AK394" s="856">
        <f t="shared" si="68"/>
        <v>0</v>
      </c>
      <c r="AL394" s="856">
        <f t="shared" si="69"/>
        <v>0</v>
      </c>
      <c r="AM394" s="856">
        <f t="shared" ref="AM394:AM457" si="75">(AL394)+(AK394*0.75%)</f>
        <v>0</v>
      </c>
      <c r="AN394" s="856">
        <f t="shared" si="70"/>
        <v>0</v>
      </c>
      <c r="AO394" s="852">
        <f t="shared" ref="AO394:AO457" si="76">IFERROR(AM394/L394,0)</f>
        <v>0</v>
      </c>
      <c r="AP394" s="853">
        <f t="shared" ref="AP394:AP457" si="77">AI394</f>
        <v>0</v>
      </c>
      <c r="AQ394" s="854">
        <f>IFERROR(P394*'Input Sheet'!$F$8/(((AI394)*AK394*2)-AN394),0)</f>
        <v>0</v>
      </c>
      <c r="AR394" s="854">
        <f>IFERROR(($P394-$AF394)*'Input Sheet'!$F$8/(((AI394)*AK394*2)-AN394),0)</f>
        <v>0</v>
      </c>
    </row>
    <row r="395" spans="2:44" s="798" customFormat="1" ht="30" customHeight="1" thickBot="1" x14ac:dyDescent="0.3">
      <c r="B395" s="835"/>
      <c r="C395" s="836"/>
      <c r="D395" s="836"/>
      <c r="E395" s="837"/>
      <c r="F395" s="837"/>
      <c r="G395" s="838"/>
      <c r="H395" s="838"/>
      <c r="I395" s="839"/>
      <c r="J395" s="839"/>
      <c r="K395" s="840"/>
      <c r="L395" s="841"/>
      <c r="M395" s="841"/>
      <c r="N395" s="842"/>
      <c r="O395" s="842"/>
      <c r="P395" s="843"/>
      <c r="Q395" s="843"/>
      <c r="R395" s="843"/>
      <c r="S395" s="844">
        <f t="shared" si="71"/>
        <v>0</v>
      </c>
      <c r="T395" s="838"/>
      <c r="U395" s="842"/>
      <c r="V395" s="843"/>
      <c r="W395" s="843"/>
      <c r="X395" s="843"/>
      <c r="Y395" s="843"/>
      <c r="Z395" s="843"/>
      <c r="AA395" s="837"/>
      <c r="AB395" s="837"/>
      <c r="AC395" s="845">
        <f t="shared" si="72"/>
        <v>0</v>
      </c>
      <c r="AD395" s="846">
        <f t="shared" si="73"/>
        <v>0</v>
      </c>
      <c r="AE395" s="847">
        <f t="shared" si="74"/>
        <v>0</v>
      </c>
      <c r="AF395" s="855">
        <f t="shared" si="67"/>
        <v>0</v>
      </c>
      <c r="AG395" s="848">
        <f>IF('Input Sheet'!$C$15="Yes",'Input Sheet'!$F$8,0)</f>
        <v>0</v>
      </c>
      <c r="AH395" s="846">
        <f>IF('Input Sheet'!$C$15="Yes",Rates!$E$45,0)</f>
        <v>0</v>
      </c>
      <c r="AI395" s="849">
        <f>IF('Input Sheet'!$C$15="Yes",'Input Sheet'!$F$11,0)</f>
        <v>0</v>
      </c>
      <c r="AJ395" s="850">
        <f>IF('Input Sheet'!$C$15="Yes",'Input Sheet'!$F$7,0)</f>
        <v>0</v>
      </c>
      <c r="AK395" s="856">
        <f t="shared" si="68"/>
        <v>0</v>
      </c>
      <c r="AL395" s="856">
        <f t="shared" si="69"/>
        <v>0</v>
      </c>
      <c r="AM395" s="856">
        <f t="shared" si="75"/>
        <v>0</v>
      </c>
      <c r="AN395" s="856">
        <f t="shared" si="70"/>
        <v>0</v>
      </c>
      <c r="AO395" s="852">
        <f t="shared" si="76"/>
        <v>0</v>
      </c>
      <c r="AP395" s="853">
        <f t="shared" si="77"/>
        <v>0</v>
      </c>
      <c r="AQ395" s="854">
        <f>IFERROR(P395*'Input Sheet'!$F$8/(((AI395)*AK395*2)-AN395),0)</f>
        <v>0</v>
      </c>
      <c r="AR395" s="854">
        <f>IFERROR(($P395-$AF395)*'Input Sheet'!$F$8/(((AI395)*AK395*2)-AN395),0)</f>
        <v>0</v>
      </c>
    </row>
    <row r="396" spans="2:44" s="798" customFormat="1" ht="30" customHeight="1" thickBot="1" x14ac:dyDescent="0.3">
      <c r="B396" s="835"/>
      <c r="C396" s="836"/>
      <c r="D396" s="836"/>
      <c r="E396" s="837"/>
      <c r="F396" s="837"/>
      <c r="G396" s="838"/>
      <c r="H396" s="838"/>
      <c r="I396" s="839"/>
      <c r="J396" s="839"/>
      <c r="K396" s="840"/>
      <c r="L396" s="841"/>
      <c r="M396" s="841"/>
      <c r="N396" s="842"/>
      <c r="O396" s="842"/>
      <c r="P396" s="843"/>
      <c r="Q396" s="843"/>
      <c r="R396" s="843"/>
      <c r="S396" s="844">
        <f t="shared" si="71"/>
        <v>0</v>
      </c>
      <c r="T396" s="838"/>
      <c r="U396" s="842"/>
      <c r="V396" s="843"/>
      <c r="W396" s="843"/>
      <c r="X396" s="843"/>
      <c r="Y396" s="843"/>
      <c r="Z396" s="843"/>
      <c r="AA396" s="837"/>
      <c r="AB396" s="837"/>
      <c r="AC396" s="845">
        <f t="shared" si="72"/>
        <v>0</v>
      </c>
      <c r="AD396" s="846">
        <f t="shared" si="73"/>
        <v>0</v>
      </c>
      <c r="AE396" s="847">
        <f t="shared" si="74"/>
        <v>0</v>
      </c>
      <c r="AF396" s="855">
        <f t="shared" si="67"/>
        <v>0</v>
      </c>
      <c r="AG396" s="848">
        <f>IF('Input Sheet'!$C$15="Yes",'Input Sheet'!$F$8,0)</f>
        <v>0</v>
      </c>
      <c r="AH396" s="846">
        <f>IF('Input Sheet'!$C$15="Yes",Rates!$E$45,0)</f>
        <v>0</v>
      </c>
      <c r="AI396" s="849">
        <f>IF('Input Sheet'!$C$15="Yes",'Input Sheet'!$F$11,0)</f>
        <v>0</v>
      </c>
      <c r="AJ396" s="850">
        <f>IF('Input Sheet'!$C$15="Yes",'Input Sheet'!$F$7,0)</f>
        <v>0</v>
      </c>
      <c r="AK396" s="856">
        <f t="shared" si="68"/>
        <v>0</v>
      </c>
      <c r="AL396" s="856">
        <f t="shared" si="69"/>
        <v>0</v>
      </c>
      <c r="AM396" s="856">
        <f t="shared" si="75"/>
        <v>0</v>
      </c>
      <c r="AN396" s="856">
        <f t="shared" si="70"/>
        <v>0</v>
      </c>
      <c r="AO396" s="852">
        <f t="shared" si="76"/>
        <v>0</v>
      </c>
      <c r="AP396" s="853">
        <f t="shared" si="77"/>
        <v>0</v>
      </c>
      <c r="AQ396" s="854">
        <f>IFERROR(P396*'Input Sheet'!$F$8/(((AI396)*AK396*2)-AN396),0)</f>
        <v>0</v>
      </c>
      <c r="AR396" s="854">
        <f>IFERROR(($P396-$AF396)*'Input Sheet'!$F$8/(((AI396)*AK396*2)-AN396),0)</f>
        <v>0</v>
      </c>
    </row>
    <row r="397" spans="2:44" s="798" customFormat="1" ht="30" customHeight="1" thickBot="1" x14ac:dyDescent="0.3">
      <c r="B397" s="835"/>
      <c r="C397" s="836"/>
      <c r="D397" s="836"/>
      <c r="E397" s="837"/>
      <c r="F397" s="837"/>
      <c r="G397" s="838"/>
      <c r="H397" s="838"/>
      <c r="I397" s="839"/>
      <c r="J397" s="839"/>
      <c r="K397" s="840"/>
      <c r="L397" s="841"/>
      <c r="M397" s="841"/>
      <c r="N397" s="842"/>
      <c r="O397" s="842"/>
      <c r="P397" s="843"/>
      <c r="Q397" s="843"/>
      <c r="R397" s="843"/>
      <c r="S397" s="844">
        <f t="shared" si="71"/>
        <v>0</v>
      </c>
      <c r="T397" s="838"/>
      <c r="U397" s="842"/>
      <c r="V397" s="843"/>
      <c r="W397" s="843"/>
      <c r="X397" s="843"/>
      <c r="Y397" s="843"/>
      <c r="Z397" s="843"/>
      <c r="AA397" s="837"/>
      <c r="AB397" s="837"/>
      <c r="AC397" s="845">
        <f t="shared" si="72"/>
        <v>0</v>
      </c>
      <c r="AD397" s="846">
        <f t="shared" si="73"/>
        <v>0</v>
      </c>
      <c r="AE397" s="847">
        <f t="shared" si="74"/>
        <v>0</v>
      </c>
      <c r="AF397" s="855">
        <f t="shared" si="67"/>
        <v>0</v>
      </c>
      <c r="AG397" s="848">
        <f>IF('Input Sheet'!$C$15="Yes",'Input Sheet'!$F$8,0)</f>
        <v>0</v>
      </c>
      <c r="AH397" s="846">
        <f>IF('Input Sheet'!$C$15="Yes",Rates!$E$45,0)</f>
        <v>0</v>
      </c>
      <c r="AI397" s="849">
        <f>IF('Input Sheet'!$C$15="Yes",'Input Sheet'!$F$11,0)</f>
        <v>0</v>
      </c>
      <c r="AJ397" s="850">
        <f>IF('Input Sheet'!$C$15="Yes",'Input Sheet'!$F$7,0)</f>
        <v>0</v>
      </c>
      <c r="AK397" s="856">
        <f t="shared" si="68"/>
        <v>0</v>
      </c>
      <c r="AL397" s="856">
        <f t="shared" si="69"/>
        <v>0</v>
      </c>
      <c r="AM397" s="856">
        <f t="shared" si="75"/>
        <v>0</v>
      </c>
      <c r="AN397" s="856">
        <f t="shared" si="70"/>
        <v>0</v>
      </c>
      <c r="AO397" s="852">
        <f t="shared" si="76"/>
        <v>0</v>
      </c>
      <c r="AP397" s="853">
        <f t="shared" si="77"/>
        <v>0</v>
      </c>
      <c r="AQ397" s="854">
        <f>IFERROR(P397*'Input Sheet'!$F$8/(((AI397)*AK397*2)-AN397),0)</f>
        <v>0</v>
      </c>
      <c r="AR397" s="854">
        <f>IFERROR(($P397-$AF397)*'Input Sheet'!$F$8/(((AI397)*AK397*2)-AN397),0)</f>
        <v>0</v>
      </c>
    </row>
    <row r="398" spans="2:44" s="798" customFormat="1" ht="30" customHeight="1" thickBot="1" x14ac:dyDescent="0.3">
      <c r="B398" s="835"/>
      <c r="C398" s="836"/>
      <c r="D398" s="836"/>
      <c r="E398" s="837"/>
      <c r="F398" s="837"/>
      <c r="G398" s="838"/>
      <c r="H398" s="838"/>
      <c r="I398" s="839"/>
      <c r="J398" s="839"/>
      <c r="K398" s="840"/>
      <c r="L398" s="841"/>
      <c r="M398" s="841"/>
      <c r="N398" s="842"/>
      <c r="O398" s="842"/>
      <c r="P398" s="843"/>
      <c r="Q398" s="843"/>
      <c r="R398" s="843"/>
      <c r="S398" s="844">
        <f t="shared" si="71"/>
        <v>0</v>
      </c>
      <c r="T398" s="838"/>
      <c r="U398" s="842"/>
      <c r="V398" s="843"/>
      <c r="W398" s="843"/>
      <c r="X398" s="843"/>
      <c r="Y398" s="843"/>
      <c r="Z398" s="843"/>
      <c r="AA398" s="837"/>
      <c r="AB398" s="837"/>
      <c r="AC398" s="845">
        <f t="shared" si="72"/>
        <v>0</v>
      </c>
      <c r="AD398" s="846">
        <f t="shared" si="73"/>
        <v>0</v>
      </c>
      <c r="AE398" s="847">
        <f t="shared" si="74"/>
        <v>0</v>
      </c>
      <c r="AF398" s="855">
        <f t="shared" si="67"/>
        <v>0</v>
      </c>
      <c r="AG398" s="848">
        <f>IF('Input Sheet'!$C$15="Yes",'Input Sheet'!$F$8,0)</f>
        <v>0</v>
      </c>
      <c r="AH398" s="846">
        <f>IF('Input Sheet'!$C$15="Yes",Rates!$E$45,0)</f>
        <v>0</v>
      </c>
      <c r="AI398" s="849">
        <f>IF('Input Sheet'!$C$15="Yes",'Input Sheet'!$F$11,0)</f>
        <v>0</v>
      </c>
      <c r="AJ398" s="850">
        <f>IF('Input Sheet'!$C$15="Yes",'Input Sheet'!$F$7,0)</f>
        <v>0</v>
      </c>
      <c r="AK398" s="856">
        <f t="shared" si="68"/>
        <v>0</v>
      </c>
      <c r="AL398" s="856">
        <f t="shared" si="69"/>
        <v>0</v>
      </c>
      <c r="AM398" s="856">
        <f t="shared" si="75"/>
        <v>0</v>
      </c>
      <c r="AN398" s="856">
        <f t="shared" si="70"/>
        <v>0</v>
      </c>
      <c r="AO398" s="852">
        <f t="shared" si="76"/>
        <v>0</v>
      </c>
      <c r="AP398" s="853">
        <f t="shared" si="77"/>
        <v>0</v>
      </c>
      <c r="AQ398" s="854">
        <f>IFERROR(P398*'Input Sheet'!$F$8/(((AI398)*AK398*2)-AN398),0)</f>
        <v>0</v>
      </c>
      <c r="AR398" s="854">
        <f>IFERROR(($P398-$AF398)*'Input Sheet'!$F$8/(((AI398)*AK398*2)-AN398),0)</f>
        <v>0</v>
      </c>
    </row>
    <row r="399" spans="2:44" s="798" customFormat="1" ht="30" customHeight="1" thickBot="1" x14ac:dyDescent="0.3">
      <c r="B399" s="835"/>
      <c r="C399" s="836"/>
      <c r="D399" s="836"/>
      <c r="E399" s="837"/>
      <c r="F399" s="837"/>
      <c r="G399" s="838"/>
      <c r="H399" s="838"/>
      <c r="I399" s="839"/>
      <c r="J399" s="839"/>
      <c r="K399" s="840"/>
      <c r="L399" s="841"/>
      <c r="M399" s="841"/>
      <c r="N399" s="842"/>
      <c r="O399" s="842"/>
      <c r="P399" s="843"/>
      <c r="Q399" s="843"/>
      <c r="R399" s="843"/>
      <c r="S399" s="844">
        <f t="shared" si="71"/>
        <v>0</v>
      </c>
      <c r="T399" s="838"/>
      <c r="U399" s="842"/>
      <c r="V399" s="843"/>
      <c r="W399" s="843"/>
      <c r="X399" s="843"/>
      <c r="Y399" s="843"/>
      <c r="Z399" s="843"/>
      <c r="AA399" s="837"/>
      <c r="AB399" s="837"/>
      <c r="AC399" s="845">
        <f t="shared" si="72"/>
        <v>0</v>
      </c>
      <c r="AD399" s="846">
        <f t="shared" si="73"/>
        <v>0</v>
      </c>
      <c r="AE399" s="847">
        <f t="shared" si="74"/>
        <v>0</v>
      </c>
      <c r="AF399" s="855">
        <f t="shared" si="67"/>
        <v>0</v>
      </c>
      <c r="AG399" s="848">
        <f>IF('Input Sheet'!$C$15="Yes",'Input Sheet'!$F$8,0)</f>
        <v>0</v>
      </c>
      <c r="AH399" s="846">
        <f>IF('Input Sheet'!$C$15="Yes",Rates!$E$45,0)</f>
        <v>0</v>
      </c>
      <c r="AI399" s="849">
        <f>IF('Input Sheet'!$C$15="Yes",'Input Sheet'!$F$11,0)</f>
        <v>0</v>
      </c>
      <c r="AJ399" s="850">
        <f>IF('Input Sheet'!$C$15="Yes",'Input Sheet'!$F$7,0)</f>
        <v>0</v>
      </c>
      <c r="AK399" s="856">
        <f t="shared" si="68"/>
        <v>0</v>
      </c>
      <c r="AL399" s="856">
        <f t="shared" si="69"/>
        <v>0</v>
      </c>
      <c r="AM399" s="856">
        <f t="shared" si="75"/>
        <v>0</v>
      </c>
      <c r="AN399" s="856">
        <f t="shared" si="70"/>
        <v>0</v>
      </c>
      <c r="AO399" s="852">
        <f t="shared" si="76"/>
        <v>0</v>
      </c>
      <c r="AP399" s="853">
        <f t="shared" si="77"/>
        <v>0</v>
      </c>
      <c r="AQ399" s="854">
        <f>IFERROR(P399*'Input Sheet'!$F$8/(((AI399)*AK399*2)-AN399),0)</f>
        <v>0</v>
      </c>
      <c r="AR399" s="854">
        <f>IFERROR(($P399-$AF399)*'Input Sheet'!$F$8/(((AI399)*AK399*2)-AN399),0)</f>
        <v>0</v>
      </c>
    </row>
    <row r="400" spans="2:44" s="798" customFormat="1" ht="30" customHeight="1" thickBot="1" x14ac:dyDescent="0.3">
      <c r="B400" s="835"/>
      <c r="C400" s="836"/>
      <c r="D400" s="836"/>
      <c r="E400" s="837"/>
      <c r="F400" s="837"/>
      <c r="G400" s="838"/>
      <c r="H400" s="838"/>
      <c r="I400" s="839"/>
      <c r="J400" s="839"/>
      <c r="K400" s="840"/>
      <c r="L400" s="841"/>
      <c r="M400" s="841"/>
      <c r="N400" s="842"/>
      <c r="O400" s="842"/>
      <c r="P400" s="843"/>
      <c r="Q400" s="843"/>
      <c r="R400" s="843"/>
      <c r="S400" s="844">
        <f t="shared" si="71"/>
        <v>0</v>
      </c>
      <c r="T400" s="838"/>
      <c r="U400" s="842"/>
      <c r="V400" s="843"/>
      <c r="W400" s="843"/>
      <c r="X400" s="843"/>
      <c r="Y400" s="843"/>
      <c r="Z400" s="843"/>
      <c r="AA400" s="837"/>
      <c r="AB400" s="837"/>
      <c r="AC400" s="845">
        <f t="shared" si="72"/>
        <v>0</v>
      </c>
      <c r="AD400" s="846">
        <f t="shared" si="73"/>
        <v>0</v>
      </c>
      <c r="AE400" s="847">
        <f t="shared" si="74"/>
        <v>0</v>
      </c>
      <c r="AF400" s="855">
        <f t="shared" si="67"/>
        <v>0</v>
      </c>
      <c r="AG400" s="848">
        <f>IF('Input Sheet'!$C$15="Yes",'Input Sheet'!$F$8,0)</f>
        <v>0</v>
      </c>
      <c r="AH400" s="846">
        <f>IF('Input Sheet'!$C$15="Yes",Rates!$E$45,0)</f>
        <v>0</v>
      </c>
      <c r="AI400" s="849">
        <f>IF('Input Sheet'!$C$15="Yes",'Input Sheet'!$F$11,0)</f>
        <v>0</v>
      </c>
      <c r="AJ400" s="850">
        <f>IF('Input Sheet'!$C$15="Yes",'Input Sheet'!$F$7,0)</f>
        <v>0</v>
      </c>
      <c r="AK400" s="856">
        <f t="shared" si="68"/>
        <v>0</v>
      </c>
      <c r="AL400" s="856">
        <f t="shared" si="69"/>
        <v>0</v>
      </c>
      <c r="AM400" s="856">
        <f t="shared" si="75"/>
        <v>0</v>
      </c>
      <c r="AN400" s="856">
        <f t="shared" si="70"/>
        <v>0</v>
      </c>
      <c r="AO400" s="852">
        <f t="shared" si="76"/>
        <v>0</v>
      </c>
      <c r="AP400" s="853">
        <f t="shared" si="77"/>
        <v>0</v>
      </c>
      <c r="AQ400" s="854">
        <f>IFERROR(P400*'Input Sheet'!$F$8/(((AI400)*AK400*2)-AN400),0)</f>
        <v>0</v>
      </c>
      <c r="AR400" s="854">
        <f>IFERROR(($P400-$AF400)*'Input Sheet'!$F$8/(((AI400)*AK400*2)-AN400),0)</f>
        <v>0</v>
      </c>
    </row>
    <row r="401" spans="2:44" s="798" customFormat="1" ht="30" customHeight="1" thickBot="1" x14ac:dyDescent="0.3">
      <c r="B401" s="835"/>
      <c r="C401" s="836"/>
      <c r="D401" s="836"/>
      <c r="E401" s="837"/>
      <c r="F401" s="837"/>
      <c r="G401" s="838"/>
      <c r="H401" s="838"/>
      <c r="I401" s="839"/>
      <c r="J401" s="839"/>
      <c r="K401" s="840"/>
      <c r="L401" s="841"/>
      <c r="M401" s="841"/>
      <c r="N401" s="842"/>
      <c r="O401" s="842"/>
      <c r="P401" s="843"/>
      <c r="Q401" s="843"/>
      <c r="R401" s="843"/>
      <c r="S401" s="844">
        <f t="shared" si="71"/>
        <v>0</v>
      </c>
      <c r="T401" s="838"/>
      <c r="U401" s="842"/>
      <c r="V401" s="843"/>
      <c r="W401" s="843"/>
      <c r="X401" s="843"/>
      <c r="Y401" s="843"/>
      <c r="Z401" s="843"/>
      <c r="AA401" s="837"/>
      <c r="AB401" s="837"/>
      <c r="AC401" s="845">
        <f t="shared" si="72"/>
        <v>0</v>
      </c>
      <c r="AD401" s="846">
        <f t="shared" si="73"/>
        <v>0</v>
      </c>
      <c r="AE401" s="847">
        <f t="shared" si="74"/>
        <v>0</v>
      </c>
      <c r="AF401" s="855">
        <f t="shared" si="67"/>
        <v>0</v>
      </c>
      <c r="AG401" s="848">
        <f>IF('Input Sheet'!$C$15="Yes",'Input Sheet'!$F$8,0)</f>
        <v>0</v>
      </c>
      <c r="AH401" s="846">
        <f>IF('Input Sheet'!$C$15="Yes",Rates!$E$45,0)</f>
        <v>0</v>
      </c>
      <c r="AI401" s="849">
        <f>IF('Input Sheet'!$C$15="Yes",'Input Sheet'!$F$11,0)</f>
        <v>0</v>
      </c>
      <c r="AJ401" s="850">
        <f>IF('Input Sheet'!$C$15="Yes",'Input Sheet'!$F$7,0)</f>
        <v>0</v>
      </c>
      <c r="AK401" s="856">
        <f t="shared" si="68"/>
        <v>0</v>
      </c>
      <c r="AL401" s="856">
        <f t="shared" si="69"/>
        <v>0</v>
      </c>
      <c r="AM401" s="856">
        <f t="shared" si="75"/>
        <v>0</v>
      </c>
      <c r="AN401" s="856">
        <f t="shared" si="70"/>
        <v>0</v>
      </c>
      <c r="AO401" s="852">
        <f t="shared" si="76"/>
        <v>0</v>
      </c>
      <c r="AP401" s="853">
        <f t="shared" si="77"/>
        <v>0</v>
      </c>
      <c r="AQ401" s="854">
        <f>IFERROR(P401*'Input Sheet'!$F$8/(((AI401)*AK401*2)-AN401),0)</f>
        <v>0</v>
      </c>
      <c r="AR401" s="854">
        <f>IFERROR(($P401-$AF401)*'Input Sheet'!$F$8/(((AI401)*AK401*2)-AN401),0)</f>
        <v>0</v>
      </c>
    </row>
    <row r="402" spans="2:44" s="798" customFormat="1" ht="30" customHeight="1" thickBot="1" x14ac:dyDescent="0.3">
      <c r="B402" s="835"/>
      <c r="C402" s="836"/>
      <c r="D402" s="836"/>
      <c r="E402" s="837"/>
      <c r="F402" s="837"/>
      <c r="G402" s="838"/>
      <c r="H402" s="838"/>
      <c r="I402" s="839"/>
      <c r="J402" s="839"/>
      <c r="K402" s="840"/>
      <c r="L402" s="841"/>
      <c r="M402" s="841"/>
      <c r="N402" s="842"/>
      <c r="O402" s="842"/>
      <c r="P402" s="843"/>
      <c r="Q402" s="843"/>
      <c r="R402" s="843"/>
      <c r="S402" s="844">
        <f t="shared" si="71"/>
        <v>0</v>
      </c>
      <c r="T402" s="838"/>
      <c r="U402" s="842"/>
      <c r="V402" s="843"/>
      <c r="W402" s="843"/>
      <c r="X402" s="843"/>
      <c r="Y402" s="843"/>
      <c r="Z402" s="843"/>
      <c r="AA402" s="837"/>
      <c r="AB402" s="837"/>
      <c r="AC402" s="845">
        <f t="shared" si="72"/>
        <v>0</v>
      </c>
      <c r="AD402" s="846">
        <f t="shared" si="73"/>
        <v>0</v>
      </c>
      <c r="AE402" s="847">
        <f t="shared" si="74"/>
        <v>0</v>
      </c>
      <c r="AF402" s="855">
        <f t="shared" si="67"/>
        <v>0</v>
      </c>
      <c r="AG402" s="848">
        <f>IF('Input Sheet'!$C$15="Yes",'Input Sheet'!$F$8,0)</f>
        <v>0</v>
      </c>
      <c r="AH402" s="846">
        <f>IF('Input Sheet'!$C$15="Yes",Rates!$E$45,0)</f>
        <v>0</v>
      </c>
      <c r="AI402" s="849">
        <f>IF('Input Sheet'!$C$15="Yes",'Input Sheet'!$F$11,0)</f>
        <v>0</v>
      </c>
      <c r="AJ402" s="850">
        <f>IF('Input Sheet'!$C$15="Yes",'Input Sheet'!$F$7,0)</f>
        <v>0</v>
      </c>
      <c r="AK402" s="856">
        <f t="shared" si="68"/>
        <v>0</v>
      </c>
      <c r="AL402" s="856">
        <f t="shared" si="69"/>
        <v>0</v>
      </c>
      <c r="AM402" s="856">
        <f t="shared" si="75"/>
        <v>0</v>
      </c>
      <c r="AN402" s="856">
        <f t="shared" si="70"/>
        <v>0</v>
      </c>
      <c r="AO402" s="852">
        <f t="shared" si="76"/>
        <v>0</v>
      </c>
      <c r="AP402" s="853">
        <f t="shared" si="77"/>
        <v>0</v>
      </c>
      <c r="AQ402" s="854">
        <f>IFERROR(P402*'Input Sheet'!$F$8/(((AI402)*AK402*2)-AN402),0)</f>
        <v>0</v>
      </c>
      <c r="AR402" s="854">
        <f>IFERROR(($P402-$AF402)*'Input Sheet'!$F$8/(((AI402)*AK402*2)-AN402),0)</f>
        <v>0</v>
      </c>
    </row>
    <row r="403" spans="2:44" s="798" customFormat="1" ht="30" customHeight="1" thickBot="1" x14ac:dyDescent="0.3">
      <c r="B403" s="835"/>
      <c r="C403" s="836"/>
      <c r="D403" s="836"/>
      <c r="E403" s="837"/>
      <c r="F403" s="837"/>
      <c r="G403" s="838"/>
      <c r="H403" s="838"/>
      <c r="I403" s="839"/>
      <c r="J403" s="839"/>
      <c r="K403" s="840"/>
      <c r="L403" s="841"/>
      <c r="M403" s="841"/>
      <c r="N403" s="842"/>
      <c r="O403" s="842"/>
      <c r="P403" s="843"/>
      <c r="Q403" s="843"/>
      <c r="R403" s="843"/>
      <c r="S403" s="844">
        <f t="shared" si="71"/>
        <v>0</v>
      </c>
      <c r="T403" s="838"/>
      <c r="U403" s="842"/>
      <c r="V403" s="843"/>
      <c r="W403" s="843"/>
      <c r="X403" s="843"/>
      <c r="Y403" s="843"/>
      <c r="Z403" s="843"/>
      <c r="AA403" s="837"/>
      <c r="AB403" s="837"/>
      <c r="AC403" s="845">
        <f t="shared" si="72"/>
        <v>0</v>
      </c>
      <c r="AD403" s="846">
        <f t="shared" si="73"/>
        <v>0</v>
      </c>
      <c r="AE403" s="847">
        <f t="shared" si="74"/>
        <v>0</v>
      </c>
      <c r="AF403" s="855">
        <f t="shared" si="67"/>
        <v>0</v>
      </c>
      <c r="AG403" s="848">
        <f>IF('Input Sheet'!$C$15="Yes",'Input Sheet'!$F$8,0)</f>
        <v>0</v>
      </c>
      <c r="AH403" s="846">
        <f>IF('Input Sheet'!$C$15="Yes",Rates!$E$45,0)</f>
        <v>0</v>
      </c>
      <c r="AI403" s="849">
        <f>IF('Input Sheet'!$C$15="Yes",'Input Sheet'!$F$11,0)</f>
        <v>0</v>
      </c>
      <c r="AJ403" s="850">
        <f>IF('Input Sheet'!$C$15="Yes",'Input Sheet'!$F$7,0)</f>
        <v>0</v>
      </c>
      <c r="AK403" s="856">
        <f t="shared" si="68"/>
        <v>0</v>
      </c>
      <c r="AL403" s="856">
        <f t="shared" si="69"/>
        <v>0</v>
      </c>
      <c r="AM403" s="856">
        <f t="shared" si="75"/>
        <v>0</v>
      </c>
      <c r="AN403" s="856">
        <f t="shared" si="70"/>
        <v>0</v>
      </c>
      <c r="AO403" s="852">
        <f t="shared" si="76"/>
        <v>0</v>
      </c>
      <c r="AP403" s="853">
        <f t="shared" si="77"/>
        <v>0</v>
      </c>
      <c r="AQ403" s="854">
        <f>IFERROR(P403*'Input Sheet'!$F$8/(((AI403)*AK403*2)-AN403),0)</f>
        <v>0</v>
      </c>
      <c r="AR403" s="854">
        <f>IFERROR(($P403-$AF403)*'Input Sheet'!$F$8/(((AI403)*AK403*2)-AN403),0)</f>
        <v>0</v>
      </c>
    </row>
    <row r="404" spans="2:44" s="798" customFormat="1" ht="30" customHeight="1" thickBot="1" x14ac:dyDescent="0.3">
      <c r="B404" s="835"/>
      <c r="C404" s="836"/>
      <c r="D404" s="836"/>
      <c r="E404" s="837"/>
      <c r="F404" s="837"/>
      <c r="G404" s="838"/>
      <c r="H404" s="838"/>
      <c r="I404" s="839"/>
      <c r="J404" s="839"/>
      <c r="K404" s="840"/>
      <c r="L404" s="841"/>
      <c r="M404" s="841"/>
      <c r="N404" s="842"/>
      <c r="O404" s="842"/>
      <c r="P404" s="843"/>
      <c r="Q404" s="843"/>
      <c r="R404" s="843"/>
      <c r="S404" s="844">
        <f t="shared" si="71"/>
        <v>0</v>
      </c>
      <c r="T404" s="838"/>
      <c r="U404" s="842"/>
      <c r="V404" s="843"/>
      <c r="W404" s="843"/>
      <c r="X404" s="843"/>
      <c r="Y404" s="843"/>
      <c r="Z404" s="843"/>
      <c r="AA404" s="837"/>
      <c r="AB404" s="837"/>
      <c r="AC404" s="845">
        <f t="shared" si="72"/>
        <v>0</v>
      </c>
      <c r="AD404" s="846">
        <f t="shared" si="73"/>
        <v>0</v>
      </c>
      <c r="AE404" s="847">
        <f t="shared" si="74"/>
        <v>0</v>
      </c>
      <c r="AF404" s="855">
        <f t="shared" si="67"/>
        <v>0</v>
      </c>
      <c r="AG404" s="848">
        <f>IF('Input Sheet'!$C$15="Yes",'Input Sheet'!$F$8,0)</f>
        <v>0</v>
      </c>
      <c r="AH404" s="846">
        <f>IF('Input Sheet'!$C$15="Yes",Rates!$E$45,0)</f>
        <v>0</v>
      </c>
      <c r="AI404" s="849">
        <f>IF('Input Sheet'!$C$15="Yes",'Input Sheet'!$F$11,0)</f>
        <v>0</v>
      </c>
      <c r="AJ404" s="850">
        <f>IF('Input Sheet'!$C$15="Yes",'Input Sheet'!$F$7,0)</f>
        <v>0</v>
      </c>
      <c r="AK404" s="856">
        <f t="shared" si="68"/>
        <v>0</v>
      </c>
      <c r="AL404" s="856">
        <f t="shared" si="69"/>
        <v>0</v>
      </c>
      <c r="AM404" s="856">
        <f t="shared" si="75"/>
        <v>0</v>
      </c>
      <c r="AN404" s="856">
        <f t="shared" si="70"/>
        <v>0</v>
      </c>
      <c r="AO404" s="852">
        <f t="shared" si="76"/>
        <v>0</v>
      </c>
      <c r="AP404" s="853">
        <f t="shared" si="77"/>
        <v>0</v>
      </c>
      <c r="AQ404" s="854">
        <f>IFERROR(P404*'Input Sheet'!$F$8/(((AI404)*AK404*2)-AN404),0)</f>
        <v>0</v>
      </c>
      <c r="AR404" s="854">
        <f>IFERROR(($P404-$AF404)*'Input Sheet'!$F$8/(((AI404)*AK404*2)-AN404),0)</f>
        <v>0</v>
      </c>
    </row>
    <row r="405" spans="2:44" s="798" customFormat="1" ht="30" customHeight="1" thickBot="1" x14ac:dyDescent="0.3">
      <c r="B405" s="835"/>
      <c r="C405" s="836"/>
      <c r="D405" s="836"/>
      <c r="E405" s="837"/>
      <c r="F405" s="837"/>
      <c r="G405" s="838"/>
      <c r="H405" s="838"/>
      <c r="I405" s="839"/>
      <c r="J405" s="839"/>
      <c r="K405" s="840"/>
      <c r="L405" s="841"/>
      <c r="M405" s="841"/>
      <c r="N405" s="842"/>
      <c r="O405" s="842"/>
      <c r="P405" s="843"/>
      <c r="Q405" s="843"/>
      <c r="R405" s="843"/>
      <c r="S405" s="844">
        <f t="shared" si="71"/>
        <v>0</v>
      </c>
      <c r="T405" s="838"/>
      <c r="U405" s="842"/>
      <c r="V405" s="843"/>
      <c r="W405" s="843"/>
      <c r="X405" s="843"/>
      <c r="Y405" s="843"/>
      <c r="Z405" s="843"/>
      <c r="AA405" s="837"/>
      <c r="AB405" s="837"/>
      <c r="AC405" s="845">
        <f t="shared" si="72"/>
        <v>0</v>
      </c>
      <c r="AD405" s="846">
        <f t="shared" si="73"/>
        <v>0</v>
      </c>
      <c r="AE405" s="847">
        <f t="shared" si="74"/>
        <v>0</v>
      </c>
      <c r="AF405" s="855">
        <f t="shared" si="67"/>
        <v>0</v>
      </c>
      <c r="AG405" s="848">
        <f>IF('Input Sheet'!$C$15="Yes",'Input Sheet'!$F$8,0)</f>
        <v>0</v>
      </c>
      <c r="AH405" s="846">
        <f>IF('Input Sheet'!$C$15="Yes",Rates!$E$45,0)</f>
        <v>0</v>
      </c>
      <c r="AI405" s="849">
        <f>IF('Input Sheet'!$C$15="Yes",'Input Sheet'!$F$11,0)</f>
        <v>0</v>
      </c>
      <c r="AJ405" s="850">
        <f>IF('Input Sheet'!$C$15="Yes",'Input Sheet'!$F$7,0)</f>
        <v>0</v>
      </c>
      <c r="AK405" s="856">
        <f t="shared" si="68"/>
        <v>0</v>
      </c>
      <c r="AL405" s="856">
        <f t="shared" si="69"/>
        <v>0</v>
      </c>
      <c r="AM405" s="856">
        <f t="shared" si="75"/>
        <v>0</v>
      </c>
      <c r="AN405" s="856">
        <f t="shared" si="70"/>
        <v>0</v>
      </c>
      <c r="AO405" s="852">
        <f t="shared" si="76"/>
        <v>0</v>
      </c>
      <c r="AP405" s="853">
        <f t="shared" si="77"/>
        <v>0</v>
      </c>
      <c r="AQ405" s="854">
        <f>IFERROR(P405*'Input Sheet'!$F$8/(((AI405)*AK405*2)-AN405),0)</f>
        <v>0</v>
      </c>
      <c r="AR405" s="854">
        <f>IFERROR(($P405-$AF405)*'Input Sheet'!$F$8/(((AI405)*AK405*2)-AN405),0)</f>
        <v>0</v>
      </c>
    </row>
    <row r="406" spans="2:44" s="798" customFormat="1" ht="30" customHeight="1" thickBot="1" x14ac:dyDescent="0.3">
      <c r="B406" s="835"/>
      <c r="C406" s="836"/>
      <c r="D406" s="836"/>
      <c r="E406" s="837"/>
      <c r="F406" s="837"/>
      <c r="G406" s="838"/>
      <c r="H406" s="838"/>
      <c r="I406" s="839"/>
      <c r="J406" s="839"/>
      <c r="K406" s="840"/>
      <c r="L406" s="841"/>
      <c r="M406" s="841"/>
      <c r="N406" s="842"/>
      <c r="O406" s="842"/>
      <c r="P406" s="843"/>
      <c r="Q406" s="843"/>
      <c r="R406" s="843"/>
      <c r="S406" s="844">
        <f t="shared" si="71"/>
        <v>0</v>
      </c>
      <c r="T406" s="838"/>
      <c r="U406" s="842"/>
      <c r="V406" s="843"/>
      <c r="W406" s="843"/>
      <c r="X406" s="843"/>
      <c r="Y406" s="843"/>
      <c r="Z406" s="843"/>
      <c r="AA406" s="837"/>
      <c r="AB406" s="837"/>
      <c r="AC406" s="845">
        <f t="shared" si="72"/>
        <v>0</v>
      </c>
      <c r="AD406" s="846">
        <f t="shared" si="73"/>
        <v>0</v>
      </c>
      <c r="AE406" s="847">
        <f t="shared" si="74"/>
        <v>0</v>
      </c>
      <c r="AF406" s="855">
        <f t="shared" si="67"/>
        <v>0</v>
      </c>
      <c r="AG406" s="848">
        <f>IF('Input Sheet'!$C$15="Yes",'Input Sheet'!$F$8,0)</f>
        <v>0</v>
      </c>
      <c r="AH406" s="846">
        <f>IF('Input Sheet'!$C$15="Yes",Rates!$E$45,0)</f>
        <v>0</v>
      </c>
      <c r="AI406" s="849">
        <f>IF('Input Sheet'!$C$15="Yes",'Input Sheet'!$F$11,0)</f>
        <v>0</v>
      </c>
      <c r="AJ406" s="850">
        <f>IF('Input Sheet'!$C$15="Yes",'Input Sheet'!$F$7,0)</f>
        <v>0</v>
      </c>
      <c r="AK406" s="856">
        <f t="shared" si="68"/>
        <v>0</v>
      </c>
      <c r="AL406" s="856">
        <f t="shared" si="69"/>
        <v>0</v>
      </c>
      <c r="AM406" s="856">
        <f t="shared" si="75"/>
        <v>0</v>
      </c>
      <c r="AN406" s="856">
        <f t="shared" si="70"/>
        <v>0</v>
      </c>
      <c r="AO406" s="852">
        <f t="shared" si="76"/>
        <v>0</v>
      </c>
      <c r="AP406" s="853">
        <f t="shared" si="77"/>
        <v>0</v>
      </c>
      <c r="AQ406" s="854">
        <f>IFERROR(P406*'Input Sheet'!$F$8/(((AI406)*AK406*2)-AN406),0)</f>
        <v>0</v>
      </c>
      <c r="AR406" s="854">
        <f>IFERROR(($P406-$AF406)*'Input Sheet'!$F$8/(((AI406)*AK406*2)-AN406),0)</f>
        <v>0</v>
      </c>
    </row>
    <row r="407" spans="2:44" s="798" customFormat="1" ht="30" customHeight="1" thickBot="1" x14ac:dyDescent="0.3">
      <c r="B407" s="835"/>
      <c r="C407" s="836"/>
      <c r="D407" s="836"/>
      <c r="E407" s="837"/>
      <c r="F407" s="837"/>
      <c r="G407" s="838"/>
      <c r="H407" s="838"/>
      <c r="I407" s="839"/>
      <c r="J407" s="839"/>
      <c r="K407" s="840"/>
      <c r="L407" s="841"/>
      <c r="M407" s="841"/>
      <c r="N407" s="842"/>
      <c r="O407" s="842"/>
      <c r="P407" s="843"/>
      <c r="Q407" s="843"/>
      <c r="R407" s="843"/>
      <c r="S407" s="844">
        <f t="shared" si="71"/>
        <v>0</v>
      </c>
      <c r="T407" s="838"/>
      <c r="U407" s="842"/>
      <c r="V407" s="843"/>
      <c r="W407" s="843"/>
      <c r="X407" s="843"/>
      <c r="Y407" s="843"/>
      <c r="Z407" s="843"/>
      <c r="AA407" s="837"/>
      <c r="AB407" s="837"/>
      <c r="AC407" s="845">
        <f t="shared" si="72"/>
        <v>0</v>
      </c>
      <c r="AD407" s="846">
        <f t="shared" si="73"/>
        <v>0</v>
      </c>
      <c r="AE407" s="847">
        <f t="shared" si="74"/>
        <v>0</v>
      </c>
      <c r="AF407" s="855">
        <f t="shared" si="67"/>
        <v>0</v>
      </c>
      <c r="AG407" s="848">
        <f>IF('Input Sheet'!$C$15="Yes",'Input Sheet'!$F$8,0)</f>
        <v>0</v>
      </c>
      <c r="AH407" s="846">
        <f>IF('Input Sheet'!$C$15="Yes",Rates!$E$45,0)</f>
        <v>0</v>
      </c>
      <c r="AI407" s="849">
        <f>IF('Input Sheet'!$C$15="Yes",'Input Sheet'!$F$11,0)</f>
        <v>0</v>
      </c>
      <c r="AJ407" s="850">
        <f>IF('Input Sheet'!$C$15="Yes",'Input Sheet'!$F$7,0)</f>
        <v>0</v>
      </c>
      <c r="AK407" s="856">
        <f t="shared" si="68"/>
        <v>0</v>
      </c>
      <c r="AL407" s="856">
        <f t="shared" si="69"/>
        <v>0</v>
      </c>
      <c r="AM407" s="856">
        <f t="shared" si="75"/>
        <v>0</v>
      </c>
      <c r="AN407" s="856">
        <f t="shared" si="70"/>
        <v>0</v>
      </c>
      <c r="AO407" s="852">
        <f t="shared" si="76"/>
        <v>0</v>
      </c>
      <c r="AP407" s="853">
        <f t="shared" si="77"/>
        <v>0</v>
      </c>
      <c r="AQ407" s="854">
        <f>IFERROR(P407*'Input Sheet'!$F$8/(((AI407)*AK407*2)-AN407),0)</f>
        <v>0</v>
      </c>
      <c r="AR407" s="854">
        <f>IFERROR(($P407-$AF407)*'Input Sheet'!$F$8/(((AI407)*AK407*2)-AN407),0)</f>
        <v>0</v>
      </c>
    </row>
    <row r="408" spans="2:44" s="798" customFormat="1" ht="30" customHeight="1" thickBot="1" x14ac:dyDescent="0.3">
      <c r="B408" s="835"/>
      <c r="C408" s="836"/>
      <c r="D408" s="836"/>
      <c r="E408" s="837"/>
      <c r="F408" s="837"/>
      <c r="G408" s="838"/>
      <c r="H408" s="838"/>
      <c r="I408" s="839"/>
      <c r="J408" s="839"/>
      <c r="K408" s="840"/>
      <c r="L408" s="841"/>
      <c r="M408" s="841"/>
      <c r="N408" s="842"/>
      <c r="O408" s="842"/>
      <c r="P408" s="843"/>
      <c r="Q408" s="843"/>
      <c r="R408" s="843"/>
      <c r="S408" s="844">
        <f t="shared" si="71"/>
        <v>0</v>
      </c>
      <c r="T408" s="838"/>
      <c r="U408" s="842"/>
      <c r="V408" s="843"/>
      <c r="W408" s="843"/>
      <c r="X408" s="843"/>
      <c r="Y408" s="843"/>
      <c r="Z408" s="843"/>
      <c r="AA408" s="837"/>
      <c r="AB408" s="837"/>
      <c r="AC408" s="845">
        <f t="shared" si="72"/>
        <v>0</v>
      </c>
      <c r="AD408" s="846">
        <f t="shared" si="73"/>
        <v>0</v>
      </c>
      <c r="AE408" s="847">
        <f t="shared" si="74"/>
        <v>0</v>
      </c>
      <c r="AF408" s="855">
        <f t="shared" si="67"/>
        <v>0</v>
      </c>
      <c r="AG408" s="848">
        <f>IF('Input Sheet'!$C$15="Yes",'Input Sheet'!$F$8,0)</f>
        <v>0</v>
      </c>
      <c r="AH408" s="846">
        <f>IF('Input Sheet'!$C$15="Yes",Rates!$E$45,0)</f>
        <v>0</v>
      </c>
      <c r="AI408" s="849">
        <f>IF('Input Sheet'!$C$15="Yes",'Input Sheet'!$F$11,0)</f>
        <v>0</v>
      </c>
      <c r="AJ408" s="850">
        <f>IF('Input Sheet'!$C$15="Yes",'Input Sheet'!$F$7,0)</f>
        <v>0</v>
      </c>
      <c r="AK408" s="856">
        <f t="shared" si="68"/>
        <v>0</v>
      </c>
      <c r="AL408" s="856">
        <f t="shared" si="69"/>
        <v>0</v>
      </c>
      <c r="AM408" s="856">
        <f t="shared" si="75"/>
        <v>0</v>
      </c>
      <c r="AN408" s="856">
        <f t="shared" si="70"/>
        <v>0</v>
      </c>
      <c r="AO408" s="852">
        <f t="shared" si="76"/>
        <v>0</v>
      </c>
      <c r="AP408" s="853">
        <f t="shared" si="77"/>
        <v>0</v>
      </c>
      <c r="AQ408" s="854">
        <f>IFERROR(P408*'Input Sheet'!$F$8/(((AI408)*AK408*2)-AN408),0)</f>
        <v>0</v>
      </c>
      <c r="AR408" s="854">
        <f>IFERROR(($P408-$AF408)*'Input Sheet'!$F$8/(((AI408)*AK408*2)-AN408),0)</f>
        <v>0</v>
      </c>
    </row>
    <row r="409" spans="2:44" s="798" customFormat="1" ht="30" customHeight="1" thickBot="1" x14ac:dyDescent="0.3">
      <c r="B409" s="835"/>
      <c r="C409" s="836"/>
      <c r="D409" s="836"/>
      <c r="E409" s="837"/>
      <c r="F409" s="837"/>
      <c r="G409" s="838"/>
      <c r="H409" s="838"/>
      <c r="I409" s="839"/>
      <c r="J409" s="839"/>
      <c r="K409" s="840"/>
      <c r="L409" s="841"/>
      <c r="M409" s="841"/>
      <c r="N409" s="842"/>
      <c r="O409" s="842"/>
      <c r="P409" s="843"/>
      <c r="Q409" s="843"/>
      <c r="R409" s="843"/>
      <c r="S409" s="844">
        <f t="shared" si="71"/>
        <v>0</v>
      </c>
      <c r="T409" s="838"/>
      <c r="U409" s="842"/>
      <c r="V409" s="843"/>
      <c r="W409" s="843"/>
      <c r="X409" s="843"/>
      <c r="Y409" s="843"/>
      <c r="Z409" s="843"/>
      <c r="AA409" s="837"/>
      <c r="AB409" s="837"/>
      <c r="AC409" s="845">
        <f t="shared" si="72"/>
        <v>0</v>
      </c>
      <c r="AD409" s="846">
        <f t="shared" si="73"/>
        <v>0</v>
      </c>
      <c r="AE409" s="847">
        <f t="shared" si="74"/>
        <v>0</v>
      </c>
      <c r="AF409" s="855">
        <f t="shared" si="67"/>
        <v>0</v>
      </c>
      <c r="AG409" s="848">
        <f>IF('Input Sheet'!$C$15="Yes",'Input Sheet'!$F$8,0)</f>
        <v>0</v>
      </c>
      <c r="AH409" s="846">
        <f>IF('Input Sheet'!$C$15="Yes",Rates!$E$45,0)</f>
        <v>0</v>
      </c>
      <c r="AI409" s="849">
        <f>IF('Input Sheet'!$C$15="Yes",'Input Sheet'!$F$11,0)</f>
        <v>0</v>
      </c>
      <c r="AJ409" s="850">
        <f>IF('Input Sheet'!$C$15="Yes",'Input Sheet'!$F$7,0)</f>
        <v>0</v>
      </c>
      <c r="AK409" s="856">
        <f t="shared" si="68"/>
        <v>0</v>
      </c>
      <c r="AL409" s="856">
        <f t="shared" si="69"/>
        <v>0</v>
      </c>
      <c r="AM409" s="856">
        <f t="shared" si="75"/>
        <v>0</v>
      </c>
      <c r="AN409" s="856">
        <f t="shared" si="70"/>
        <v>0</v>
      </c>
      <c r="AO409" s="852">
        <f t="shared" si="76"/>
        <v>0</v>
      </c>
      <c r="AP409" s="853">
        <f t="shared" si="77"/>
        <v>0</v>
      </c>
      <c r="AQ409" s="854">
        <f>IFERROR(P409*'Input Sheet'!$F$8/(((AI409)*AK409*2)-AN409),0)</f>
        <v>0</v>
      </c>
      <c r="AR409" s="854">
        <f>IFERROR(($P409-$AF409)*'Input Sheet'!$F$8/(((AI409)*AK409*2)-AN409),0)</f>
        <v>0</v>
      </c>
    </row>
    <row r="410" spans="2:44" s="798" customFormat="1" ht="30" customHeight="1" thickBot="1" x14ac:dyDescent="0.3">
      <c r="B410" s="835"/>
      <c r="C410" s="836"/>
      <c r="D410" s="836"/>
      <c r="E410" s="837"/>
      <c r="F410" s="837"/>
      <c r="G410" s="838"/>
      <c r="H410" s="838"/>
      <c r="I410" s="839"/>
      <c r="J410" s="839"/>
      <c r="K410" s="840"/>
      <c r="L410" s="841"/>
      <c r="M410" s="841"/>
      <c r="N410" s="842"/>
      <c r="O410" s="842"/>
      <c r="P410" s="843"/>
      <c r="Q410" s="843"/>
      <c r="R410" s="843"/>
      <c r="S410" s="844">
        <f t="shared" si="71"/>
        <v>0</v>
      </c>
      <c r="T410" s="838"/>
      <c r="U410" s="842"/>
      <c r="V410" s="843"/>
      <c r="W410" s="843"/>
      <c r="X410" s="843"/>
      <c r="Y410" s="843"/>
      <c r="Z410" s="843"/>
      <c r="AA410" s="837"/>
      <c r="AB410" s="837"/>
      <c r="AC410" s="845">
        <f t="shared" si="72"/>
        <v>0</v>
      </c>
      <c r="AD410" s="846">
        <f t="shared" si="73"/>
        <v>0</v>
      </c>
      <c r="AE410" s="847">
        <f t="shared" si="74"/>
        <v>0</v>
      </c>
      <c r="AF410" s="855">
        <f t="shared" si="67"/>
        <v>0</v>
      </c>
      <c r="AG410" s="848">
        <f>IF('Input Sheet'!$C$15="Yes",'Input Sheet'!$F$8,0)</f>
        <v>0</v>
      </c>
      <c r="AH410" s="846">
        <f>IF('Input Sheet'!$C$15="Yes",Rates!$E$45,0)</f>
        <v>0</v>
      </c>
      <c r="AI410" s="849">
        <f>IF('Input Sheet'!$C$15="Yes",'Input Sheet'!$F$11,0)</f>
        <v>0</v>
      </c>
      <c r="AJ410" s="850">
        <f>IF('Input Sheet'!$C$15="Yes",'Input Sheet'!$F$7,0)</f>
        <v>0</v>
      </c>
      <c r="AK410" s="856">
        <f t="shared" si="68"/>
        <v>0</v>
      </c>
      <c r="AL410" s="856">
        <f t="shared" si="69"/>
        <v>0</v>
      </c>
      <c r="AM410" s="856">
        <f t="shared" si="75"/>
        <v>0</v>
      </c>
      <c r="AN410" s="856">
        <f t="shared" si="70"/>
        <v>0</v>
      </c>
      <c r="AO410" s="852">
        <f t="shared" si="76"/>
        <v>0</v>
      </c>
      <c r="AP410" s="853">
        <f t="shared" si="77"/>
        <v>0</v>
      </c>
      <c r="AQ410" s="854">
        <f>IFERROR(P410*'Input Sheet'!$F$8/(((AI410)*AK410*2)-AN410),0)</f>
        <v>0</v>
      </c>
      <c r="AR410" s="854">
        <f>IFERROR(($P410-$AF410)*'Input Sheet'!$F$8/(((AI410)*AK410*2)-AN410),0)</f>
        <v>0</v>
      </c>
    </row>
    <row r="411" spans="2:44" s="798" customFormat="1" ht="30" customHeight="1" thickBot="1" x14ac:dyDescent="0.3">
      <c r="B411" s="835"/>
      <c r="C411" s="836"/>
      <c r="D411" s="836"/>
      <c r="E411" s="837"/>
      <c r="F411" s="837"/>
      <c r="G411" s="838"/>
      <c r="H411" s="838"/>
      <c r="I411" s="839"/>
      <c r="J411" s="839"/>
      <c r="K411" s="840"/>
      <c r="L411" s="841"/>
      <c r="M411" s="841"/>
      <c r="N411" s="842"/>
      <c r="O411" s="842"/>
      <c r="P411" s="843"/>
      <c r="Q411" s="843"/>
      <c r="R411" s="843"/>
      <c r="S411" s="844">
        <f t="shared" si="71"/>
        <v>0</v>
      </c>
      <c r="T411" s="838"/>
      <c r="U411" s="842"/>
      <c r="V411" s="843"/>
      <c r="W411" s="843"/>
      <c r="X411" s="843"/>
      <c r="Y411" s="843"/>
      <c r="Z411" s="843"/>
      <c r="AA411" s="837"/>
      <c r="AB411" s="837"/>
      <c r="AC411" s="845">
        <f t="shared" si="72"/>
        <v>0</v>
      </c>
      <c r="AD411" s="846">
        <f t="shared" si="73"/>
        <v>0</v>
      </c>
      <c r="AE411" s="847">
        <f t="shared" si="74"/>
        <v>0</v>
      </c>
      <c r="AF411" s="855">
        <f t="shared" si="67"/>
        <v>0</v>
      </c>
      <c r="AG411" s="848">
        <f>IF('Input Sheet'!$C$15="Yes",'Input Sheet'!$F$8,0)</f>
        <v>0</v>
      </c>
      <c r="AH411" s="846">
        <f>IF('Input Sheet'!$C$15="Yes",Rates!$E$45,0)</f>
        <v>0</v>
      </c>
      <c r="AI411" s="849">
        <f>IF('Input Sheet'!$C$15="Yes",'Input Sheet'!$F$11,0)</f>
        <v>0</v>
      </c>
      <c r="AJ411" s="850">
        <f>IF('Input Sheet'!$C$15="Yes",'Input Sheet'!$F$7,0)</f>
        <v>0</v>
      </c>
      <c r="AK411" s="856">
        <f t="shared" si="68"/>
        <v>0</v>
      </c>
      <c r="AL411" s="856">
        <f t="shared" si="69"/>
        <v>0</v>
      </c>
      <c r="AM411" s="856">
        <f t="shared" si="75"/>
        <v>0</v>
      </c>
      <c r="AN411" s="856">
        <f t="shared" si="70"/>
        <v>0</v>
      </c>
      <c r="AO411" s="852">
        <f t="shared" si="76"/>
        <v>0</v>
      </c>
      <c r="AP411" s="853">
        <f t="shared" si="77"/>
        <v>0</v>
      </c>
      <c r="AQ411" s="854">
        <f>IFERROR(P411*'Input Sheet'!$F$8/(((AI411)*AK411*2)-AN411),0)</f>
        <v>0</v>
      </c>
      <c r="AR411" s="854">
        <f>IFERROR(($P411-$AF411)*'Input Sheet'!$F$8/(((AI411)*AK411*2)-AN411),0)</f>
        <v>0</v>
      </c>
    </row>
    <row r="412" spans="2:44" s="798" customFormat="1" ht="30" customHeight="1" thickBot="1" x14ac:dyDescent="0.3">
      <c r="B412" s="835"/>
      <c r="C412" s="836"/>
      <c r="D412" s="836"/>
      <c r="E412" s="837"/>
      <c r="F412" s="837"/>
      <c r="G412" s="838"/>
      <c r="H412" s="838"/>
      <c r="I412" s="839"/>
      <c r="J412" s="839"/>
      <c r="K412" s="840"/>
      <c r="L412" s="841"/>
      <c r="M412" s="841"/>
      <c r="N412" s="842"/>
      <c r="O412" s="842"/>
      <c r="P412" s="843"/>
      <c r="Q412" s="843"/>
      <c r="R412" s="843"/>
      <c r="S412" s="844">
        <f t="shared" si="71"/>
        <v>0</v>
      </c>
      <c r="T412" s="838"/>
      <c r="U412" s="842"/>
      <c r="V412" s="843"/>
      <c r="W412" s="843"/>
      <c r="X412" s="843"/>
      <c r="Y412" s="843"/>
      <c r="Z412" s="843"/>
      <c r="AA412" s="837"/>
      <c r="AB412" s="837"/>
      <c r="AC412" s="845">
        <f t="shared" si="72"/>
        <v>0</v>
      </c>
      <c r="AD412" s="846">
        <f t="shared" si="73"/>
        <v>0</v>
      </c>
      <c r="AE412" s="847">
        <f t="shared" si="74"/>
        <v>0</v>
      </c>
      <c r="AF412" s="855">
        <f t="shared" si="67"/>
        <v>0</v>
      </c>
      <c r="AG412" s="848">
        <f>IF('Input Sheet'!$C$15="Yes",'Input Sheet'!$F$8,0)</f>
        <v>0</v>
      </c>
      <c r="AH412" s="846">
        <f>IF('Input Sheet'!$C$15="Yes",Rates!$E$45,0)</f>
        <v>0</v>
      </c>
      <c r="AI412" s="849">
        <f>IF('Input Sheet'!$C$15="Yes",'Input Sheet'!$F$11,0)</f>
        <v>0</v>
      </c>
      <c r="AJ412" s="850">
        <f>IF('Input Sheet'!$C$15="Yes",'Input Sheet'!$F$7,0)</f>
        <v>0</v>
      </c>
      <c r="AK412" s="856">
        <f t="shared" si="68"/>
        <v>0</v>
      </c>
      <c r="AL412" s="856">
        <f t="shared" si="69"/>
        <v>0</v>
      </c>
      <c r="AM412" s="856">
        <f t="shared" si="75"/>
        <v>0</v>
      </c>
      <c r="AN412" s="856">
        <f t="shared" si="70"/>
        <v>0</v>
      </c>
      <c r="AO412" s="852">
        <f t="shared" si="76"/>
        <v>0</v>
      </c>
      <c r="AP412" s="853">
        <f t="shared" si="77"/>
        <v>0</v>
      </c>
      <c r="AQ412" s="854">
        <f>IFERROR(P412*'Input Sheet'!$F$8/(((AI412)*AK412*2)-AN412),0)</f>
        <v>0</v>
      </c>
      <c r="AR412" s="854">
        <f>IFERROR(($P412-$AF412)*'Input Sheet'!$F$8/(((AI412)*AK412*2)-AN412),0)</f>
        <v>0</v>
      </c>
    </row>
    <row r="413" spans="2:44" s="798" customFormat="1" ht="30" customHeight="1" thickBot="1" x14ac:dyDescent="0.3">
      <c r="B413" s="835"/>
      <c r="C413" s="836"/>
      <c r="D413" s="836"/>
      <c r="E413" s="837"/>
      <c r="F413" s="837"/>
      <c r="G413" s="838"/>
      <c r="H413" s="838"/>
      <c r="I413" s="839"/>
      <c r="J413" s="839"/>
      <c r="K413" s="840"/>
      <c r="L413" s="841"/>
      <c r="M413" s="841"/>
      <c r="N413" s="842"/>
      <c r="O413" s="842"/>
      <c r="P413" s="843"/>
      <c r="Q413" s="843"/>
      <c r="R413" s="843"/>
      <c r="S413" s="844">
        <f t="shared" si="71"/>
        <v>0</v>
      </c>
      <c r="T413" s="838"/>
      <c r="U413" s="842"/>
      <c r="V413" s="843"/>
      <c r="W413" s="843"/>
      <c r="X413" s="843"/>
      <c r="Y413" s="843"/>
      <c r="Z413" s="843"/>
      <c r="AA413" s="837"/>
      <c r="AB413" s="837"/>
      <c r="AC413" s="845">
        <f t="shared" si="72"/>
        <v>0</v>
      </c>
      <c r="AD413" s="846">
        <f t="shared" si="73"/>
        <v>0</v>
      </c>
      <c r="AE413" s="847">
        <f t="shared" si="74"/>
        <v>0</v>
      </c>
      <c r="AF413" s="855">
        <f t="shared" si="67"/>
        <v>0</v>
      </c>
      <c r="AG413" s="848">
        <f>IF('Input Sheet'!$C$15="Yes",'Input Sheet'!$F$8,0)</f>
        <v>0</v>
      </c>
      <c r="AH413" s="846">
        <f>IF('Input Sheet'!$C$15="Yes",Rates!$E$45,0)</f>
        <v>0</v>
      </c>
      <c r="AI413" s="849">
        <f>IF('Input Sheet'!$C$15="Yes",'Input Sheet'!$F$11,0)</f>
        <v>0</v>
      </c>
      <c r="AJ413" s="850">
        <f>IF('Input Sheet'!$C$15="Yes",'Input Sheet'!$F$7,0)</f>
        <v>0</v>
      </c>
      <c r="AK413" s="856">
        <f t="shared" si="68"/>
        <v>0</v>
      </c>
      <c r="AL413" s="856">
        <f t="shared" si="69"/>
        <v>0</v>
      </c>
      <c r="AM413" s="856">
        <f t="shared" si="75"/>
        <v>0</v>
      </c>
      <c r="AN413" s="856">
        <f t="shared" si="70"/>
        <v>0</v>
      </c>
      <c r="AO413" s="852">
        <f t="shared" si="76"/>
        <v>0</v>
      </c>
      <c r="AP413" s="853">
        <f t="shared" si="77"/>
        <v>0</v>
      </c>
      <c r="AQ413" s="854">
        <f>IFERROR(P413*'Input Sheet'!$F$8/(((AI413)*AK413*2)-AN413),0)</f>
        <v>0</v>
      </c>
      <c r="AR413" s="854">
        <f>IFERROR(($P413-$AF413)*'Input Sheet'!$F$8/(((AI413)*AK413*2)-AN413),0)</f>
        <v>0</v>
      </c>
    </row>
    <row r="414" spans="2:44" s="798" customFormat="1" ht="30" customHeight="1" thickBot="1" x14ac:dyDescent="0.3">
      <c r="B414" s="835"/>
      <c r="C414" s="836"/>
      <c r="D414" s="836"/>
      <c r="E414" s="837"/>
      <c r="F414" s="837"/>
      <c r="G414" s="838"/>
      <c r="H414" s="838"/>
      <c r="I414" s="839"/>
      <c r="J414" s="839"/>
      <c r="K414" s="840"/>
      <c r="L414" s="841"/>
      <c r="M414" s="841"/>
      <c r="N414" s="842"/>
      <c r="O414" s="842"/>
      <c r="P414" s="843"/>
      <c r="Q414" s="843"/>
      <c r="R414" s="843"/>
      <c r="S414" s="844">
        <f t="shared" si="71"/>
        <v>0</v>
      </c>
      <c r="T414" s="838"/>
      <c r="U414" s="842"/>
      <c r="V414" s="843"/>
      <c r="W414" s="843"/>
      <c r="X414" s="843"/>
      <c r="Y414" s="843"/>
      <c r="Z414" s="843"/>
      <c r="AA414" s="837"/>
      <c r="AB414" s="837"/>
      <c r="AC414" s="845">
        <f t="shared" si="72"/>
        <v>0</v>
      </c>
      <c r="AD414" s="846">
        <f t="shared" si="73"/>
        <v>0</v>
      </c>
      <c r="AE414" s="847">
        <f t="shared" si="74"/>
        <v>0</v>
      </c>
      <c r="AF414" s="855">
        <f t="shared" si="67"/>
        <v>0</v>
      </c>
      <c r="AG414" s="848">
        <f>IF('Input Sheet'!$C$15="Yes",'Input Sheet'!$F$8,0)</f>
        <v>0</v>
      </c>
      <c r="AH414" s="846">
        <f>IF('Input Sheet'!$C$15="Yes",Rates!$E$45,0)</f>
        <v>0</v>
      </c>
      <c r="AI414" s="849">
        <f>IF('Input Sheet'!$C$15="Yes",'Input Sheet'!$F$11,0)</f>
        <v>0</v>
      </c>
      <c r="AJ414" s="850">
        <f>IF('Input Sheet'!$C$15="Yes",'Input Sheet'!$F$7,0)</f>
        <v>0</v>
      </c>
      <c r="AK414" s="856">
        <f t="shared" si="68"/>
        <v>0</v>
      </c>
      <c r="AL414" s="856">
        <f t="shared" si="69"/>
        <v>0</v>
      </c>
      <c r="AM414" s="856">
        <f t="shared" si="75"/>
        <v>0</v>
      </c>
      <c r="AN414" s="856">
        <f t="shared" si="70"/>
        <v>0</v>
      </c>
      <c r="AO414" s="852">
        <f t="shared" si="76"/>
        <v>0</v>
      </c>
      <c r="AP414" s="853">
        <f t="shared" si="77"/>
        <v>0</v>
      </c>
      <c r="AQ414" s="854">
        <f>IFERROR(P414*'Input Sheet'!$F$8/(((AI414)*AK414*2)-AN414),0)</f>
        <v>0</v>
      </c>
      <c r="AR414" s="854">
        <f>IFERROR(($P414-$AF414)*'Input Sheet'!$F$8/(((AI414)*AK414*2)-AN414),0)</f>
        <v>0</v>
      </c>
    </row>
    <row r="415" spans="2:44" s="798" customFormat="1" ht="30" customHeight="1" thickBot="1" x14ac:dyDescent="0.3">
      <c r="B415" s="835"/>
      <c r="C415" s="836"/>
      <c r="D415" s="836"/>
      <c r="E415" s="837"/>
      <c r="F415" s="837"/>
      <c r="G415" s="838"/>
      <c r="H415" s="838"/>
      <c r="I415" s="839"/>
      <c r="J415" s="839"/>
      <c r="K415" s="840"/>
      <c r="L415" s="841"/>
      <c r="M415" s="841"/>
      <c r="N415" s="842"/>
      <c r="O415" s="842"/>
      <c r="P415" s="843"/>
      <c r="Q415" s="843"/>
      <c r="R415" s="843"/>
      <c r="S415" s="844">
        <f t="shared" si="71"/>
        <v>0</v>
      </c>
      <c r="T415" s="838"/>
      <c r="U415" s="842"/>
      <c r="V415" s="843"/>
      <c r="W415" s="843"/>
      <c r="X415" s="843"/>
      <c r="Y415" s="843"/>
      <c r="Z415" s="843"/>
      <c r="AA415" s="837"/>
      <c r="AB415" s="837"/>
      <c r="AC415" s="845">
        <f t="shared" si="72"/>
        <v>0</v>
      </c>
      <c r="AD415" s="846">
        <f t="shared" si="73"/>
        <v>0</v>
      </c>
      <c r="AE415" s="847">
        <f t="shared" si="74"/>
        <v>0</v>
      </c>
      <c r="AF415" s="855">
        <f t="shared" si="67"/>
        <v>0</v>
      </c>
      <c r="AG415" s="848">
        <f>IF('Input Sheet'!$C$15="Yes",'Input Sheet'!$F$8,0)</f>
        <v>0</v>
      </c>
      <c r="AH415" s="846">
        <f>IF('Input Sheet'!$C$15="Yes",Rates!$E$45,0)</f>
        <v>0</v>
      </c>
      <c r="AI415" s="849">
        <f>IF('Input Sheet'!$C$15="Yes",'Input Sheet'!$F$11,0)</f>
        <v>0</v>
      </c>
      <c r="AJ415" s="850">
        <f>IF('Input Sheet'!$C$15="Yes",'Input Sheet'!$F$7,0)</f>
        <v>0</v>
      </c>
      <c r="AK415" s="856">
        <f t="shared" si="68"/>
        <v>0</v>
      </c>
      <c r="AL415" s="856">
        <f t="shared" si="69"/>
        <v>0</v>
      </c>
      <c r="AM415" s="856">
        <f t="shared" si="75"/>
        <v>0</v>
      </c>
      <c r="AN415" s="856">
        <f t="shared" si="70"/>
        <v>0</v>
      </c>
      <c r="AO415" s="852">
        <f t="shared" si="76"/>
        <v>0</v>
      </c>
      <c r="AP415" s="853">
        <f t="shared" si="77"/>
        <v>0</v>
      </c>
      <c r="AQ415" s="854">
        <f>IFERROR(P415*'Input Sheet'!$F$8/(((AI415)*AK415*2)-AN415),0)</f>
        <v>0</v>
      </c>
      <c r="AR415" s="854">
        <f>IFERROR(($P415-$AF415)*'Input Sheet'!$F$8/(((AI415)*AK415*2)-AN415),0)</f>
        <v>0</v>
      </c>
    </row>
    <row r="416" spans="2:44" s="798" customFormat="1" ht="30" customHeight="1" thickBot="1" x14ac:dyDescent="0.3">
      <c r="B416" s="835"/>
      <c r="C416" s="836"/>
      <c r="D416" s="836"/>
      <c r="E416" s="837"/>
      <c r="F416" s="837"/>
      <c r="G416" s="838"/>
      <c r="H416" s="838"/>
      <c r="I416" s="839"/>
      <c r="J416" s="839"/>
      <c r="K416" s="840"/>
      <c r="L416" s="841"/>
      <c r="M416" s="841"/>
      <c r="N416" s="842"/>
      <c r="O416" s="842"/>
      <c r="P416" s="843"/>
      <c r="Q416" s="843"/>
      <c r="R416" s="843"/>
      <c r="S416" s="844">
        <f t="shared" si="71"/>
        <v>0</v>
      </c>
      <c r="T416" s="838"/>
      <c r="U416" s="842"/>
      <c r="V416" s="843"/>
      <c r="W416" s="843"/>
      <c r="X416" s="843"/>
      <c r="Y416" s="843"/>
      <c r="Z416" s="843"/>
      <c r="AA416" s="837"/>
      <c r="AB416" s="837"/>
      <c r="AC416" s="845">
        <f t="shared" si="72"/>
        <v>0</v>
      </c>
      <c r="AD416" s="846">
        <f t="shared" si="73"/>
        <v>0</v>
      </c>
      <c r="AE416" s="847">
        <f t="shared" si="74"/>
        <v>0</v>
      </c>
      <c r="AF416" s="855">
        <f t="shared" si="67"/>
        <v>0</v>
      </c>
      <c r="AG416" s="848">
        <f>IF('Input Sheet'!$C$15="Yes",'Input Sheet'!$F$8,0)</f>
        <v>0</v>
      </c>
      <c r="AH416" s="846">
        <f>IF('Input Sheet'!$C$15="Yes",Rates!$E$45,0)</f>
        <v>0</v>
      </c>
      <c r="AI416" s="849">
        <f>IF('Input Sheet'!$C$15="Yes",'Input Sheet'!$F$11,0)</f>
        <v>0</v>
      </c>
      <c r="AJ416" s="850">
        <f>IF('Input Sheet'!$C$15="Yes",'Input Sheet'!$F$7,0)</f>
        <v>0</v>
      </c>
      <c r="AK416" s="856">
        <f t="shared" si="68"/>
        <v>0</v>
      </c>
      <c r="AL416" s="856">
        <f t="shared" si="69"/>
        <v>0</v>
      </c>
      <c r="AM416" s="856">
        <f t="shared" si="75"/>
        <v>0</v>
      </c>
      <c r="AN416" s="856">
        <f t="shared" si="70"/>
        <v>0</v>
      </c>
      <c r="AO416" s="852">
        <f t="shared" si="76"/>
        <v>0</v>
      </c>
      <c r="AP416" s="853">
        <f t="shared" si="77"/>
        <v>0</v>
      </c>
      <c r="AQ416" s="854">
        <f>IFERROR(P416*'Input Sheet'!$F$8/(((AI416)*AK416*2)-AN416),0)</f>
        <v>0</v>
      </c>
      <c r="AR416" s="854">
        <f>IFERROR(($P416-$AF416)*'Input Sheet'!$F$8/(((AI416)*AK416*2)-AN416),0)</f>
        <v>0</v>
      </c>
    </row>
    <row r="417" spans="2:44" s="798" customFormat="1" ht="30" customHeight="1" thickBot="1" x14ac:dyDescent="0.3">
      <c r="B417" s="835"/>
      <c r="C417" s="836"/>
      <c r="D417" s="836"/>
      <c r="E417" s="837"/>
      <c r="F417" s="837"/>
      <c r="G417" s="838"/>
      <c r="H417" s="838"/>
      <c r="I417" s="839"/>
      <c r="J417" s="839"/>
      <c r="K417" s="840"/>
      <c r="L417" s="841"/>
      <c r="M417" s="841"/>
      <c r="N417" s="842"/>
      <c r="O417" s="842"/>
      <c r="P417" s="843"/>
      <c r="Q417" s="843"/>
      <c r="R417" s="843"/>
      <c r="S417" s="844">
        <f t="shared" si="71"/>
        <v>0</v>
      </c>
      <c r="T417" s="838"/>
      <c r="U417" s="842"/>
      <c r="V417" s="843"/>
      <c r="W417" s="843"/>
      <c r="X417" s="843"/>
      <c r="Y417" s="843"/>
      <c r="Z417" s="843"/>
      <c r="AA417" s="837"/>
      <c r="AB417" s="837"/>
      <c r="AC417" s="845">
        <f t="shared" si="72"/>
        <v>0</v>
      </c>
      <c r="AD417" s="846">
        <f t="shared" si="73"/>
        <v>0</v>
      </c>
      <c r="AE417" s="847">
        <f t="shared" si="74"/>
        <v>0</v>
      </c>
      <c r="AF417" s="855">
        <f t="shared" si="67"/>
        <v>0</v>
      </c>
      <c r="AG417" s="848">
        <f>IF('Input Sheet'!$C$15="Yes",'Input Sheet'!$F$8,0)</f>
        <v>0</v>
      </c>
      <c r="AH417" s="846">
        <f>IF('Input Sheet'!$C$15="Yes",Rates!$E$45,0)</f>
        <v>0</v>
      </c>
      <c r="AI417" s="849">
        <f>IF('Input Sheet'!$C$15="Yes",'Input Sheet'!$F$11,0)</f>
        <v>0</v>
      </c>
      <c r="AJ417" s="850">
        <f>IF('Input Sheet'!$C$15="Yes",'Input Sheet'!$F$7,0)</f>
        <v>0</v>
      </c>
      <c r="AK417" s="856">
        <f t="shared" si="68"/>
        <v>0</v>
      </c>
      <c r="AL417" s="856">
        <f t="shared" si="69"/>
        <v>0</v>
      </c>
      <c r="AM417" s="856">
        <f t="shared" si="75"/>
        <v>0</v>
      </c>
      <c r="AN417" s="856">
        <f t="shared" si="70"/>
        <v>0</v>
      </c>
      <c r="AO417" s="852">
        <f t="shared" si="76"/>
        <v>0</v>
      </c>
      <c r="AP417" s="853">
        <f t="shared" si="77"/>
        <v>0</v>
      </c>
      <c r="AQ417" s="854">
        <f>IFERROR(P417*'Input Sheet'!$F$8/(((AI417)*AK417*2)-AN417),0)</f>
        <v>0</v>
      </c>
      <c r="AR417" s="854">
        <f>IFERROR(($P417-$AF417)*'Input Sheet'!$F$8/(((AI417)*AK417*2)-AN417),0)</f>
        <v>0</v>
      </c>
    </row>
    <row r="418" spans="2:44" s="798" customFormat="1" ht="30" customHeight="1" thickBot="1" x14ac:dyDescent="0.3">
      <c r="B418" s="835"/>
      <c r="C418" s="836"/>
      <c r="D418" s="836"/>
      <c r="E418" s="837"/>
      <c r="F418" s="837"/>
      <c r="G418" s="838"/>
      <c r="H418" s="838"/>
      <c r="I418" s="839"/>
      <c r="J418" s="839"/>
      <c r="K418" s="840"/>
      <c r="L418" s="841"/>
      <c r="M418" s="841"/>
      <c r="N418" s="842"/>
      <c r="O418" s="842"/>
      <c r="P418" s="843"/>
      <c r="Q418" s="843"/>
      <c r="R418" s="843"/>
      <c r="S418" s="844">
        <f t="shared" si="71"/>
        <v>0</v>
      </c>
      <c r="T418" s="838"/>
      <c r="U418" s="842"/>
      <c r="V418" s="843"/>
      <c r="W418" s="843"/>
      <c r="X418" s="843"/>
      <c r="Y418" s="843"/>
      <c r="Z418" s="843"/>
      <c r="AA418" s="837"/>
      <c r="AB418" s="837"/>
      <c r="AC418" s="845">
        <f t="shared" si="72"/>
        <v>0</v>
      </c>
      <c r="AD418" s="846">
        <f t="shared" si="73"/>
        <v>0</v>
      </c>
      <c r="AE418" s="847">
        <f t="shared" si="74"/>
        <v>0</v>
      </c>
      <c r="AF418" s="855">
        <f t="shared" si="67"/>
        <v>0</v>
      </c>
      <c r="AG418" s="848">
        <f>IF('Input Sheet'!$C$15="Yes",'Input Sheet'!$F$8,0)</f>
        <v>0</v>
      </c>
      <c r="AH418" s="846">
        <f>IF('Input Sheet'!$C$15="Yes",Rates!$E$45,0)</f>
        <v>0</v>
      </c>
      <c r="AI418" s="849">
        <f>IF('Input Sheet'!$C$15="Yes",'Input Sheet'!$F$11,0)</f>
        <v>0</v>
      </c>
      <c r="AJ418" s="850">
        <f>IF('Input Sheet'!$C$15="Yes",'Input Sheet'!$F$7,0)</f>
        <v>0</v>
      </c>
      <c r="AK418" s="856">
        <f t="shared" si="68"/>
        <v>0</v>
      </c>
      <c r="AL418" s="856">
        <f t="shared" si="69"/>
        <v>0</v>
      </c>
      <c r="AM418" s="856">
        <f t="shared" si="75"/>
        <v>0</v>
      </c>
      <c r="AN418" s="856">
        <f t="shared" si="70"/>
        <v>0</v>
      </c>
      <c r="AO418" s="852">
        <f t="shared" si="76"/>
        <v>0</v>
      </c>
      <c r="AP418" s="853">
        <f t="shared" si="77"/>
        <v>0</v>
      </c>
      <c r="AQ418" s="854">
        <f>IFERROR(P418*'Input Sheet'!$F$8/(((AI418)*AK418*2)-AN418),0)</f>
        <v>0</v>
      </c>
      <c r="AR418" s="854">
        <f>IFERROR(($P418-$AF418)*'Input Sheet'!$F$8/(((AI418)*AK418*2)-AN418),0)</f>
        <v>0</v>
      </c>
    </row>
    <row r="419" spans="2:44" s="798" customFormat="1" ht="30" customHeight="1" thickBot="1" x14ac:dyDescent="0.3">
      <c r="B419" s="835"/>
      <c r="C419" s="836"/>
      <c r="D419" s="836"/>
      <c r="E419" s="837"/>
      <c r="F419" s="837"/>
      <c r="G419" s="838"/>
      <c r="H419" s="838"/>
      <c r="I419" s="839"/>
      <c r="J419" s="839"/>
      <c r="K419" s="840"/>
      <c r="L419" s="841"/>
      <c r="M419" s="841"/>
      <c r="N419" s="842"/>
      <c r="O419" s="842"/>
      <c r="P419" s="843"/>
      <c r="Q419" s="843"/>
      <c r="R419" s="843"/>
      <c r="S419" s="844">
        <f t="shared" si="71"/>
        <v>0</v>
      </c>
      <c r="T419" s="838"/>
      <c r="U419" s="842"/>
      <c r="V419" s="843"/>
      <c r="W419" s="843"/>
      <c r="X419" s="843"/>
      <c r="Y419" s="843"/>
      <c r="Z419" s="843"/>
      <c r="AA419" s="837"/>
      <c r="AB419" s="837"/>
      <c r="AC419" s="845">
        <f t="shared" si="72"/>
        <v>0</v>
      </c>
      <c r="AD419" s="846">
        <f t="shared" si="73"/>
        <v>0</v>
      </c>
      <c r="AE419" s="847">
        <f t="shared" si="74"/>
        <v>0</v>
      </c>
      <c r="AF419" s="855">
        <f t="shared" si="67"/>
        <v>0</v>
      </c>
      <c r="AG419" s="848">
        <f>IF('Input Sheet'!$C$15="Yes",'Input Sheet'!$F$8,0)</f>
        <v>0</v>
      </c>
      <c r="AH419" s="846">
        <f>IF('Input Sheet'!$C$15="Yes",Rates!$E$45,0)</f>
        <v>0</v>
      </c>
      <c r="AI419" s="849">
        <f>IF('Input Sheet'!$C$15="Yes",'Input Sheet'!$F$11,0)</f>
        <v>0</v>
      </c>
      <c r="AJ419" s="850">
        <f>IF('Input Sheet'!$C$15="Yes",'Input Sheet'!$F$7,0)</f>
        <v>0</v>
      </c>
      <c r="AK419" s="856">
        <f t="shared" si="68"/>
        <v>0</v>
      </c>
      <c r="AL419" s="856">
        <f t="shared" si="69"/>
        <v>0</v>
      </c>
      <c r="AM419" s="856">
        <f t="shared" si="75"/>
        <v>0</v>
      </c>
      <c r="AN419" s="856">
        <f t="shared" si="70"/>
        <v>0</v>
      </c>
      <c r="AO419" s="852">
        <f t="shared" si="76"/>
        <v>0</v>
      </c>
      <c r="AP419" s="853">
        <f t="shared" si="77"/>
        <v>0</v>
      </c>
      <c r="AQ419" s="854">
        <f>IFERROR(P419*'Input Sheet'!$F$8/(((AI419)*AK419*2)-AN419),0)</f>
        <v>0</v>
      </c>
      <c r="AR419" s="854">
        <f>IFERROR(($P419-$AF419)*'Input Sheet'!$F$8/(((AI419)*AK419*2)-AN419),0)</f>
        <v>0</v>
      </c>
    </row>
    <row r="420" spans="2:44" s="798" customFormat="1" ht="30" customHeight="1" thickBot="1" x14ac:dyDescent="0.3">
      <c r="B420" s="835"/>
      <c r="C420" s="836"/>
      <c r="D420" s="836"/>
      <c r="E420" s="837"/>
      <c r="F420" s="837"/>
      <c r="G420" s="838"/>
      <c r="H420" s="838"/>
      <c r="I420" s="839"/>
      <c r="J420" s="839"/>
      <c r="K420" s="840"/>
      <c r="L420" s="841"/>
      <c r="M420" s="841"/>
      <c r="N420" s="842"/>
      <c r="O420" s="842"/>
      <c r="P420" s="843"/>
      <c r="Q420" s="843"/>
      <c r="R420" s="843"/>
      <c r="S420" s="844">
        <f t="shared" si="71"/>
        <v>0</v>
      </c>
      <c r="T420" s="838"/>
      <c r="U420" s="842"/>
      <c r="V420" s="843"/>
      <c r="W420" s="843"/>
      <c r="X420" s="843"/>
      <c r="Y420" s="843"/>
      <c r="Z420" s="843"/>
      <c r="AA420" s="837"/>
      <c r="AB420" s="837"/>
      <c r="AC420" s="845">
        <f t="shared" si="72"/>
        <v>0</v>
      </c>
      <c r="AD420" s="846">
        <f t="shared" si="73"/>
        <v>0</v>
      </c>
      <c r="AE420" s="847">
        <f t="shared" si="74"/>
        <v>0</v>
      </c>
      <c r="AF420" s="855">
        <f t="shared" si="67"/>
        <v>0</v>
      </c>
      <c r="AG420" s="848">
        <f>IF('Input Sheet'!$C$15="Yes",'Input Sheet'!$F$8,0)</f>
        <v>0</v>
      </c>
      <c r="AH420" s="846">
        <f>IF('Input Sheet'!$C$15="Yes",Rates!$E$45,0)</f>
        <v>0</v>
      </c>
      <c r="AI420" s="849">
        <f>IF('Input Sheet'!$C$15="Yes",'Input Sheet'!$F$11,0)</f>
        <v>0</v>
      </c>
      <c r="AJ420" s="850">
        <f>IF('Input Sheet'!$C$15="Yes",'Input Sheet'!$F$7,0)</f>
        <v>0</v>
      </c>
      <c r="AK420" s="856">
        <f t="shared" si="68"/>
        <v>0</v>
      </c>
      <c r="AL420" s="856">
        <f t="shared" si="69"/>
        <v>0</v>
      </c>
      <c r="AM420" s="856">
        <f t="shared" si="75"/>
        <v>0</v>
      </c>
      <c r="AN420" s="856">
        <f t="shared" si="70"/>
        <v>0</v>
      </c>
      <c r="AO420" s="852">
        <f t="shared" si="76"/>
        <v>0</v>
      </c>
      <c r="AP420" s="853">
        <f t="shared" si="77"/>
        <v>0</v>
      </c>
      <c r="AQ420" s="854">
        <f>IFERROR(P420*'Input Sheet'!$F$8/(((AI420)*AK420*2)-AN420),0)</f>
        <v>0</v>
      </c>
      <c r="AR420" s="854">
        <f>IFERROR(($P420-$AF420)*'Input Sheet'!$F$8/(((AI420)*AK420*2)-AN420),0)</f>
        <v>0</v>
      </c>
    </row>
    <row r="421" spans="2:44" s="798" customFormat="1" ht="30" customHeight="1" thickBot="1" x14ac:dyDescent="0.3">
      <c r="B421" s="835"/>
      <c r="C421" s="836"/>
      <c r="D421" s="836"/>
      <c r="E421" s="837"/>
      <c r="F421" s="837"/>
      <c r="G421" s="838"/>
      <c r="H421" s="838"/>
      <c r="I421" s="839"/>
      <c r="J421" s="839"/>
      <c r="K421" s="840"/>
      <c r="L421" s="841"/>
      <c r="M421" s="841"/>
      <c r="N421" s="842"/>
      <c r="O421" s="842"/>
      <c r="P421" s="843"/>
      <c r="Q421" s="843"/>
      <c r="R421" s="843"/>
      <c r="S421" s="844">
        <f t="shared" si="71"/>
        <v>0</v>
      </c>
      <c r="T421" s="838"/>
      <c r="U421" s="842"/>
      <c r="V421" s="843"/>
      <c r="W421" s="843"/>
      <c r="X421" s="843"/>
      <c r="Y421" s="843"/>
      <c r="Z421" s="843"/>
      <c r="AA421" s="837"/>
      <c r="AB421" s="837"/>
      <c r="AC421" s="845">
        <f t="shared" si="72"/>
        <v>0</v>
      </c>
      <c r="AD421" s="846">
        <f t="shared" si="73"/>
        <v>0</v>
      </c>
      <c r="AE421" s="847">
        <f t="shared" si="74"/>
        <v>0</v>
      </c>
      <c r="AF421" s="855">
        <f t="shared" si="67"/>
        <v>0</v>
      </c>
      <c r="AG421" s="848">
        <f>IF('Input Sheet'!$C$15="Yes",'Input Sheet'!$F$8,0)</f>
        <v>0</v>
      </c>
      <c r="AH421" s="846">
        <f>IF('Input Sheet'!$C$15="Yes",Rates!$E$45,0)</f>
        <v>0</v>
      </c>
      <c r="AI421" s="849">
        <f>IF('Input Sheet'!$C$15="Yes",'Input Sheet'!$F$11,0)</f>
        <v>0</v>
      </c>
      <c r="AJ421" s="850">
        <f>IF('Input Sheet'!$C$15="Yes",'Input Sheet'!$F$7,0)</f>
        <v>0</v>
      </c>
      <c r="AK421" s="856">
        <f t="shared" si="68"/>
        <v>0</v>
      </c>
      <c r="AL421" s="856">
        <f t="shared" si="69"/>
        <v>0</v>
      </c>
      <c r="AM421" s="856">
        <f t="shared" si="75"/>
        <v>0</v>
      </c>
      <c r="AN421" s="856">
        <f t="shared" si="70"/>
        <v>0</v>
      </c>
      <c r="AO421" s="852">
        <f t="shared" si="76"/>
        <v>0</v>
      </c>
      <c r="AP421" s="853">
        <f t="shared" si="77"/>
        <v>0</v>
      </c>
      <c r="AQ421" s="854">
        <f>IFERROR(P421*'Input Sheet'!$F$8/(((AI421)*AK421*2)-AN421),0)</f>
        <v>0</v>
      </c>
      <c r="AR421" s="854">
        <f>IFERROR(($P421-$AF421)*'Input Sheet'!$F$8/(((AI421)*AK421*2)-AN421),0)</f>
        <v>0</v>
      </c>
    </row>
    <row r="422" spans="2:44" s="798" customFormat="1" ht="30" customHeight="1" thickBot="1" x14ac:dyDescent="0.3">
      <c r="B422" s="835"/>
      <c r="C422" s="836"/>
      <c r="D422" s="836"/>
      <c r="E422" s="837"/>
      <c r="F422" s="837"/>
      <c r="G422" s="838"/>
      <c r="H422" s="838"/>
      <c r="I422" s="839"/>
      <c r="J422" s="839"/>
      <c r="K422" s="840"/>
      <c r="L422" s="841"/>
      <c r="M422" s="841"/>
      <c r="N422" s="842"/>
      <c r="O422" s="842"/>
      <c r="P422" s="843"/>
      <c r="Q422" s="843"/>
      <c r="R422" s="843"/>
      <c r="S422" s="844">
        <f t="shared" si="71"/>
        <v>0</v>
      </c>
      <c r="T422" s="838"/>
      <c r="U422" s="842"/>
      <c r="V422" s="843"/>
      <c r="W422" s="843"/>
      <c r="X422" s="843"/>
      <c r="Y422" s="843"/>
      <c r="Z422" s="843"/>
      <c r="AA422" s="837"/>
      <c r="AB422" s="837"/>
      <c r="AC422" s="845">
        <f t="shared" si="72"/>
        <v>0</v>
      </c>
      <c r="AD422" s="846">
        <f t="shared" si="73"/>
        <v>0</v>
      </c>
      <c r="AE422" s="847">
        <f t="shared" si="74"/>
        <v>0</v>
      </c>
      <c r="AF422" s="855">
        <f t="shared" si="67"/>
        <v>0</v>
      </c>
      <c r="AG422" s="848">
        <f>IF('Input Sheet'!$C$15="Yes",'Input Sheet'!$F$8,0)</f>
        <v>0</v>
      </c>
      <c r="AH422" s="846">
        <f>IF('Input Sheet'!$C$15="Yes",Rates!$E$45,0)</f>
        <v>0</v>
      </c>
      <c r="AI422" s="849">
        <f>IF('Input Sheet'!$C$15="Yes",'Input Sheet'!$F$11,0)</f>
        <v>0</v>
      </c>
      <c r="AJ422" s="850">
        <f>IF('Input Sheet'!$C$15="Yes",'Input Sheet'!$F$7,0)</f>
        <v>0</v>
      </c>
      <c r="AK422" s="856">
        <f t="shared" si="68"/>
        <v>0</v>
      </c>
      <c r="AL422" s="856">
        <f t="shared" si="69"/>
        <v>0</v>
      </c>
      <c r="AM422" s="856">
        <f t="shared" si="75"/>
        <v>0</v>
      </c>
      <c r="AN422" s="856">
        <f t="shared" si="70"/>
        <v>0</v>
      </c>
      <c r="AO422" s="852">
        <f t="shared" si="76"/>
        <v>0</v>
      </c>
      <c r="AP422" s="853">
        <f t="shared" si="77"/>
        <v>0</v>
      </c>
      <c r="AQ422" s="854">
        <f>IFERROR(P422*'Input Sheet'!$F$8/(((AI422)*AK422*2)-AN422),0)</f>
        <v>0</v>
      </c>
      <c r="AR422" s="854">
        <f>IFERROR(($P422-$AF422)*'Input Sheet'!$F$8/(((AI422)*AK422*2)-AN422),0)</f>
        <v>0</v>
      </c>
    </row>
    <row r="423" spans="2:44" s="798" customFormat="1" ht="30" customHeight="1" thickBot="1" x14ac:dyDescent="0.3">
      <c r="B423" s="835"/>
      <c r="C423" s="836"/>
      <c r="D423" s="836"/>
      <c r="E423" s="837"/>
      <c r="F423" s="837"/>
      <c r="G423" s="838"/>
      <c r="H423" s="838"/>
      <c r="I423" s="839"/>
      <c r="J423" s="839"/>
      <c r="K423" s="840"/>
      <c r="L423" s="841"/>
      <c r="M423" s="841"/>
      <c r="N423" s="842"/>
      <c r="O423" s="842"/>
      <c r="P423" s="843"/>
      <c r="Q423" s="843"/>
      <c r="R423" s="843"/>
      <c r="S423" s="844">
        <f t="shared" si="71"/>
        <v>0</v>
      </c>
      <c r="T423" s="838"/>
      <c r="U423" s="842"/>
      <c r="V423" s="843"/>
      <c r="W423" s="843"/>
      <c r="X423" s="843"/>
      <c r="Y423" s="843"/>
      <c r="Z423" s="843"/>
      <c r="AA423" s="837"/>
      <c r="AB423" s="837"/>
      <c r="AC423" s="845">
        <f t="shared" si="72"/>
        <v>0</v>
      </c>
      <c r="AD423" s="846">
        <f t="shared" si="73"/>
        <v>0</v>
      </c>
      <c r="AE423" s="847">
        <f t="shared" si="74"/>
        <v>0</v>
      </c>
      <c r="AF423" s="855">
        <f t="shared" si="67"/>
        <v>0</v>
      </c>
      <c r="AG423" s="848">
        <f>IF('Input Sheet'!$C$15="Yes",'Input Sheet'!$F$8,0)</f>
        <v>0</v>
      </c>
      <c r="AH423" s="846">
        <f>IF('Input Sheet'!$C$15="Yes",Rates!$E$45,0)</f>
        <v>0</v>
      </c>
      <c r="AI423" s="849">
        <f>IF('Input Sheet'!$C$15="Yes",'Input Sheet'!$F$11,0)</f>
        <v>0</v>
      </c>
      <c r="AJ423" s="850">
        <f>IF('Input Sheet'!$C$15="Yes",'Input Sheet'!$F$7,0)</f>
        <v>0</v>
      </c>
      <c r="AK423" s="856">
        <f t="shared" si="68"/>
        <v>0</v>
      </c>
      <c r="AL423" s="856">
        <f t="shared" si="69"/>
        <v>0</v>
      </c>
      <c r="AM423" s="856">
        <f t="shared" si="75"/>
        <v>0</v>
      </c>
      <c r="AN423" s="856">
        <f t="shared" si="70"/>
        <v>0</v>
      </c>
      <c r="AO423" s="852">
        <f t="shared" si="76"/>
        <v>0</v>
      </c>
      <c r="AP423" s="853">
        <f t="shared" si="77"/>
        <v>0</v>
      </c>
      <c r="AQ423" s="854">
        <f>IFERROR(P423*'Input Sheet'!$F$8/(((AI423)*AK423*2)-AN423),0)</f>
        <v>0</v>
      </c>
      <c r="AR423" s="854">
        <f>IFERROR(($P423-$AF423)*'Input Sheet'!$F$8/(((AI423)*AK423*2)-AN423),0)</f>
        <v>0</v>
      </c>
    </row>
    <row r="424" spans="2:44" s="798" customFormat="1" ht="30" customHeight="1" thickBot="1" x14ac:dyDescent="0.3">
      <c r="B424" s="835"/>
      <c r="C424" s="836"/>
      <c r="D424" s="836"/>
      <c r="E424" s="837"/>
      <c r="F424" s="837"/>
      <c r="G424" s="838"/>
      <c r="H424" s="838"/>
      <c r="I424" s="839"/>
      <c r="J424" s="839"/>
      <c r="K424" s="840"/>
      <c r="L424" s="841"/>
      <c r="M424" s="841"/>
      <c r="N424" s="842"/>
      <c r="O424" s="842"/>
      <c r="P424" s="843"/>
      <c r="Q424" s="843"/>
      <c r="R424" s="843"/>
      <c r="S424" s="844">
        <f t="shared" si="71"/>
        <v>0</v>
      </c>
      <c r="T424" s="838"/>
      <c r="U424" s="842"/>
      <c r="V424" s="843"/>
      <c r="W424" s="843"/>
      <c r="X424" s="843"/>
      <c r="Y424" s="843"/>
      <c r="Z424" s="843"/>
      <c r="AA424" s="837"/>
      <c r="AB424" s="837"/>
      <c r="AC424" s="845">
        <f t="shared" si="72"/>
        <v>0</v>
      </c>
      <c r="AD424" s="846">
        <f t="shared" si="73"/>
        <v>0</v>
      </c>
      <c r="AE424" s="847">
        <f t="shared" si="74"/>
        <v>0</v>
      </c>
      <c r="AF424" s="855">
        <f t="shared" si="67"/>
        <v>0</v>
      </c>
      <c r="AG424" s="848">
        <f>IF('Input Sheet'!$C$15="Yes",'Input Sheet'!$F$8,0)</f>
        <v>0</v>
      </c>
      <c r="AH424" s="846">
        <f>IF('Input Sheet'!$C$15="Yes",Rates!$E$45,0)</f>
        <v>0</v>
      </c>
      <c r="AI424" s="849">
        <f>IF('Input Sheet'!$C$15="Yes",'Input Sheet'!$F$11,0)</f>
        <v>0</v>
      </c>
      <c r="AJ424" s="850">
        <f>IF('Input Sheet'!$C$15="Yes",'Input Sheet'!$F$7,0)</f>
        <v>0</v>
      </c>
      <c r="AK424" s="856">
        <f t="shared" si="68"/>
        <v>0</v>
      </c>
      <c r="AL424" s="856">
        <f t="shared" si="69"/>
        <v>0</v>
      </c>
      <c r="AM424" s="856">
        <f t="shared" si="75"/>
        <v>0</v>
      </c>
      <c r="AN424" s="856">
        <f t="shared" si="70"/>
        <v>0</v>
      </c>
      <c r="AO424" s="852">
        <f t="shared" si="76"/>
        <v>0</v>
      </c>
      <c r="AP424" s="853">
        <f t="shared" si="77"/>
        <v>0</v>
      </c>
      <c r="AQ424" s="854">
        <f>IFERROR(P424*'Input Sheet'!$F$8/(((AI424)*AK424*2)-AN424),0)</f>
        <v>0</v>
      </c>
      <c r="AR424" s="854">
        <f>IFERROR(($P424-$AF424)*'Input Sheet'!$F$8/(((AI424)*AK424*2)-AN424),0)</f>
        <v>0</v>
      </c>
    </row>
    <row r="425" spans="2:44" s="798" customFormat="1" ht="30" customHeight="1" thickBot="1" x14ac:dyDescent="0.3">
      <c r="B425" s="835"/>
      <c r="C425" s="836"/>
      <c r="D425" s="836"/>
      <c r="E425" s="837"/>
      <c r="F425" s="837"/>
      <c r="G425" s="838"/>
      <c r="H425" s="838"/>
      <c r="I425" s="839"/>
      <c r="J425" s="839"/>
      <c r="K425" s="840"/>
      <c r="L425" s="841"/>
      <c r="M425" s="841"/>
      <c r="N425" s="842"/>
      <c r="O425" s="842"/>
      <c r="P425" s="843"/>
      <c r="Q425" s="843"/>
      <c r="R425" s="843"/>
      <c r="S425" s="844">
        <f t="shared" si="71"/>
        <v>0</v>
      </c>
      <c r="T425" s="838"/>
      <c r="U425" s="842"/>
      <c r="V425" s="843"/>
      <c r="W425" s="843"/>
      <c r="X425" s="843"/>
      <c r="Y425" s="843"/>
      <c r="Z425" s="843"/>
      <c r="AA425" s="837"/>
      <c r="AB425" s="837"/>
      <c r="AC425" s="845">
        <f t="shared" si="72"/>
        <v>0</v>
      </c>
      <c r="AD425" s="846">
        <f t="shared" si="73"/>
        <v>0</v>
      </c>
      <c r="AE425" s="847">
        <f t="shared" si="74"/>
        <v>0</v>
      </c>
      <c r="AF425" s="855">
        <f t="shared" si="67"/>
        <v>0</v>
      </c>
      <c r="AG425" s="848">
        <f>IF('Input Sheet'!$C$15="Yes",'Input Sheet'!$F$8,0)</f>
        <v>0</v>
      </c>
      <c r="AH425" s="846">
        <f>IF('Input Sheet'!$C$15="Yes",Rates!$E$45,0)</f>
        <v>0</v>
      </c>
      <c r="AI425" s="849">
        <f>IF('Input Sheet'!$C$15="Yes",'Input Sheet'!$F$11,0)</f>
        <v>0</v>
      </c>
      <c r="AJ425" s="850">
        <f>IF('Input Sheet'!$C$15="Yes",'Input Sheet'!$F$7,0)</f>
        <v>0</v>
      </c>
      <c r="AK425" s="856">
        <f t="shared" si="68"/>
        <v>0</v>
      </c>
      <c r="AL425" s="856">
        <f t="shared" si="69"/>
        <v>0</v>
      </c>
      <c r="AM425" s="856">
        <f t="shared" si="75"/>
        <v>0</v>
      </c>
      <c r="AN425" s="856">
        <f t="shared" si="70"/>
        <v>0</v>
      </c>
      <c r="AO425" s="852">
        <f t="shared" si="76"/>
        <v>0</v>
      </c>
      <c r="AP425" s="853">
        <f t="shared" si="77"/>
        <v>0</v>
      </c>
      <c r="AQ425" s="854">
        <f>IFERROR(P425*'Input Sheet'!$F$8/(((AI425)*AK425*2)-AN425),0)</f>
        <v>0</v>
      </c>
      <c r="AR425" s="854">
        <f>IFERROR(($P425-$AF425)*'Input Sheet'!$F$8/(((AI425)*AK425*2)-AN425),0)</f>
        <v>0</v>
      </c>
    </row>
    <row r="426" spans="2:44" s="798" customFormat="1" ht="30" customHeight="1" thickBot="1" x14ac:dyDescent="0.3">
      <c r="B426" s="835"/>
      <c r="C426" s="836"/>
      <c r="D426" s="836"/>
      <c r="E426" s="837"/>
      <c r="F426" s="837"/>
      <c r="G426" s="838"/>
      <c r="H426" s="838"/>
      <c r="I426" s="839"/>
      <c r="J426" s="839"/>
      <c r="K426" s="840"/>
      <c r="L426" s="841"/>
      <c r="M426" s="841"/>
      <c r="N426" s="842"/>
      <c r="O426" s="842"/>
      <c r="P426" s="843"/>
      <c r="Q426" s="843"/>
      <c r="R426" s="843"/>
      <c r="S426" s="844">
        <f t="shared" si="71"/>
        <v>0</v>
      </c>
      <c r="T426" s="838"/>
      <c r="U426" s="842"/>
      <c r="V426" s="843"/>
      <c r="W426" s="843"/>
      <c r="X426" s="843"/>
      <c r="Y426" s="843"/>
      <c r="Z426" s="843"/>
      <c r="AA426" s="837"/>
      <c r="AB426" s="837"/>
      <c r="AC426" s="845">
        <f t="shared" si="72"/>
        <v>0</v>
      </c>
      <c r="AD426" s="846">
        <f t="shared" si="73"/>
        <v>0</v>
      </c>
      <c r="AE426" s="847">
        <f t="shared" si="74"/>
        <v>0</v>
      </c>
      <c r="AF426" s="855">
        <f t="shared" si="67"/>
        <v>0</v>
      </c>
      <c r="AG426" s="848">
        <f>IF('Input Sheet'!$C$15="Yes",'Input Sheet'!$F$8,0)</f>
        <v>0</v>
      </c>
      <c r="AH426" s="846">
        <f>IF('Input Sheet'!$C$15="Yes",Rates!$E$45,0)</f>
        <v>0</v>
      </c>
      <c r="AI426" s="849">
        <f>IF('Input Sheet'!$C$15="Yes",'Input Sheet'!$F$11,0)</f>
        <v>0</v>
      </c>
      <c r="AJ426" s="850">
        <f>IF('Input Sheet'!$C$15="Yes",'Input Sheet'!$F$7,0)</f>
        <v>0</v>
      </c>
      <c r="AK426" s="856">
        <f t="shared" si="68"/>
        <v>0</v>
      </c>
      <c r="AL426" s="856">
        <f t="shared" si="69"/>
        <v>0</v>
      </c>
      <c r="AM426" s="856">
        <f t="shared" si="75"/>
        <v>0</v>
      </c>
      <c r="AN426" s="856">
        <f t="shared" si="70"/>
        <v>0</v>
      </c>
      <c r="AO426" s="852">
        <f t="shared" si="76"/>
        <v>0</v>
      </c>
      <c r="AP426" s="853">
        <f t="shared" si="77"/>
        <v>0</v>
      </c>
      <c r="AQ426" s="854">
        <f>IFERROR(P426*'Input Sheet'!$F$8/(((AI426)*AK426*2)-AN426),0)</f>
        <v>0</v>
      </c>
      <c r="AR426" s="854">
        <f>IFERROR(($P426-$AF426)*'Input Sheet'!$F$8/(((AI426)*AK426*2)-AN426),0)</f>
        <v>0</v>
      </c>
    </row>
    <row r="427" spans="2:44" s="798" customFormat="1" ht="30" customHeight="1" thickBot="1" x14ac:dyDescent="0.3">
      <c r="B427" s="835"/>
      <c r="C427" s="836"/>
      <c r="D427" s="836"/>
      <c r="E427" s="837"/>
      <c r="F427" s="837"/>
      <c r="G427" s="838"/>
      <c r="H427" s="838"/>
      <c r="I427" s="839"/>
      <c r="J427" s="839"/>
      <c r="K427" s="840"/>
      <c r="L427" s="841"/>
      <c r="M427" s="841"/>
      <c r="N427" s="842"/>
      <c r="O427" s="842"/>
      <c r="P427" s="843"/>
      <c r="Q427" s="843"/>
      <c r="R427" s="843"/>
      <c r="S427" s="844">
        <f t="shared" si="71"/>
        <v>0</v>
      </c>
      <c r="T427" s="838"/>
      <c r="U427" s="842"/>
      <c r="V427" s="843"/>
      <c r="W427" s="843"/>
      <c r="X427" s="843"/>
      <c r="Y427" s="843"/>
      <c r="Z427" s="843"/>
      <c r="AA427" s="837"/>
      <c r="AB427" s="837"/>
      <c r="AC427" s="845">
        <f t="shared" si="72"/>
        <v>0</v>
      </c>
      <c r="AD427" s="846">
        <f t="shared" si="73"/>
        <v>0</v>
      </c>
      <c r="AE427" s="847">
        <f t="shared" si="74"/>
        <v>0</v>
      </c>
      <c r="AF427" s="855">
        <f t="shared" si="67"/>
        <v>0</v>
      </c>
      <c r="AG427" s="848">
        <f>IF('Input Sheet'!$C$15="Yes",'Input Sheet'!$F$8,0)</f>
        <v>0</v>
      </c>
      <c r="AH427" s="846">
        <f>IF('Input Sheet'!$C$15="Yes",Rates!$E$45,0)</f>
        <v>0</v>
      </c>
      <c r="AI427" s="849">
        <f>IF('Input Sheet'!$C$15="Yes",'Input Sheet'!$F$11,0)</f>
        <v>0</v>
      </c>
      <c r="AJ427" s="850">
        <f>IF('Input Sheet'!$C$15="Yes",'Input Sheet'!$F$7,0)</f>
        <v>0</v>
      </c>
      <c r="AK427" s="856">
        <f t="shared" si="68"/>
        <v>0</v>
      </c>
      <c r="AL427" s="856">
        <f t="shared" si="69"/>
        <v>0</v>
      </c>
      <c r="AM427" s="856">
        <f t="shared" si="75"/>
        <v>0</v>
      </c>
      <c r="AN427" s="856">
        <f t="shared" si="70"/>
        <v>0</v>
      </c>
      <c r="AO427" s="852">
        <f t="shared" si="76"/>
        <v>0</v>
      </c>
      <c r="AP427" s="853">
        <f t="shared" si="77"/>
        <v>0</v>
      </c>
      <c r="AQ427" s="854">
        <f>IFERROR(P427*'Input Sheet'!$F$8/(((AI427)*AK427*2)-AN427),0)</f>
        <v>0</v>
      </c>
      <c r="AR427" s="854">
        <f>IFERROR(($P427-$AF427)*'Input Sheet'!$F$8/(((AI427)*AK427*2)-AN427),0)</f>
        <v>0</v>
      </c>
    </row>
    <row r="428" spans="2:44" s="798" customFormat="1" ht="30" customHeight="1" thickBot="1" x14ac:dyDescent="0.3">
      <c r="B428" s="835"/>
      <c r="C428" s="836"/>
      <c r="D428" s="836"/>
      <c r="E428" s="837"/>
      <c r="F428" s="837"/>
      <c r="G428" s="838"/>
      <c r="H428" s="838"/>
      <c r="I428" s="839"/>
      <c r="J428" s="839"/>
      <c r="K428" s="840"/>
      <c r="L428" s="841"/>
      <c r="M428" s="841"/>
      <c r="N428" s="842"/>
      <c r="O428" s="842"/>
      <c r="P428" s="843"/>
      <c r="Q428" s="843"/>
      <c r="R428" s="843"/>
      <c r="S428" s="844">
        <f t="shared" si="71"/>
        <v>0</v>
      </c>
      <c r="T428" s="838"/>
      <c r="U428" s="842"/>
      <c r="V428" s="843"/>
      <c r="W428" s="843"/>
      <c r="X428" s="843"/>
      <c r="Y428" s="843"/>
      <c r="Z428" s="843"/>
      <c r="AA428" s="837"/>
      <c r="AB428" s="837"/>
      <c r="AC428" s="845">
        <f t="shared" si="72"/>
        <v>0</v>
      </c>
      <c r="AD428" s="846">
        <f t="shared" si="73"/>
        <v>0</v>
      </c>
      <c r="AE428" s="847">
        <f t="shared" si="74"/>
        <v>0</v>
      </c>
      <c r="AF428" s="855">
        <f t="shared" si="67"/>
        <v>0</v>
      </c>
      <c r="AG428" s="848">
        <f>IF('Input Sheet'!$C$15="Yes",'Input Sheet'!$F$8,0)</f>
        <v>0</v>
      </c>
      <c r="AH428" s="846">
        <f>IF('Input Sheet'!$C$15="Yes",Rates!$E$45,0)</f>
        <v>0</v>
      </c>
      <c r="AI428" s="849">
        <f>IF('Input Sheet'!$C$15="Yes",'Input Sheet'!$F$11,0)</f>
        <v>0</v>
      </c>
      <c r="AJ428" s="850">
        <f>IF('Input Sheet'!$C$15="Yes",'Input Sheet'!$F$7,0)</f>
        <v>0</v>
      </c>
      <c r="AK428" s="856">
        <f t="shared" si="68"/>
        <v>0</v>
      </c>
      <c r="AL428" s="856">
        <f t="shared" si="69"/>
        <v>0</v>
      </c>
      <c r="AM428" s="856">
        <f t="shared" si="75"/>
        <v>0</v>
      </c>
      <c r="AN428" s="856">
        <f t="shared" si="70"/>
        <v>0</v>
      </c>
      <c r="AO428" s="852">
        <f t="shared" si="76"/>
        <v>0</v>
      </c>
      <c r="AP428" s="853">
        <f t="shared" si="77"/>
        <v>0</v>
      </c>
      <c r="AQ428" s="854">
        <f>IFERROR(P428*'Input Sheet'!$F$8/(((AI428)*AK428*2)-AN428),0)</f>
        <v>0</v>
      </c>
      <c r="AR428" s="854">
        <f>IFERROR(($P428-$AF428)*'Input Sheet'!$F$8/(((AI428)*AK428*2)-AN428),0)</f>
        <v>0</v>
      </c>
    </row>
    <row r="429" spans="2:44" s="798" customFormat="1" ht="30" customHeight="1" thickBot="1" x14ac:dyDescent="0.3">
      <c r="B429" s="835"/>
      <c r="C429" s="836"/>
      <c r="D429" s="836"/>
      <c r="E429" s="837"/>
      <c r="F429" s="837"/>
      <c r="G429" s="838"/>
      <c r="H429" s="838"/>
      <c r="I429" s="839"/>
      <c r="J429" s="839"/>
      <c r="K429" s="840"/>
      <c r="L429" s="841"/>
      <c r="M429" s="841"/>
      <c r="N429" s="842"/>
      <c r="O429" s="842"/>
      <c r="P429" s="843"/>
      <c r="Q429" s="843"/>
      <c r="R429" s="843"/>
      <c r="S429" s="844">
        <f t="shared" si="71"/>
        <v>0</v>
      </c>
      <c r="T429" s="838"/>
      <c r="U429" s="842"/>
      <c r="V429" s="843"/>
      <c r="W429" s="843"/>
      <c r="X429" s="843"/>
      <c r="Y429" s="843"/>
      <c r="Z429" s="843"/>
      <c r="AA429" s="837"/>
      <c r="AB429" s="837"/>
      <c r="AC429" s="845">
        <f t="shared" si="72"/>
        <v>0</v>
      </c>
      <c r="AD429" s="846">
        <f t="shared" si="73"/>
        <v>0</v>
      </c>
      <c r="AE429" s="847">
        <f t="shared" si="74"/>
        <v>0</v>
      </c>
      <c r="AF429" s="855">
        <f t="shared" si="67"/>
        <v>0</v>
      </c>
      <c r="AG429" s="848">
        <f>IF('Input Sheet'!$C$15="Yes",'Input Sheet'!$F$8,0)</f>
        <v>0</v>
      </c>
      <c r="AH429" s="846">
        <f>IF('Input Sheet'!$C$15="Yes",Rates!$E$45,0)</f>
        <v>0</v>
      </c>
      <c r="AI429" s="849">
        <f>IF('Input Sheet'!$C$15="Yes",'Input Sheet'!$F$11,0)</f>
        <v>0</v>
      </c>
      <c r="AJ429" s="850">
        <f>IF('Input Sheet'!$C$15="Yes",'Input Sheet'!$F$7,0)</f>
        <v>0</v>
      </c>
      <c r="AK429" s="856">
        <f t="shared" si="68"/>
        <v>0</v>
      </c>
      <c r="AL429" s="856">
        <f t="shared" si="69"/>
        <v>0</v>
      </c>
      <c r="AM429" s="856">
        <f t="shared" si="75"/>
        <v>0</v>
      </c>
      <c r="AN429" s="856">
        <f t="shared" si="70"/>
        <v>0</v>
      </c>
      <c r="AO429" s="852">
        <f t="shared" si="76"/>
        <v>0</v>
      </c>
      <c r="AP429" s="853">
        <f t="shared" si="77"/>
        <v>0</v>
      </c>
      <c r="AQ429" s="854">
        <f>IFERROR(P429*'Input Sheet'!$F$8/(((AI429)*AK429*2)-AN429),0)</f>
        <v>0</v>
      </c>
      <c r="AR429" s="854">
        <f>IFERROR(($P429-$AF429)*'Input Sheet'!$F$8/(((AI429)*AK429*2)-AN429),0)</f>
        <v>0</v>
      </c>
    </row>
    <row r="430" spans="2:44" s="798" customFormat="1" ht="30" customHeight="1" thickBot="1" x14ac:dyDescent="0.3">
      <c r="B430" s="835"/>
      <c r="C430" s="836"/>
      <c r="D430" s="836"/>
      <c r="E430" s="837"/>
      <c r="F430" s="837"/>
      <c r="G430" s="838"/>
      <c r="H430" s="838"/>
      <c r="I430" s="839"/>
      <c r="J430" s="839"/>
      <c r="K430" s="840"/>
      <c r="L430" s="841"/>
      <c r="M430" s="841"/>
      <c r="N430" s="842"/>
      <c r="O430" s="842"/>
      <c r="P430" s="843"/>
      <c r="Q430" s="843"/>
      <c r="R430" s="843"/>
      <c r="S430" s="844">
        <f t="shared" si="71"/>
        <v>0</v>
      </c>
      <c r="T430" s="838"/>
      <c r="U430" s="842"/>
      <c r="V430" s="843"/>
      <c r="W430" s="843"/>
      <c r="X430" s="843"/>
      <c r="Y430" s="843"/>
      <c r="Z430" s="843"/>
      <c r="AA430" s="837"/>
      <c r="AB430" s="837"/>
      <c r="AC430" s="845">
        <f t="shared" si="72"/>
        <v>0</v>
      </c>
      <c r="AD430" s="846">
        <f t="shared" si="73"/>
        <v>0</v>
      </c>
      <c r="AE430" s="847">
        <f t="shared" si="74"/>
        <v>0</v>
      </c>
      <c r="AF430" s="855">
        <f t="shared" si="67"/>
        <v>0</v>
      </c>
      <c r="AG430" s="848">
        <f>IF('Input Sheet'!$C$15="Yes",'Input Sheet'!$F$8,0)</f>
        <v>0</v>
      </c>
      <c r="AH430" s="846">
        <f>IF('Input Sheet'!$C$15="Yes",Rates!$E$45,0)</f>
        <v>0</v>
      </c>
      <c r="AI430" s="849">
        <f>IF('Input Sheet'!$C$15="Yes",'Input Sheet'!$F$11,0)</f>
        <v>0</v>
      </c>
      <c r="AJ430" s="850">
        <f>IF('Input Sheet'!$C$15="Yes",'Input Sheet'!$F$7,0)</f>
        <v>0</v>
      </c>
      <c r="AK430" s="856">
        <f t="shared" si="68"/>
        <v>0</v>
      </c>
      <c r="AL430" s="856">
        <f t="shared" si="69"/>
        <v>0</v>
      </c>
      <c r="AM430" s="856">
        <f t="shared" si="75"/>
        <v>0</v>
      </c>
      <c r="AN430" s="856">
        <f t="shared" si="70"/>
        <v>0</v>
      </c>
      <c r="AO430" s="852">
        <f t="shared" si="76"/>
        <v>0</v>
      </c>
      <c r="AP430" s="853">
        <f t="shared" si="77"/>
        <v>0</v>
      </c>
      <c r="AQ430" s="854">
        <f>IFERROR(P430*'Input Sheet'!$F$8/(((AI430)*AK430*2)-AN430),0)</f>
        <v>0</v>
      </c>
      <c r="AR430" s="854">
        <f>IFERROR(($P430-$AF430)*'Input Sheet'!$F$8/(((AI430)*AK430*2)-AN430),0)</f>
        <v>0</v>
      </c>
    </row>
    <row r="431" spans="2:44" s="798" customFormat="1" ht="30" customHeight="1" thickBot="1" x14ac:dyDescent="0.3">
      <c r="B431" s="835"/>
      <c r="C431" s="836"/>
      <c r="D431" s="836"/>
      <c r="E431" s="837"/>
      <c r="F431" s="837"/>
      <c r="G431" s="838"/>
      <c r="H431" s="838"/>
      <c r="I431" s="839"/>
      <c r="J431" s="839"/>
      <c r="K431" s="840"/>
      <c r="L431" s="841"/>
      <c r="M431" s="841"/>
      <c r="N431" s="842"/>
      <c r="O431" s="842"/>
      <c r="P431" s="843"/>
      <c r="Q431" s="843"/>
      <c r="R431" s="843"/>
      <c r="S431" s="844">
        <f t="shared" si="71"/>
        <v>0</v>
      </c>
      <c r="T431" s="838"/>
      <c r="U431" s="842"/>
      <c r="V431" s="843"/>
      <c r="W431" s="843"/>
      <c r="X431" s="843"/>
      <c r="Y431" s="843"/>
      <c r="Z431" s="843"/>
      <c r="AA431" s="837"/>
      <c r="AB431" s="837"/>
      <c r="AC431" s="845">
        <f t="shared" si="72"/>
        <v>0</v>
      </c>
      <c r="AD431" s="846">
        <f t="shared" si="73"/>
        <v>0</v>
      </c>
      <c r="AE431" s="847">
        <f t="shared" si="74"/>
        <v>0</v>
      </c>
      <c r="AF431" s="855">
        <f t="shared" si="67"/>
        <v>0</v>
      </c>
      <c r="AG431" s="848">
        <f>IF('Input Sheet'!$C$15="Yes",'Input Sheet'!$F$8,0)</f>
        <v>0</v>
      </c>
      <c r="AH431" s="846">
        <f>IF('Input Sheet'!$C$15="Yes",Rates!$E$45,0)</f>
        <v>0</v>
      </c>
      <c r="AI431" s="849">
        <f>IF('Input Sheet'!$C$15="Yes",'Input Sheet'!$F$11,0)</f>
        <v>0</v>
      </c>
      <c r="AJ431" s="850">
        <f>IF('Input Sheet'!$C$15="Yes",'Input Sheet'!$F$7,0)</f>
        <v>0</v>
      </c>
      <c r="AK431" s="856">
        <f t="shared" si="68"/>
        <v>0</v>
      </c>
      <c r="AL431" s="856">
        <f t="shared" si="69"/>
        <v>0</v>
      </c>
      <c r="AM431" s="856">
        <f t="shared" si="75"/>
        <v>0</v>
      </c>
      <c r="AN431" s="856">
        <f t="shared" si="70"/>
        <v>0</v>
      </c>
      <c r="AO431" s="852">
        <f t="shared" si="76"/>
        <v>0</v>
      </c>
      <c r="AP431" s="853">
        <f t="shared" si="77"/>
        <v>0</v>
      </c>
      <c r="AQ431" s="854">
        <f>IFERROR(P431*'Input Sheet'!$F$8/(((AI431)*AK431*2)-AN431),0)</f>
        <v>0</v>
      </c>
      <c r="AR431" s="854">
        <f>IFERROR(($P431-$AF431)*'Input Sheet'!$F$8/(((AI431)*AK431*2)-AN431),0)</f>
        <v>0</v>
      </c>
    </row>
    <row r="432" spans="2:44" s="798" customFormat="1" ht="30" customHeight="1" thickBot="1" x14ac:dyDescent="0.3">
      <c r="B432" s="835"/>
      <c r="C432" s="836"/>
      <c r="D432" s="836"/>
      <c r="E432" s="837"/>
      <c r="F432" s="837"/>
      <c r="G432" s="838"/>
      <c r="H432" s="838"/>
      <c r="I432" s="839"/>
      <c r="J432" s="839"/>
      <c r="K432" s="840"/>
      <c r="L432" s="841"/>
      <c r="M432" s="841"/>
      <c r="N432" s="842"/>
      <c r="O432" s="842"/>
      <c r="P432" s="843"/>
      <c r="Q432" s="843"/>
      <c r="R432" s="843"/>
      <c r="S432" s="844">
        <f t="shared" si="71"/>
        <v>0</v>
      </c>
      <c r="T432" s="838"/>
      <c r="U432" s="842"/>
      <c r="V432" s="843"/>
      <c r="W432" s="843"/>
      <c r="X432" s="843"/>
      <c r="Y432" s="843"/>
      <c r="Z432" s="843"/>
      <c r="AA432" s="837"/>
      <c r="AB432" s="837"/>
      <c r="AC432" s="845">
        <f t="shared" si="72"/>
        <v>0</v>
      </c>
      <c r="AD432" s="846">
        <f t="shared" si="73"/>
        <v>0</v>
      </c>
      <c r="AE432" s="847">
        <f t="shared" si="74"/>
        <v>0</v>
      </c>
      <c r="AF432" s="855">
        <f t="shared" si="67"/>
        <v>0</v>
      </c>
      <c r="AG432" s="848">
        <f>IF('Input Sheet'!$C$15="Yes",'Input Sheet'!$F$8,0)</f>
        <v>0</v>
      </c>
      <c r="AH432" s="846">
        <f>IF('Input Sheet'!$C$15="Yes",Rates!$E$45,0)</f>
        <v>0</v>
      </c>
      <c r="AI432" s="849">
        <f>IF('Input Sheet'!$C$15="Yes",'Input Sheet'!$F$11,0)</f>
        <v>0</v>
      </c>
      <c r="AJ432" s="850">
        <f>IF('Input Sheet'!$C$15="Yes",'Input Sheet'!$F$7,0)</f>
        <v>0</v>
      </c>
      <c r="AK432" s="856">
        <f t="shared" si="68"/>
        <v>0</v>
      </c>
      <c r="AL432" s="856">
        <f t="shared" si="69"/>
        <v>0</v>
      </c>
      <c r="AM432" s="856">
        <f t="shared" si="75"/>
        <v>0</v>
      </c>
      <c r="AN432" s="856">
        <f t="shared" si="70"/>
        <v>0</v>
      </c>
      <c r="AO432" s="852">
        <f t="shared" si="76"/>
        <v>0</v>
      </c>
      <c r="AP432" s="853">
        <f t="shared" si="77"/>
        <v>0</v>
      </c>
      <c r="AQ432" s="854">
        <f>IFERROR(P432*'Input Sheet'!$F$8/(((AI432)*AK432*2)-AN432),0)</f>
        <v>0</v>
      </c>
      <c r="AR432" s="854">
        <f>IFERROR(($P432-$AF432)*'Input Sheet'!$F$8/(((AI432)*AK432*2)-AN432),0)</f>
        <v>0</v>
      </c>
    </row>
    <row r="433" spans="2:44" s="798" customFormat="1" ht="30" customHeight="1" thickBot="1" x14ac:dyDescent="0.3">
      <c r="B433" s="835"/>
      <c r="C433" s="836"/>
      <c r="D433" s="836"/>
      <c r="E433" s="837"/>
      <c r="F433" s="837"/>
      <c r="G433" s="838"/>
      <c r="H433" s="838"/>
      <c r="I433" s="839"/>
      <c r="J433" s="839"/>
      <c r="K433" s="840"/>
      <c r="L433" s="841"/>
      <c r="M433" s="841"/>
      <c r="N433" s="842"/>
      <c r="O433" s="842"/>
      <c r="P433" s="843"/>
      <c r="Q433" s="843"/>
      <c r="R433" s="843"/>
      <c r="S433" s="844">
        <f t="shared" si="71"/>
        <v>0</v>
      </c>
      <c r="T433" s="838"/>
      <c r="U433" s="842"/>
      <c r="V433" s="843"/>
      <c r="W433" s="843"/>
      <c r="X433" s="843"/>
      <c r="Y433" s="843"/>
      <c r="Z433" s="843"/>
      <c r="AA433" s="837"/>
      <c r="AB433" s="837"/>
      <c r="AC433" s="845">
        <f t="shared" si="72"/>
        <v>0</v>
      </c>
      <c r="AD433" s="846">
        <f t="shared" si="73"/>
        <v>0</v>
      </c>
      <c r="AE433" s="847">
        <f t="shared" si="74"/>
        <v>0</v>
      </c>
      <c r="AF433" s="855">
        <f t="shared" si="67"/>
        <v>0</v>
      </c>
      <c r="AG433" s="848">
        <f>IF('Input Sheet'!$C$15="Yes",'Input Sheet'!$F$8,0)</f>
        <v>0</v>
      </c>
      <c r="AH433" s="846">
        <f>IF('Input Sheet'!$C$15="Yes",Rates!$E$45,0)</f>
        <v>0</v>
      </c>
      <c r="AI433" s="849">
        <f>IF('Input Sheet'!$C$15="Yes",'Input Sheet'!$F$11,0)</f>
        <v>0</v>
      </c>
      <c r="AJ433" s="850">
        <f>IF('Input Sheet'!$C$15="Yes",'Input Sheet'!$F$7,0)</f>
        <v>0</v>
      </c>
      <c r="AK433" s="856">
        <f t="shared" si="68"/>
        <v>0</v>
      </c>
      <c r="AL433" s="856">
        <f t="shared" si="69"/>
        <v>0</v>
      </c>
      <c r="AM433" s="856">
        <f t="shared" si="75"/>
        <v>0</v>
      </c>
      <c r="AN433" s="856">
        <f t="shared" si="70"/>
        <v>0</v>
      </c>
      <c r="AO433" s="852">
        <f t="shared" si="76"/>
        <v>0</v>
      </c>
      <c r="AP433" s="853">
        <f t="shared" si="77"/>
        <v>0</v>
      </c>
      <c r="AQ433" s="854">
        <f>IFERROR(P433*'Input Sheet'!$F$8/(((AI433)*AK433*2)-AN433),0)</f>
        <v>0</v>
      </c>
      <c r="AR433" s="854">
        <f>IFERROR(($P433-$AF433)*'Input Sheet'!$F$8/(((AI433)*AK433*2)-AN433),0)</f>
        <v>0</v>
      </c>
    </row>
    <row r="434" spans="2:44" s="798" customFormat="1" ht="30" customHeight="1" thickBot="1" x14ac:dyDescent="0.3">
      <c r="B434" s="835"/>
      <c r="C434" s="836"/>
      <c r="D434" s="836"/>
      <c r="E434" s="837"/>
      <c r="F434" s="837"/>
      <c r="G434" s="838"/>
      <c r="H434" s="838"/>
      <c r="I434" s="839"/>
      <c r="J434" s="839"/>
      <c r="K434" s="840"/>
      <c r="L434" s="841"/>
      <c r="M434" s="841"/>
      <c r="N434" s="842"/>
      <c r="O434" s="842"/>
      <c r="P434" s="843"/>
      <c r="Q434" s="843"/>
      <c r="R434" s="843"/>
      <c r="S434" s="844">
        <f t="shared" si="71"/>
        <v>0</v>
      </c>
      <c r="T434" s="838"/>
      <c r="U434" s="842"/>
      <c r="V434" s="843"/>
      <c r="W434" s="843"/>
      <c r="X434" s="843"/>
      <c r="Y434" s="843"/>
      <c r="Z434" s="843"/>
      <c r="AA434" s="837"/>
      <c r="AB434" s="837"/>
      <c r="AC434" s="845">
        <f t="shared" si="72"/>
        <v>0</v>
      </c>
      <c r="AD434" s="846">
        <f t="shared" si="73"/>
        <v>0</v>
      </c>
      <c r="AE434" s="847">
        <f t="shared" si="74"/>
        <v>0</v>
      </c>
      <c r="AF434" s="855">
        <f t="shared" si="67"/>
        <v>0</v>
      </c>
      <c r="AG434" s="848">
        <f>IF('Input Sheet'!$C$15="Yes",'Input Sheet'!$F$8,0)</f>
        <v>0</v>
      </c>
      <c r="AH434" s="846">
        <f>IF('Input Sheet'!$C$15="Yes",Rates!$E$45,0)</f>
        <v>0</v>
      </c>
      <c r="AI434" s="849">
        <f>IF('Input Sheet'!$C$15="Yes",'Input Sheet'!$F$11,0)</f>
        <v>0</v>
      </c>
      <c r="AJ434" s="850">
        <f>IF('Input Sheet'!$C$15="Yes",'Input Sheet'!$F$7,0)</f>
        <v>0</v>
      </c>
      <c r="AK434" s="856">
        <f t="shared" si="68"/>
        <v>0</v>
      </c>
      <c r="AL434" s="856">
        <f t="shared" si="69"/>
        <v>0</v>
      </c>
      <c r="AM434" s="856">
        <f t="shared" si="75"/>
        <v>0</v>
      </c>
      <c r="AN434" s="856">
        <f t="shared" si="70"/>
        <v>0</v>
      </c>
      <c r="AO434" s="852">
        <f t="shared" si="76"/>
        <v>0</v>
      </c>
      <c r="AP434" s="853">
        <f t="shared" si="77"/>
        <v>0</v>
      </c>
      <c r="AQ434" s="854">
        <f>IFERROR(P434*'Input Sheet'!$F$8/(((AI434)*AK434*2)-AN434),0)</f>
        <v>0</v>
      </c>
      <c r="AR434" s="854">
        <f>IFERROR(($P434-$AF434)*'Input Sheet'!$F$8/(((AI434)*AK434*2)-AN434),0)</f>
        <v>0</v>
      </c>
    </row>
    <row r="435" spans="2:44" s="798" customFormat="1" ht="30" customHeight="1" thickBot="1" x14ac:dyDescent="0.3">
      <c r="B435" s="835"/>
      <c r="C435" s="836"/>
      <c r="D435" s="836"/>
      <c r="E435" s="837"/>
      <c r="F435" s="837"/>
      <c r="G435" s="838"/>
      <c r="H435" s="838"/>
      <c r="I435" s="839"/>
      <c r="J435" s="839"/>
      <c r="K435" s="840"/>
      <c r="L435" s="841"/>
      <c r="M435" s="841"/>
      <c r="N435" s="842"/>
      <c r="O435" s="842"/>
      <c r="P435" s="843"/>
      <c r="Q435" s="843"/>
      <c r="R435" s="843"/>
      <c r="S435" s="844">
        <f t="shared" si="71"/>
        <v>0</v>
      </c>
      <c r="T435" s="838"/>
      <c r="U435" s="842"/>
      <c r="V435" s="843"/>
      <c r="W435" s="843"/>
      <c r="X435" s="843"/>
      <c r="Y435" s="843"/>
      <c r="Z435" s="843"/>
      <c r="AA435" s="837"/>
      <c r="AB435" s="837"/>
      <c r="AC435" s="845">
        <f t="shared" si="72"/>
        <v>0</v>
      </c>
      <c r="AD435" s="846">
        <f t="shared" si="73"/>
        <v>0</v>
      </c>
      <c r="AE435" s="847">
        <f t="shared" si="74"/>
        <v>0</v>
      </c>
      <c r="AF435" s="855">
        <f t="shared" si="67"/>
        <v>0</v>
      </c>
      <c r="AG435" s="848">
        <f>IF('Input Sheet'!$C$15="Yes",'Input Sheet'!$F$8,0)</f>
        <v>0</v>
      </c>
      <c r="AH435" s="846">
        <f>IF('Input Sheet'!$C$15="Yes",Rates!$E$45,0)</f>
        <v>0</v>
      </c>
      <c r="AI435" s="849">
        <f>IF('Input Sheet'!$C$15="Yes",'Input Sheet'!$F$11,0)</f>
        <v>0</v>
      </c>
      <c r="AJ435" s="850">
        <f>IF('Input Sheet'!$C$15="Yes",'Input Sheet'!$F$7,0)</f>
        <v>0</v>
      </c>
      <c r="AK435" s="856">
        <f t="shared" si="68"/>
        <v>0</v>
      </c>
      <c r="AL435" s="856">
        <f t="shared" si="69"/>
        <v>0</v>
      </c>
      <c r="AM435" s="856">
        <f t="shared" si="75"/>
        <v>0</v>
      </c>
      <c r="AN435" s="856">
        <f t="shared" si="70"/>
        <v>0</v>
      </c>
      <c r="AO435" s="852">
        <f t="shared" si="76"/>
        <v>0</v>
      </c>
      <c r="AP435" s="853">
        <f t="shared" si="77"/>
        <v>0</v>
      </c>
      <c r="AQ435" s="854">
        <f>IFERROR(P435*'Input Sheet'!$F$8/(((AI435)*AK435*2)-AN435),0)</f>
        <v>0</v>
      </c>
      <c r="AR435" s="854">
        <f>IFERROR(($P435-$AF435)*'Input Sheet'!$F$8/(((AI435)*AK435*2)-AN435),0)</f>
        <v>0</v>
      </c>
    </row>
    <row r="436" spans="2:44" s="798" customFormat="1" ht="30" customHeight="1" thickBot="1" x14ac:dyDescent="0.3">
      <c r="B436" s="835"/>
      <c r="C436" s="836"/>
      <c r="D436" s="836"/>
      <c r="E436" s="837"/>
      <c r="F436" s="837"/>
      <c r="G436" s="838"/>
      <c r="H436" s="838"/>
      <c r="I436" s="839"/>
      <c r="J436" s="839"/>
      <c r="K436" s="840"/>
      <c r="L436" s="841"/>
      <c r="M436" s="841"/>
      <c r="N436" s="842"/>
      <c r="O436" s="842"/>
      <c r="P436" s="843"/>
      <c r="Q436" s="843"/>
      <c r="R436" s="843"/>
      <c r="S436" s="844">
        <f t="shared" si="71"/>
        <v>0</v>
      </c>
      <c r="T436" s="838"/>
      <c r="U436" s="842"/>
      <c r="V436" s="843"/>
      <c r="W436" s="843"/>
      <c r="X436" s="843"/>
      <c r="Y436" s="843"/>
      <c r="Z436" s="843"/>
      <c r="AA436" s="837"/>
      <c r="AB436" s="837"/>
      <c r="AC436" s="845">
        <f t="shared" si="72"/>
        <v>0</v>
      </c>
      <c r="AD436" s="846">
        <f t="shared" si="73"/>
        <v>0</v>
      </c>
      <c r="AE436" s="847">
        <f t="shared" si="74"/>
        <v>0</v>
      </c>
      <c r="AF436" s="855">
        <f t="shared" si="67"/>
        <v>0</v>
      </c>
      <c r="AG436" s="848">
        <f>IF('Input Sheet'!$C$15="Yes",'Input Sheet'!$F$8,0)</f>
        <v>0</v>
      </c>
      <c r="AH436" s="846">
        <f>IF('Input Sheet'!$C$15="Yes",Rates!$E$45,0)</f>
        <v>0</v>
      </c>
      <c r="AI436" s="849">
        <f>IF('Input Sheet'!$C$15="Yes",'Input Sheet'!$F$11,0)</f>
        <v>0</v>
      </c>
      <c r="AJ436" s="850">
        <f>IF('Input Sheet'!$C$15="Yes",'Input Sheet'!$F$7,0)</f>
        <v>0</v>
      </c>
      <c r="AK436" s="856">
        <f t="shared" si="68"/>
        <v>0</v>
      </c>
      <c r="AL436" s="856">
        <f t="shared" si="69"/>
        <v>0</v>
      </c>
      <c r="AM436" s="856">
        <f t="shared" si="75"/>
        <v>0</v>
      </c>
      <c r="AN436" s="856">
        <f t="shared" si="70"/>
        <v>0</v>
      </c>
      <c r="AO436" s="852">
        <f t="shared" si="76"/>
        <v>0</v>
      </c>
      <c r="AP436" s="853">
        <f t="shared" si="77"/>
        <v>0</v>
      </c>
      <c r="AQ436" s="854">
        <f>IFERROR(P436*'Input Sheet'!$F$8/(((AI436)*AK436*2)-AN436),0)</f>
        <v>0</v>
      </c>
      <c r="AR436" s="854">
        <f>IFERROR(($P436-$AF436)*'Input Sheet'!$F$8/(((AI436)*AK436*2)-AN436),0)</f>
        <v>0</v>
      </c>
    </row>
    <row r="437" spans="2:44" s="798" customFormat="1" ht="30" customHeight="1" thickBot="1" x14ac:dyDescent="0.3">
      <c r="B437" s="835"/>
      <c r="C437" s="836"/>
      <c r="D437" s="836"/>
      <c r="E437" s="837"/>
      <c r="F437" s="837"/>
      <c r="G437" s="838"/>
      <c r="H437" s="838"/>
      <c r="I437" s="839"/>
      <c r="J437" s="839"/>
      <c r="K437" s="840"/>
      <c r="L437" s="841"/>
      <c r="M437" s="841"/>
      <c r="N437" s="842"/>
      <c r="O437" s="842"/>
      <c r="P437" s="843"/>
      <c r="Q437" s="843"/>
      <c r="R437" s="843"/>
      <c r="S437" s="844">
        <f t="shared" si="71"/>
        <v>0</v>
      </c>
      <c r="T437" s="838"/>
      <c r="U437" s="842"/>
      <c r="V437" s="843"/>
      <c r="W437" s="843"/>
      <c r="X437" s="843"/>
      <c r="Y437" s="843"/>
      <c r="Z437" s="843"/>
      <c r="AA437" s="837"/>
      <c r="AB437" s="837"/>
      <c r="AC437" s="845">
        <f t="shared" si="72"/>
        <v>0</v>
      </c>
      <c r="AD437" s="846">
        <f t="shared" si="73"/>
        <v>0</v>
      </c>
      <c r="AE437" s="847">
        <f t="shared" si="74"/>
        <v>0</v>
      </c>
      <c r="AF437" s="855">
        <f t="shared" si="67"/>
        <v>0</v>
      </c>
      <c r="AG437" s="848">
        <f>IF('Input Sheet'!$C$15="Yes",'Input Sheet'!$F$8,0)</f>
        <v>0</v>
      </c>
      <c r="AH437" s="846">
        <f>IF('Input Sheet'!$C$15="Yes",Rates!$E$45,0)</f>
        <v>0</v>
      </c>
      <c r="AI437" s="849">
        <f>IF('Input Sheet'!$C$15="Yes",'Input Sheet'!$F$11,0)</f>
        <v>0</v>
      </c>
      <c r="AJ437" s="850">
        <f>IF('Input Sheet'!$C$15="Yes",'Input Sheet'!$F$7,0)</f>
        <v>0</v>
      </c>
      <c r="AK437" s="856">
        <f t="shared" si="68"/>
        <v>0</v>
      </c>
      <c r="AL437" s="856">
        <f t="shared" si="69"/>
        <v>0</v>
      </c>
      <c r="AM437" s="856">
        <f t="shared" si="75"/>
        <v>0</v>
      </c>
      <c r="AN437" s="856">
        <f t="shared" si="70"/>
        <v>0</v>
      </c>
      <c r="AO437" s="852">
        <f t="shared" si="76"/>
        <v>0</v>
      </c>
      <c r="AP437" s="853">
        <f t="shared" si="77"/>
        <v>0</v>
      </c>
      <c r="AQ437" s="854">
        <f>IFERROR(P437*'Input Sheet'!$F$8/(((AI437)*AK437*2)-AN437),0)</f>
        <v>0</v>
      </c>
      <c r="AR437" s="854">
        <f>IFERROR(($P437-$AF437)*'Input Sheet'!$F$8/(((AI437)*AK437*2)-AN437),0)</f>
        <v>0</v>
      </c>
    </row>
    <row r="438" spans="2:44" s="798" customFormat="1" ht="30" customHeight="1" thickBot="1" x14ac:dyDescent="0.3">
      <c r="B438" s="835"/>
      <c r="C438" s="836"/>
      <c r="D438" s="836"/>
      <c r="E438" s="837"/>
      <c r="F438" s="837"/>
      <c r="G438" s="838"/>
      <c r="H438" s="838"/>
      <c r="I438" s="839"/>
      <c r="J438" s="839"/>
      <c r="K438" s="840"/>
      <c r="L438" s="841"/>
      <c r="M438" s="841"/>
      <c r="N438" s="842"/>
      <c r="O438" s="842"/>
      <c r="P438" s="843"/>
      <c r="Q438" s="843"/>
      <c r="R438" s="843"/>
      <c r="S438" s="844">
        <f t="shared" si="71"/>
        <v>0</v>
      </c>
      <c r="T438" s="838"/>
      <c r="U438" s="842"/>
      <c r="V438" s="843"/>
      <c r="W438" s="843"/>
      <c r="X438" s="843"/>
      <c r="Y438" s="843"/>
      <c r="Z438" s="843"/>
      <c r="AA438" s="837"/>
      <c r="AB438" s="837"/>
      <c r="AC438" s="845">
        <f t="shared" si="72"/>
        <v>0</v>
      </c>
      <c r="AD438" s="846">
        <f t="shared" si="73"/>
        <v>0</v>
      </c>
      <c r="AE438" s="847">
        <f t="shared" si="74"/>
        <v>0</v>
      </c>
      <c r="AF438" s="855">
        <f t="shared" si="67"/>
        <v>0</v>
      </c>
      <c r="AG438" s="848">
        <f>IF('Input Sheet'!$C$15="Yes",'Input Sheet'!$F$8,0)</f>
        <v>0</v>
      </c>
      <c r="AH438" s="846">
        <f>IF('Input Sheet'!$C$15="Yes",Rates!$E$45,0)</f>
        <v>0</v>
      </c>
      <c r="AI438" s="849">
        <f>IF('Input Sheet'!$C$15="Yes",'Input Sheet'!$F$11,0)</f>
        <v>0</v>
      </c>
      <c r="AJ438" s="850">
        <f>IF('Input Sheet'!$C$15="Yes",'Input Sheet'!$F$7,0)</f>
        <v>0</v>
      </c>
      <c r="AK438" s="856">
        <f t="shared" si="68"/>
        <v>0</v>
      </c>
      <c r="AL438" s="856">
        <f t="shared" si="69"/>
        <v>0</v>
      </c>
      <c r="AM438" s="856">
        <f t="shared" si="75"/>
        <v>0</v>
      </c>
      <c r="AN438" s="856">
        <f t="shared" si="70"/>
        <v>0</v>
      </c>
      <c r="AO438" s="852">
        <f t="shared" si="76"/>
        <v>0</v>
      </c>
      <c r="AP438" s="853">
        <f t="shared" si="77"/>
        <v>0</v>
      </c>
      <c r="AQ438" s="854">
        <f>IFERROR(P438*'Input Sheet'!$F$8/(((AI438)*AK438*2)-AN438),0)</f>
        <v>0</v>
      </c>
      <c r="AR438" s="854">
        <f>IFERROR(($P438-$AF438)*'Input Sheet'!$F$8/(((AI438)*AK438*2)-AN438),0)</f>
        <v>0</v>
      </c>
    </row>
    <row r="439" spans="2:44" s="798" customFormat="1" ht="30" customHeight="1" thickBot="1" x14ac:dyDescent="0.3">
      <c r="B439" s="835"/>
      <c r="C439" s="836"/>
      <c r="D439" s="836"/>
      <c r="E439" s="837"/>
      <c r="F439" s="837"/>
      <c r="G439" s="838"/>
      <c r="H439" s="838"/>
      <c r="I439" s="839"/>
      <c r="J439" s="839"/>
      <c r="K439" s="840"/>
      <c r="L439" s="841"/>
      <c r="M439" s="841"/>
      <c r="N439" s="842"/>
      <c r="O439" s="842"/>
      <c r="P439" s="843"/>
      <c r="Q439" s="843"/>
      <c r="R439" s="843"/>
      <c r="S439" s="844">
        <f t="shared" si="71"/>
        <v>0</v>
      </c>
      <c r="T439" s="838"/>
      <c r="U439" s="842"/>
      <c r="V439" s="843"/>
      <c r="W439" s="843"/>
      <c r="X439" s="843"/>
      <c r="Y439" s="843"/>
      <c r="Z439" s="843"/>
      <c r="AA439" s="837"/>
      <c r="AB439" s="837"/>
      <c r="AC439" s="845">
        <f t="shared" si="72"/>
        <v>0</v>
      </c>
      <c r="AD439" s="846">
        <f t="shared" si="73"/>
        <v>0</v>
      </c>
      <c r="AE439" s="847">
        <f t="shared" si="74"/>
        <v>0</v>
      </c>
      <c r="AF439" s="855">
        <f t="shared" si="67"/>
        <v>0</v>
      </c>
      <c r="AG439" s="848">
        <f>IF('Input Sheet'!$C$15="Yes",'Input Sheet'!$F$8,0)</f>
        <v>0</v>
      </c>
      <c r="AH439" s="846">
        <f>IF('Input Sheet'!$C$15="Yes",Rates!$E$45,0)</f>
        <v>0</v>
      </c>
      <c r="AI439" s="849">
        <f>IF('Input Sheet'!$C$15="Yes",'Input Sheet'!$F$11,0)</f>
        <v>0</v>
      </c>
      <c r="AJ439" s="850">
        <f>IF('Input Sheet'!$C$15="Yes",'Input Sheet'!$F$7,0)</f>
        <v>0</v>
      </c>
      <c r="AK439" s="856">
        <f t="shared" si="68"/>
        <v>0</v>
      </c>
      <c r="AL439" s="856">
        <f t="shared" si="69"/>
        <v>0</v>
      </c>
      <c r="AM439" s="856">
        <f t="shared" si="75"/>
        <v>0</v>
      </c>
      <c r="AN439" s="856">
        <f t="shared" si="70"/>
        <v>0</v>
      </c>
      <c r="AO439" s="852">
        <f t="shared" si="76"/>
        <v>0</v>
      </c>
      <c r="AP439" s="853">
        <f t="shared" si="77"/>
        <v>0</v>
      </c>
      <c r="AQ439" s="854">
        <f>IFERROR(P439*'Input Sheet'!$F$8/(((AI439)*AK439*2)-AN439),0)</f>
        <v>0</v>
      </c>
      <c r="AR439" s="854">
        <f>IFERROR(($P439-$AF439)*'Input Sheet'!$F$8/(((AI439)*AK439*2)-AN439),0)</f>
        <v>0</v>
      </c>
    </row>
    <row r="440" spans="2:44" s="798" customFormat="1" ht="30" customHeight="1" thickBot="1" x14ac:dyDescent="0.3">
      <c r="B440" s="835"/>
      <c r="C440" s="836"/>
      <c r="D440" s="836"/>
      <c r="E440" s="837"/>
      <c r="F440" s="837"/>
      <c r="G440" s="838"/>
      <c r="H440" s="838"/>
      <c r="I440" s="839"/>
      <c r="J440" s="839"/>
      <c r="K440" s="840"/>
      <c r="L440" s="841"/>
      <c r="M440" s="841"/>
      <c r="N440" s="842"/>
      <c r="O440" s="842"/>
      <c r="P440" s="843"/>
      <c r="Q440" s="843"/>
      <c r="R440" s="843"/>
      <c r="S440" s="844">
        <f t="shared" si="71"/>
        <v>0</v>
      </c>
      <c r="T440" s="838"/>
      <c r="U440" s="842"/>
      <c r="V440" s="843"/>
      <c r="W440" s="843"/>
      <c r="X440" s="843"/>
      <c r="Y440" s="843"/>
      <c r="Z440" s="843"/>
      <c r="AA440" s="837"/>
      <c r="AB440" s="837"/>
      <c r="AC440" s="845">
        <f t="shared" si="72"/>
        <v>0</v>
      </c>
      <c r="AD440" s="846">
        <f t="shared" si="73"/>
        <v>0</v>
      </c>
      <c r="AE440" s="847">
        <f t="shared" si="74"/>
        <v>0</v>
      </c>
      <c r="AF440" s="855">
        <f t="shared" si="67"/>
        <v>0</v>
      </c>
      <c r="AG440" s="848">
        <f>IF('Input Sheet'!$C$15="Yes",'Input Sheet'!$F$8,0)</f>
        <v>0</v>
      </c>
      <c r="AH440" s="846">
        <f>IF('Input Sheet'!$C$15="Yes",Rates!$E$45,0)</f>
        <v>0</v>
      </c>
      <c r="AI440" s="849">
        <f>IF('Input Sheet'!$C$15="Yes",'Input Sheet'!$F$11,0)</f>
        <v>0</v>
      </c>
      <c r="AJ440" s="850">
        <f>IF('Input Sheet'!$C$15="Yes",'Input Sheet'!$F$7,0)</f>
        <v>0</v>
      </c>
      <c r="AK440" s="856">
        <f t="shared" si="68"/>
        <v>0</v>
      </c>
      <c r="AL440" s="856">
        <f t="shared" si="69"/>
        <v>0</v>
      </c>
      <c r="AM440" s="856">
        <f t="shared" si="75"/>
        <v>0</v>
      </c>
      <c r="AN440" s="856">
        <f t="shared" si="70"/>
        <v>0</v>
      </c>
      <c r="AO440" s="852">
        <f t="shared" si="76"/>
        <v>0</v>
      </c>
      <c r="AP440" s="853">
        <f t="shared" si="77"/>
        <v>0</v>
      </c>
      <c r="AQ440" s="854">
        <f>IFERROR(P440*'Input Sheet'!$F$8/(((AI440)*AK440*2)-AN440),0)</f>
        <v>0</v>
      </c>
      <c r="AR440" s="854">
        <f>IFERROR(($P440-$AF440)*'Input Sheet'!$F$8/(((AI440)*AK440*2)-AN440),0)</f>
        <v>0</v>
      </c>
    </row>
    <row r="441" spans="2:44" s="798" customFormat="1" ht="30" customHeight="1" thickBot="1" x14ac:dyDescent="0.3">
      <c r="B441" s="835"/>
      <c r="C441" s="836"/>
      <c r="D441" s="836"/>
      <c r="E441" s="837"/>
      <c r="F441" s="837"/>
      <c r="G441" s="838"/>
      <c r="H441" s="838"/>
      <c r="I441" s="839"/>
      <c r="J441" s="839"/>
      <c r="K441" s="840"/>
      <c r="L441" s="841"/>
      <c r="M441" s="841"/>
      <c r="N441" s="842"/>
      <c r="O441" s="842"/>
      <c r="P441" s="843"/>
      <c r="Q441" s="843"/>
      <c r="R441" s="843"/>
      <c r="S441" s="844">
        <f t="shared" si="71"/>
        <v>0</v>
      </c>
      <c r="T441" s="838"/>
      <c r="U441" s="842"/>
      <c r="V441" s="843"/>
      <c r="W441" s="843"/>
      <c r="X441" s="843"/>
      <c r="Y441" s="843"/>
      <c r="Z441" s="843"/>
      <c r="AA441" s="837"/>
      <c r="AB441" s="837"/>
      <c r="AC441" s="845">
        <f t="shared" si="72"/>
        <v>0</v>
      </c>
      <c r="AD441" s="846">
        <f t="shared" si="73"/>
        <v>0</v>
      </c>
      <c r="AE441" s="847">
        <f t="shared" si="74"/>
        <v>0</v>
      </c>
      <c r="AF441" s="855">
        <f t="shared" si="67"/>
        <v>0</v>
      </c>
      <c r="AG441" s="848">
        <f>IF('Input Sheet'!$C$15="Yes",'Input Sheet'!$F$8,0)</f>
        <v>0</v>
      </c>
      <c r="AH441" s="846">
        <f>IF('Input Sheet'!$C$15="Yes",Rates!$E$45,0)</f>
        <v>0</v>
      </c>
      <c r="AI441" s="849">
        <f>IF('Input Sheet'!$C$15="Yes",'Input Sheet'!$F$11,0)</f>
        <v>0</v>
      </c>
      <c r="AJ441" s="850">
        <f>IF('Input Sheet'!$C$15="Yes",'Input Sheet'!$F$7,0)</f>
        <v>0</v>
      </c>
      <c r="AK441" s="856">
        <f t="shared" si="68"/>
        <v>0</v>
      </c>
      <c r="AL441" s="856">
        <f t="shared" si="69"/>
        <v>0</v>
      </c>
      <c r="AM441" s="856">
        <f t="shared" si="75"/>
        <v>0</v>
      </c>
      <c r="AN441" s="856">
        <f t="shared" si="70"/>
        <v>0</v>
      </c>
      <c r="AO441" s="852">
        <f t="shared" si="76"/>
        <v>0</v>
      </c>
      <c r="AP441" s="853">
        <f t="shared" si="77"/>
        <v>0</v>
      </c>
      <c r="AQ441" s="854">
        <f>IFERROR(P441*'Input Sheet'!$F$8/(((AI441)*AK441*2)-AN441),0)</f>
        <v>0</v>
      </c>
      <c r="AR441" s="854">
        <f>IFERROR(($P441-$AF441)*'Input Sheet'!$F$8/(((AI441)*AK441*2)-AN441),0)</f>
        <v>0</v>
      </c>
    </row>
    <row r="442" spans="2:44" s="798" customFormat="1" ht="30" customHeight="1" thickBot="1" x14ac:dyDescent="0.3">
      <c r="B442" s="835"/>
      <c r="C442" s="836"/>
      <c r="D442" s="836"/>
      <c r="E442" s="837"/>
      <c r="F442" s="837"/>
      <c r="G442" s="838"/>
      <c r="H442" s="838"/>
      <c r="I442" s="839"/>
      <c r="J442" s="839"/>
      <c r="K442" s="840"/>
      <c r="L442" s="841"/>
      <c r="M442" s="841"/>
      <c r="N442" s="842"/>
      <c r="O442" s="842"/>
      <c r="P442" s="843"/>
      <c r="Q442" s="843"/>
      <c r="R442" s="843"/>
      <c r="S442" s="844">
        <f t="shared" si="71"/>
        <v>0</v>
      </c>
      <c r="T442" s="838"/>
      <c r="U442" s="842"/>
      <c r="V442" s="843"/>
      <c r="W442" s="843"/>
      <c r="X442" s="843"/>
      <c r="Y442" s="843"/>
      <c r="Z442" s="843"/>
      <c r="AA442" s="837"/>
      <c r="AB442" s="837"/>
      <c r="AC442" s="845">
        <f t="shared" si="72"/>
        <v>0</v>
      </c>
      <c r="AD442" s="846">
        <f t="shared" si="73"/>
        <v>0</v>
      </c>
      <c r="AE442" s="847">
        <f t="shared" si="74"/>
        <v>0</v>
      </c>
      <c r="AF442" s="855">
        <f t="shared" si="67"/>
        <v>0</v>
      </c>
      <c r="AG442" s="848">
        <f>IF('Input Sheet'!$C$15="Yes",'Input Sheet'!$F$8,0)</f>
        <v>0</v>
      </c>
      <c r="AH442" s="846">
        <f>IF('Input Sheet'!$C$15="Yes",Rates!$E$45,0)</f>
        <v>0</v>
      </c>
      <c r="AI442" s="849">
        <f>IF('Input Sheet'!$C$15="Yes",'Input Sheet'!$F$11,0)</f>
        <v>0</v>
      </c>
      <c r="AJ442" s="850">
        <f>IF('Input Sheet'!$C$15="Yes",'Input Sheet'!$F$7,0)</f>
        <v>0</v>
      </c>
      <c r="AK442" s="856">
        <f t="shared" si="68"/>
        <v>0</v>
      </c>
      <c r="AL442" s="856">
        <f t="shared" si="69"/>
        <v>0</v>
      </c>
      <c r="AM442" s="856">
        <f t="shared" si="75"/>
        <v>0</v>
      </c>
      <c r="AN442" s="856">
        <f t="shared" si="70"/>
        <v>0</v>
      </c>
      <c r="AO442" s="852">
        <f t="shared" si="76"/>
        <v>0</v>
      </c>
      <c r="AP442" s="853">
        <f t="shared" si="77"/>
        <v>0</v>
      </c>
      <c r="AQ442" s="854">
        <f>IFERROR(P442*'Input Sheet'!$F$8/(((AI442)*AK442*2)-AN442),0)</f>
        <v>0</v>
      </c>
      <c r="AR442" s="854">
        <f>IFERROR(($P442-$AF442)*'Input Sheet'!$F$8/(((AI442)*AK442*2)-AN442),0)</f>
        <v>0</v>
      </c>
    </row>
    <row r="443" spans="2:44" s="798" customFormat="1" ht="30" customHeight="1" thickBot="1" x14ac:dyDescent="0.3">
      <c r="B443" s="835"/>
      <c r="C443" s="836"/>
      <c r="D443" s="836"/>
      <c r="E443" s="837"/>
      <c r="F443" s="837"/>
      <c r="G443" s="838"/>
      <c r="H443" s="838"/>
      <c r="I443" s="839"/>
      <c r="J443" s="839"/>
      <c r="K443" s="840"/>
      <c r="L443" s="841"/>
      <c r="M443" s="841"/>
      <c r="N443" s="842"/>
      <c r="O443" s="842"/>
      <c r="P443" s="843"/>
      <c r="Q443" s="843"/>
      <c r="R443" s="843"/>
      <c r="S443" s="844">
        <f t="shared" si="71"/>
        <v>0</v>
      </c>
      <c r="T443" s="838"/>
      <c r="U443" s="842"/>
      <c r="V443" s="843"/>
      <c r="W443" s="843"/>
      <c r="X443" s="843"/>
      <c r="Y443" s="843"/>
      <c r="Z443" s="843"/>
      <c r="AA443" s="837"/>
      <c r="AB443" s="837"/>
      <c r="AC443" s="845">
        <f t="shared" si="72"/>
        <v>0</v>
      </c>
      <c r="AD443" s="846">
        <f t="shared" si="73"/>
        <v>0</v>
      </c>
      <c r="AE443" s="847">
        <f t="shared" si="74"/>
        <v>0</v>
      </c>
      <c r="AF443" s="855">
        <f t="shared" si="67"/>
        <v>0</v>
      </c>
      <c r="AG443" s="848">
        <f>IF('Input Sheet'!$C$15="Yes",'Input Sheet'!$F$8,0)</f>
        <v>0</v>
      </c>
      <c r="AH443" s="846">
        <f>IF('Input Sheet'!$C$15="Yes",Rates!$E$45,0)</f>
        <v>0</v>
      </c>
      <c r="AI443" s="849">
        <f>IF('Input Sheet'!$C$15="Yes",'Input Sheet'!$F$11,0)</f>
        <v>0</v>
      </c>
      <c r="AJ443" s="850">
        <f>IF('Input Sheet'!$C$15="Yes",'Input Sheet'!$F$7,0)</f>
        <v>0</v>
      </c>
      <c r="AK443" s="856">
        <f t="shared" si="68"/>
        <v>0</v>
      </c>
      <c r="AL443" s="856">
        <f t="shared" si="69"/>
        <v>0</v>
      </c>
      <c r="AM443" s="856">
        <f t="shared" si="75"/>
        <v>0</v>
      </c>
      <c r="AN443" s="856">
        <f t="shared" si="70"/>
        <v>0</v>
      </c>
      <c r="AO443" s="852">
        <f t="shared" si="76"/>
        <v>0</v>
      </c>
      <c r="AP443" s="853">
        <f t="shared" si="77"/>
        <v>0</v>
      </c>
      <c r="AQ443" s="854">
        <f>IFERROR(P443*'Input Sheet'!$F$8/(((AI443)*AK443*2)-AN443),0)</f>
        <v>0</v>
      </c>
      <c r="AR443" s="854">
        <f>IFERROR(($P443-$AF443)*'Input Sheet'!$F$8/(((AI443)*AK443*2)-AN443),0)</f>
        <v>0</v>
      </c>
    </row>
    <row r="444" spans="2:44" s="798" customFormat="1" ht="30" customHeight="1" thickBot="1" x14ac:dyDescent="0.3">
      <c r="B444" s="835"/>
      <c r="C444" s="836"/>
      <c r="D444" s="836"/>
      <c r="E444" s="837"/>
      <c r="F444" s="837"/>
      <c r="G444" s="838"/>
      <c r="H444" s="838"/>
      <c r="I444" s="839"/>
      <c r="J444" s="839"/>
      <c r="K444" s="840"/>
      <c r="L444" s="841"/>
      <c r="M444" s="841"/>
      <c r="N444" s="842"/>
      <c r="O444" s="842"/>
      <c r="P444" s="843"/>
      <c r="Q444" s="843"/>
      <c r="R444" s="843"/>
      <c r="S444" s="844">
        <f t="shared" si="71"/>
        <v>0</v>
      </c>
      <c r="T444" s="838"/>
      <c r="U444" s="842"/>
      <c r="V444" s="843"/>
      <c r="W444" s="843"/>
      <c r="X444" s="843"/>
      <c r="Y444" s="843"/>
      <c r="Z444" s="843"/>
      <c r="AA444" s="837"/>
      <c r="AB444" s="837"/>
      <c r="AC444" s="845">
        <f t="shared" si="72"/>
        <v>0</v>
      </c>
      <c r="AD444" s="846">
        <f t="shared" si="73"/>
        <v>0</v>
      </c>
      <c r="AE444" s="847">
        <f t="shared" si="74"/>
        <v>0</v>
      </c>
      <c r="AF444" s="855">
        <f t="shared" si="67"/>
        <v>0</v>
      </c>
      <c r="AG444" s="848">
        <f>IF('Input Sheet'!$C$15="Yes",'Input Sheet'!$F$8,0)</f>
        <v>0</v>
      </c>
      <c r="AH444" s="846">
        <f>IF('Input Sheet'!$C$15="Yes",Rates!$E$45,0)</f>
        <v>0</v>
      </c>
      <c r="AI444" s="849">
        <f>IF('Input Sheet'!$C$15="Yes",'Input Sheet'!$F$11,0)</f>
        <v>0</v>
      </c>
      <c r="AJ444" s="850">
        <f>IF('Input Sheet'!$C$15="Yes",'Input Sheet'!$F$7,0)</f>
        <v>0</v>
      </c>
      <c r="AK444" s="856">
        <f t="shared" si="68"/>
        <v>0</v>
      </c>
      <c r="AL444" s="856">
        <f t="shared" si="69"/>
        <v>0</v>
      </c>
      <c r="AM444" s="856">
        <f t="shared" si="75"/>
        <v>0</v>
      </c>
      <c r="AN444" s="856">
        <f t="shared" si="70"/>
        <v>0</v>
      </c>
      <c r="AO444" s="852">
        <f t="shared" si="76"/>
        <v>0</v>
      </c>
      <c r="AP444" s="853">
        <f t="shared" si="77"/>
        <v>0</v>
      </c>
      <c r="AQ444" s="854">
        <f>IFERROR(P444*'Input Sheet'!$F$8/(((AI444)*AK444*2)-AN444),0)</f>
        <v>0</v>
      </c>
      <c r="AR444" s="854">
        <f>IFERROR(($P444-$AF444)*'Input Sheet'!$F$8/(((AI444)*AK444*2)-AN444),0)</f>
        <v>0</v>
      </c>
    </row>
    <row r="445" spans="2:44" s="798" customFormat="1" ht="30" customHeight="1" thickBot="1" x14ac:dyDescent="0.3">
      <c r="B445" s="835"/>
      <c r="C445" s="836"/>
      <c r="D445" s="836"/>
      <c r="E445" s="837"/>
      <c r="F445" s="837"/>
      <c r="G445" s="838"/>
      <c r="H445" s="838"/>
      <c r="I445" s="839"/>
      <c r="J445" s="839"/>
      <c r="K445" s="840"/>
      <c r="L445" s="841"/>
      <c r="M445" s="841"/>
      <c r="N445" s="842"/>
      <c r="O445" s="842"/>
      <c r="P445" s="843"/>
      <c r="Q445" s="843"/>
      <c r="R445" s="843"/>
      <c r="S445" s="844">
        <f t="shared" si="71"/>
        <v>0</v>
      </c>
      <c r="T445" s="838"/>
      <c r="U445" s="842"/>
      <c r="V445" s="843"/>
      <c r="W445" s="843"/>
      <c r="X445" s="843"/>
      <c r="Y445" s="843"/>
      <c r="Z445" s="843"/>
      <c r="AA445" s="837"/>
      <c r="AB445" s="837"/>
      <c r="AC445" s="845">
        <f t="shared" si="72"/>
        <v>0</v>
      </c>
      <c r="AD445" s="846">
        <f t="shared" si="73"/>
        <v>0</v>
      </c>
      <c r="AE445" s="847">
        <f t="shared" si="74"/>
        <v>0</v>
      </c>
      <c r="AF445" s="855">
        <f t="shared" si="67"/>
        <v>0</v>
      </c>
      <c r="AG445" s="848">
        <f>IF('Input Sheet'!$C$15="Yes",'Input Sheet'!$F$8,0)</f>
        <v>0</v>
      </c>
      <c r="AH445" s="846">
        <f>IF('Input Sheet'!$C$15="Yes",Rates!$E$45,0)</f>
        <v>0</v>
      </c>
      <c r="AI445" s="849">
        <f>IF('Input Sheet'!$C$15="Yes",'Input Sheet'!$F$11,0)</f>
        <v>0</v>
      </c>
      <c r="AJ445" s="850">
        <f>IF('Input Sheet'!$C$15="Yes",'Input Sheet'!$F$7,0)</f>
        <v>0</v>
      </c>
      <c r="AK445" s="856">
        <f t="shared" si="68"/>
        <v>0</v>
      </c>
      <c r="AL445" s="856">
        <f t="shared" si="69"/>
        <v>0</v>
      </c>
      <c r="AM445" s="856">
        <f t="shared" si="75"/>
        <v>0</v>
      </c>
      <c r="AN445" s="856">
        <f t="shared" si="70"/>
        <v>0</v>
      </c>
      <c r="AO445" s="852">
        <f t="shared" si="76"/>
        <v>0</v>
      </c>
      <c r="AP445" s="853">
        <f t="shared" si="77"/>
        <v>0</v>
      </c>
      <c r="AQ445" s="854">
        <f>IFERROR(P445*'Input Sheet'!$F$8/(((AI445)*AK445*2)-AN445),0)</f>
        <v>0</v>
      </c>
      <c r="AR445" s="854">
        <f>IFERROR(($P445-$AF445)*'Input Sheet'!$F$8/(((AI445)*AK445*2)-AN445),0)</f>
        <v>0</v>
      </c>
    </row>
    <row r="446" spans="2:44" s="798" customFormat="1" ht="30" customHeight="1" thickBot="1" x14ac:dyDescent="0.3">
      <c r="B446" s="835"/>
      <c r="C446" s="836"/>
      <c r="D446" s="836"/>
      <c r="E446" s="837"/>
      <c r="F446" s="837"/>
      <c r="G446" s="838"/>
      <c r="H446" s="838"/>
      <c r="I446" s="839"/>
      <c r="J446" s="839"/>
      <c r="K446" s="840"/>
      <c r="L446" s="841"/>
      <c r="M446" s="841"/>
      <c r="N446" s="842"/>
      <c r="O446" s="842"/>
      <c r="P446" s="843"/>
      <c r="Q446" s="843"/>
      <c r="R446" s="843"/>
      <c r="S446" s="844">
        <f t="shared" si="71"/>
        <v>0</v>
      </c>
      <c r="T446" s="838"/>
      <c r="U446" s="842"/>
      <c r="V446" s="843"/>
      <c r="W446" s="843"/>
      <c r="X446" s="843"/>
      <c r="Y446" s="843"/>
      <c r="Z446" s="843"/>
      <c r="AA446" s="837"/>
      <c r="AB446" s="837"/>
      <c r="AC446" s="845">
        <f t="shared" si="72"/>
        <v>0</v>
      </c>
      <c r="AD446" s="846">
        <f t="shared" si="73"/>
        <v>0</v>
      </c>
      <c r="AE446" s="847">
        <f t="shared" si="74"/>
        <v>0</v>
      </c>
      <c r="AF446" s="855">
        <f t="shared" si="67"/>
        <v>0</v>
      </c>
      <c r="AG446" s="848">
        <f>IF('Input Sheet'!$C$15="Yes",'Input Sheet'!$F$8,0)</f>
        <v>0</v>
      </c>
      <c r="AH446" s="846">
        <f>IF('Input Sheet'!$C$15="Yes",Rates!$E$45,0)</f>
        <v>0</v>
      </c>
      <c r="AI446" s="849">
        <f>IF('Input Sheet'!$C$15="Yes",'Input Sheet'!$F$11,0)</f>
        <v>0</v>
      </c>
      <c r="AJ446" s="850">
        <f>IF('Input Sheet'!$C$15="Yes",'Input Sheet'!$F$7,0)</f>
        <v>0</v>
      </c>
      <c r="AK446" s="856">
        <f t="shared" si="68"/>
        <v>0</v>
      </c>
      <c r="AL446" s="856">
        <f t="shared" si="69"/>
        <v>0</v>
      </c>
      <c r="AM446" s="856">
        <f t="shared" si="75"/>
        <v>0</v>
      </c>
      <c r="AN446" s="856">
        <f t="shared" si="70"/>
        <v>0</v>
      </c>
      <c r="AO446" s="852">
        <f t="shared" si="76"/>
        <v>0</v>
      </c>
      <c r="AP446" s="853">
        <f t="shared" si="77"/>
        <v>0</v>
      </c>
      <c r="AQ446" s="854">
        <f>IFERROR(P446*'Input Sheet'!$F$8/(((AI446)*AK446*2)-AN446),0)</f>
        <v>0</v>
      </c>
      <c r="AR446" s="854">
        <f>IFERROR(($P446-$AF446)*'Input Sheet'!$F$8/(((AI446)*AK446*2)-AN446),0)</f>
        <v>0</v>
      </c>
    </row>
    <row r="447" spans="2:44" s="798" customFormat="1" ht="30" customHeight="1" thickBot="1" x14ac:dyDescent="0.3">
      <c r="B447" s="835"/>
      <c r="C447" s="836"/>
      <c r="D447" s="836"/>
      <c r="E447" s="837"/>
      <c r="F447" s="837"/>
      <c r="G447" s="838"/>
      <c r="H447" s="838"/>
      <c r="I447" s="839"/>
      <c r="J447" s="839"/>
      <c r="K447" s="840"/>
      <c r="L447" s="841"/>
      <c r="M447" s="841"/>
      <c r="N447" s="842"/>
      <c r="O447" s="842"/>
      <c r="P447" s="843"/>
      <c r="Q447" s="843"/>
      <c r="R447" s="843"/>
      <c r="S447" s="844">
        <f t="shared" si="71"/>
        <v>0</v>
      </c>
      <c r="T447" s="838"/>
      <c r="U447" s="842"/>
      <c r="V447" s="843"/>
      <c r="W447" s="843"/>
      <c r="X447" s="843"/>
      <c r="Y447" s="843"/>
      <c r="Z447" s="843"/>
      <c r="AA447" s="837"/>
      <c r="AB447" s="837"/>
      <c r="AC447" s="845">
        <f t="shared" si="72"/>
        <v>0</v>
      </c>
      <c r="AD447" s="846">
        <f t="shared" si="73"/>
        <v>0</v>
      </c>
      <c r="AE447" s="847">
        <f t="shared" si="74"/>
        <v>0</v>
      </c>
      <c r="AF447" s="855">
        <f t="shared" si="67"/>
        <v>0</v>
      </c>
      <c r="AG447" s="848">
        <f>IF('Input Sheet'!$C$15="Yes",'Input Sheet'!$F$8,0)</f>
        <v>0</v>
      </c>
      <c r="AH447" s="846">
        <f>IF('Input Sheet'!$C$15="Yes",Rates!$E$45,0)</f>
        <v>0</v>
      </c>
      <c r="AI447" s="849">
        <f>IF('Input Sheet'!$C$15="Yes",'Input Sheet'!$F$11,0)</f>
        <v>0</v>
      </c>
      <c r="AJ447" s="850">
        <f>IF('Input Sheet'!$C$15="Yes",'Input Sheet'!$F$7,0)</f>
        <v>0</v>
      </c>
      <c r="AK447" s="856">
        <f t="shared" si="68"/>
        <v>0</v>
      </c>
      <c r="AL447" s="856">
        <f t="shared" si="69"/>
        <v>0</v>
      </c>
      <c r="AM447" s="856">
        <f t="shared" si="75"/>
        <v>0</v>
      </c>
      <c r="AN447" s="856">
        <f t="shared" si="70"/>
        <v>0</v>
      </c>
      <c r="AO447" s="852">
        <f t="shared" si="76"/>
        <v>0</v>
      </c>
      <c r="AP447" s="853">
        <f t="shared" si="77"/>
        <v>0</v>
      </c>
      <c r="AQ447" s="854">
        <f>IFERROR(P447*'Input Sheet'!$F$8/(((AI447)*AK447*2)-AN447),0)</f>
        <v>0</v>
      </c>
      <c r="AR447" s="854">
        <f>IFERROR(($P447-$AF447)*'Input Sheet'!$F$8/(((AI447)*AK447*2)-AN447),0)</f>
        <v>0</v>
      </c>
    </row>
    <row r="448" spans="2:44" s="798" customFormat="1" ht="30" customHeight="1" thickBot="1" x14ac:dyDescent="0.3">
      <c r="B448" s="835"/>
      <c r="C448" s="836"/>
      <c r="D448" s="836"/>
      <c r="E448" s="837"/>
      <c r="F448" s="837"/>
      <c r="G448" s="838"/>
      <c r="H448" s="838"/>
      <c r="I448" s="839"/>
      <c r="J448" s="839"/>
      <c r="K448" s="840"/>
      <c r="L448" s="841"/>
      <c r="M448" s="841"/>
      <c r="N448" s="842"/>
      <c r="O448" s="842"/>
      <c r="P448" s="843"/>
      <c r="Q448" s="843"/>
      <c r="R448" s="843"/>
      <c r="S448" s="844">
        <f t="shared" si="71"/>
        <v>0</v>
      </c>
      <c r="T448" s="838"/>
      <c r="U448" s="842"/>
      <c r="V448" s="843"/>
      <c r="W448" s="843"/>
      <c r="X448" s="843"/>
      <c r="Y448" s="843"/>
      <c r="Z448" s="843"/>
      <c r="AA448" s="837"/>
      <c r="AB448" s="837"/>
      <c r="AC448" s="845">
        <f t="shared" si="72"/>
        <v>0</v>
      </c>
      <c r="AD448" s="846">
        <f t="shared" si="73"/>
        <v>0</v>
      </c>
      <c r="AE448" s="847">
        <f t="shared" si="74"/>
        <v>0</v>
      </c>
      <c r="AF448" s="855">
        <f t="shared" si="67"/>
        <v>0</v>
      </c>
      <c r="AG448" s="848">
        <f>IF('Input Sheet'!$C$15="Yes",'Input Sheet'!$F$8,0)</f>
        <v>0</v>
      </c>
      <c r="AH448" s="846">
        <f>IF('Input Sheet'!$C$15="Yes",Rates!$E$45,0)</f>
        <v>0</v>
      </c>
      <c r="AI448" s="849">
        <f>IF('Input Sheet'!$C$15="Yes",'Input Sheet'!$F$11,0)</f>
        <v>0</v>
      </c>
      <c r="AJ448" s="850">
        <f>IF('Input Sheet'!$C$15="Yes",'Input Sheet'!$F$7,0)</f>
        <v>0</v>
      </c>
      <c r="AK448" s="856">
        <f t="shared" si="68"/>
        <v>0</v>
      </c>
      <c r="AL448" s="856">
        <f t="shared" si="69"/>
        <v>0</v>
      </c>
      <c r="AM448" s="856">
        <f t="shared" si="75"/>
        <v>0</v>
      </c>
      <c r="AN448" s="856">
        <f t="shared" si="70"/>
        <v>0</v>
      </c>
      <c r="AO448" s="852">
        <f t="shared" si="76"/>
        <v>0</v>
      </c>
      <c r="AP448" s="853">
        <f t="shared" si="77"/>
        <v>0</v>
      </c>
      <c r="AQ448" s="854">
        <f>IFERROR(P448*'Input Sheet'!$F$8/(((AI448)*AK448*2)-AN448),0)</f>
        <v>0</v>
      </c>
      <c r="AR448" s="854">
        <f>IFERROR(($P448-$AF448)*'Input Sheet'!$F$8/(((AI448)*AK448*2)-AN448),0)</f>
        <v>0</v>
      </c>
    </row>
    <row r="449" spans="2:44" s="798" customFormat="1" ht="30" customHeight="1" thickBot="1" x14ac:dyDescent="0.3">
      <c r="B449" s="835"/>
      <c r="C449" s="836"/>
      <c r="D449" s="836"/>
      <c r="E449" s="837"/>
      <c r="F449" s="837"/>
      <c r="G449" s="838"/>
      <c r="H449" s="838"/>
      <c r="I449" s="839"/>
      <c r="J449" s="839"/>
      <c r="K449" s="840"/>
      <c r="L449" s="841"/>
      <c r="M449" s="841"/>
      <c r="N449" s="842"/>
      <c r="O449" s="842"/>
      <c r="P449" s="843"/>
      <c r="Q449" s="843"/>
      <c r="R449" s="843"/>
      <c r="S449" s="844">
        <f t="shared" si="71"/>
        <v>0</v>
      </c>
      <c r="T449" s="838"/>
      <c r="U449" s="842"/>
      <c r="V449" s="843"/>
      <c r="W449" s="843"/>
      <c r="X449" s="843"/>
      <c r="Y449" s="843"/>
      <c r="Z449" s="843"/>
      <c r="AA449" s="837"/>
      <c r="AB449" s="837"/>
      <c r="AC449" s="845">
        <f t="shared" si="72"/>
        <v>0</v>
      </c>
      <c r="AD449" s="846">
        <f t="shared" si="73"/>
        <v>0</v>
      </c>
      <c r="AE449" s="847">
        <f t="shared" si="74"/>
        <v>0</v>
      </c>
      <c r="AF449" s="855">
        <f t="shared" si="67"/>
        <v>0</v>
      </c>
      <c r="AG449" s="848">
        <f>IF('Input Sheet'!$C$15="Yes",'Input Sheet'!$F$8,0)</f>
        <v>0</v>
      </c>
      <c r="AH449" s="846">
        <f>IF('Input Sheet'!$C$15="Yes",Rates!$E$45,0)</f>
        <v>0</v>
      </c>
      <c r="AI449" s="849">
        <f>IF('Input Sheet'!$C$15="Yes",'Input Sheet'!$F$11,0)</f>
        <v>0</v>
      </c>
      <c r="AJ449" s="850">
        <f>IF('Input Sheet'!$C$15="Yes",'Input Sheet'!$F$7,0)</f>
        <v>0</v>
      </c>
      <c r="AK449" s="856">
        <f t="shared" si="68"/>
        <v>0</v>
      </c>
      <c r="AL449" s="856">
        <f t="shared" si="69"/>
        <v>0</v>
      </c>
      <c r="AM449" s="856">
        <f t="shared" si="75"/>
        <v>0</v>
      </c>
      <c r="AN449" s="856">
        <f t="shared" si="70"/>
        <v>0</v>
      </c>
      <c r="AO449" s="852">
        <f t="shared" si="76"/>
        <v>0</v>
      </c>
      <c r="AP449" s="853">
        <f t="shared" si="77"/>
        <v>0</v>
      </c>
      <c r="AQ449" s="854">
        <f>IFERROR(P449*'Input Sheet'!$F$8/(((AI449)*AK449*2)-AN449),0)</f>
        <v>0</v>
      </c>
      <c r="AR449" s="854">
        <f>IFERROR(($P449-$AF449)*'Input Sheet'!$F$8/(((AI449)*AK449*2)-AN449),0)</f>
        <v>0</v>
      </c>
    </row>
    <row r="450" spans="2:44" s="798" customFormat="1" ht="30" customHeight="1" thickBot="1" x14ac:dyDescent="0.3">
      <c r="B450" s="835"/>
      <c r="C450" s="836"/>
      <c r="D450" s="836"/>
      <c r="E450" s="837"/>
      <c r="F450" s="837"/>
      <c r="G450" s="838"/>
      <c r="H450" s="838"/>
      <c r="I450" s="839"/>
      <c r="J450" s="839"/>
      <c r="K450" s="840"/>
      <c r="L450" s="841"/>
      <c r="M450" s="841"/>
      <c r="N450" s="842"/>
      <c r="O450" s="842"/>
      <c r="P450" s="843"/>
      <c r="Q450" s="843"/>
      <c r="R450" s="843"/>
      <c r="S450" s="844">
        <f t="shared" si="71"/>
        <v>0</v>
      </c>
      <c r="T450" s="838"/>
      <c r="U450" s="842"/>
      <c r="V450" s="843"/>
      <c r="W450" s="843"/>
      <c r="X450" s="843"/>
      <c r="Y450" s="843"/>
      <c r="Z450" s="843"/>
      <c r="AA450" s="837"/>
      <c r="AB450" s="837"/>
      <c r="AC450" s="845">
        <f t="shared" si="72"/>
        <v>0</v>
      </c>
      <c r="AD450" s="846">
        <f t="shared" si="73"/>
        <v>0</v>
      </c>
      <c r="AE450" s="847">
        <f t="shared" si="74"/>
        <v>0</v>
      </c>
      <c r="AF450" s="855">
        <f t="shared" si="67"/>
        <v>0</v>
      </c>
      <c r="AG450" s="848">
        <f>IF('Input Sheet'!$C$15="Yes",'Input Sheet'!$F$8,0)</f>
        <v>0</v>
      </c>
      <c r="AH450" s="846">
        <f>IF('Input Sheet'!$C$15="Yes",Rates!$E$45,0)</f>
        <v>0</v>
      </c>
      <c r="AI450" s="849">
        <f>IF('Input Sheet'!$C$15="Yes",'Input Sheet'!$F$11,0)</f>
        <v>0</v>
      </c>
      <c r="AJ450" s="850">
        <f>IF('Input Sheet'!$C$15="Yes",'Input Sheet'!$F$7,0)</f>
        <v>0</v>
      </c>
      <c r="AK450" s="856">
        <f t="shared" si="68"/>
        <v>0</v>
      </c>
      <c r="AL450" s="856">
        <f t="shared" si="69"/>
        <v>0</v>
      </c>
      <c r="AM450" s="856">
        <f t="shared" si="75"/>
        <v>0</v>
      </c>
      <c r="AN450" s="856">
        <f t="shared" si="70"/>
        <v>0</v>
      </c>
      <c r="AO450" s="852">
        <f t="shared" si="76"/>
        <v>0</v>
      </c>
      <c r="AP450" s="853">
        <f t="shared" si="77"/>
        <v>0</v>
      </c>
      <c r="AQ450" s="854">
        <f>IFERROR(P450*'Input Sheet'!$F$8/(((AI450)*AK450*2)-AN450),0)</f>
        <v>0</v>
      </c>
      <c r="AR450" s="854">
        <f>IFERROR(($P450-$AF450)*'Input Sheet'!$F$8/(((AI450)*AK450*2)-AN450),0)</f>
        <v>0</v>
      </c>
    </row>
    <row r="451" spans="2:44" s="798" customFormat="1" ht="30" customHeight="1" thickBot="1" x14ac:dyDescent="0.3">
      <c r="B451" s="835"/>
      <c r="C451" s="836"/>
      <c r="D451" s="836"/>
      <c r="E451" s="837"/>
      <c r="F451" s="837"/>
      <c r="G451" s="838"/>
      <c r="H451" s="838"/>
      <c r="I451" s="839"/>
      <c r="J451" s="839"/>
      <c r="K451" s="840"/>
      <c r="L451" s="841"/>
      <c r="M451" s="841"/>
      <c r="N451" s="842"/>
      <c r="O451" s="842"/>
      <c r="P451" s="843"/>
      <c r="Q451" s="843"/>
      <c r="R451" s="843"/>
      <c r="S451" s="844">
        <f t="shared" si="71"/>
        <v>0</v>
      </c>
      <c r="T451" s="838"/>
      <c r="U451" s="842"/>
      <c r="V451" s="843"/>
      <c r="W451" s="843"/>
      <c r="X451" s="843"/>
      <c r="Y451" s="843"/>
      <c r="Z451" s="843"/>
      <c r="AA451" s="837"/>
      <c r="AB451" s="837"/>
      <c r="AC451" s="845">
        <f t="shared" si="72"/>
        <v>0</v>
      </c>
      <c r="AD451" s="846">
        <f t="shared" si="73"/>
        <v>0</v>
      </c>
      <c r="AE451" s="847">
        <f t="shared" si="74"/>
        <v>0</v>
      </c>
      <c r="AF451" s="855">
        <f t="shared" si="67"/>
        <v>0</v>
      </c>
      <c r="AG451" s="848">
        <f>IF('Input Sheet'!$C$15="Yes",'Input Sheet'!$F$8,0)</f>
        <v>0</v>
      </c>
      <c r="AH451" s="846">
        <f>IF('Input Sheet'!$C$15="Yes",Rates!$E$45,0)</f>
        <v>0</v>
      </c>
      <c r="AI451" s="849">
        <f>IF('Input Sheet'!$C$15="Yes",'Input Sheet'!$F$11,0)</f>
        <v>0</v>
      </c>
      <c r="AJ451" s="850">
        <f>IF('Input Sheet'!$C$15="Yes",'Input Sheet'!$F$7,0)</f>
        <v>0</v>
      </c>
      <c r="AK451" s="856">
        <f t="shared" si="68"/>
        <v>0</v>
      </c>
      <c r="AL451" s="856">
        <f t="shared" si="69"/>
        <v>0</v>
      </c>
      <c r="AM451" s="856">
        <f t="shared" si="75"/>
        <v>0</v>
      </c>
      <c r="AN451" s="856">
        <f t="shared" si="70"/>
        <v>0</v>
      </c>
      <c r="AO451" s="852">
        <f t="shared" si="76"/>
        <v>0</v>
      </c>
      <c r="AP451" s="853">
        <f t="shared" si="77"/>
        <v>0</v>
      </c>
      <c r="AQ451" s="854">
        <f>IFERROR(P451*'Input Sheet'!$F$8/(((AI451)*AK451*2)-AN451),0)</f>
        <v>0</v>
      </c>
      <c r="AR451" s="854">
        <f>IFERROR(($P451-$AF451)*'Input Sheet'!$F$8/(((AI451)*AK451*2)-AN451),0)</f>
        <v>0</v>
      </c>
    </row>
    <row r="452" spans="2:44" s="798" customFormat="1" ht="30" customHeight="1" thickBot="1" x14ac:dyDescent="0.3">
      <c r="B452" s="835"/>
      <c r="C452" s="836"/>
      <c r="D452" s="836"/>
      <c r="E452" s="837"/>
      <c r="F452" s="837"/>
      <c r="G452" s="838"/>
      <c r="H452" s="838"/>
      <c r="I452" s="839"/>
      <c r="J452" s="839"/>
      <c r="K452" s="840"/>
      <c r="L452" s="841"/>
      <c r="M452" s="841"/>
      <c r="N452" s="842"/>
      <c r="O452" s="842"/>
      <c r="P452" s="843"/>
      <c r="Q452" s="843"/>
      <c r="R452" s="843"/>
      <c r="S452" s="844">
        <f t="shared" si="71"/>
        <v>0</v>
      </c>
      <c r="T452" s="838"/>
      <c r="U452" s="842"/>
      <c r="V452" s="843"/>
      <c r="W452" s="843"/>
      <c r="X452" s="843"/>
      <c r="Y452" s="843"/>
      <c r="Z452" s="843"/>
      <c r="AA452" s="837"/>
      <c r="AB452" s="837"/>
      <c r="AC452" s="845">
        <f t="shared" si="72"/>
        <v>0</v>
      </c>
      <c r="AD452" s="846">
        <f t="shared" si="73"/>
        <v>0</v>
      </c>
      <c r="AE452" s="847">
        <f t="shared" si="74"/>
        <v>0</v>
      </c>
      <c r="AF452" s="855">
        <f t="shared" si="67"/>
        <v>0</v>
      </c>
      <c r="AG452" s="848">
        <f>IF('Input Sheet'!$C$15="Yes",'Input Sheet'!$F$8,0)</f>
        <v>0</v>
      </c>
      <c r="AH452" s="846">
        <f>IF('Input Sheet'!$C$15="Yes",Rates!$E$45,0)</f>
        <v>0</v>
      </c>
      <c r="AI452" s="849">
        <f>IF('Input Sheet'!$C$15="Yes",'Input Sheet'!$F$11,0)</f>
        <v>0</v>
      </c>
      <c r="AJ452" s="850">
        <f>IF('Input Sheet'!$C$15="Yes",'Input Sheet'!$F$7,0)</f>
        <v>0</v>
      </c>
      <c r="AK452" s="856">
        <f t="shared" si="68"/>
        <v>0</v>
      </c>
      <c r="AL452" s="856">
        <f t="shared" si="69"/>
        <v>0</v>
      </c>
      <c r="AM452" s="856">
        <f t="shared" si="75"/>
        <v>0</v>
      </c>
      <c r="AN452" s="856">
        <f t="shared" si="70"/>
        <v>0</v>
      </c>
      <c r="AO452" s="852">
        <f t="shared" si="76"/>
        <v>0</v>
      </c>
      <c r="AP452" s="853">
        <f t="shared" si="77"/>
        <v>0</v>
      </c>
      <c r="AQ452" s="854">
        <f>IFERROR(P452*'Input Sheet'!$F$8/(((AI452)*AK452*2)-AN452),0)</f>
        <v>0</v>
      </c>
      <c r="AR452" s="854">
        <f>IFERROR(($P452-$AF452)*'Input Sheet'!$F$8/(((AI452)*AK452*2)-AN452),0)</f>
        <v>0</v>
      </c>
    </row>
    <row r="453" spans="2:44" s="798" customFormat="1" ht="30" customHeight="1" thickBot="1" x14ac:dyDescent="0.3">
      <c r="B453" s="835"/>
      <c r="C453" s="836"/>
      <c r="D453" s="836"/>
      <c r="E453" s="837"/>
      <c r="F453" s="837"/>
      <c r="G453" s="838"/>
      <c r="H453" s="838"/>
      <c r="I453" s="839"/>
      <c r="J453" s="839"/>
      <c r="K453" s="840"/>
      <c r="L453" s="841"/>
      <c r="M453" s="841"/>
      <c r="N453" s="842"/>
      <c r="O453" s="842"/>
      <c r="P453" s="843"/>
      <c r="Q453" s="843"/>
      <c r="R453" s="843"/>
      <c r="S453" s="844">
        <f t="shared" si="71"/>
        <v>0</v>
      </c>
      <c r="T453" s="838"/>
      <c r="U453" s="842"/>
      <c r="V453" s="843"/>
      <c r="W453" s="843"/>
      <c r="X453" s="843"/>
      <c r="Y453" s="843"/>
      <c r="Z453" s="843"/>
      <c r="AA453" s="837"/>
      <c r="AB453" s="837"/>
      <c r="AC453" s="845">
        <f t="shared" si="72"/>
        <v>0</v>
      </c>
      <c r="AD453" s="846">
        <f t="shared" si="73"/>
        <v>0</v>
      </c>
      <c r="AE453" s="847">
        <f t="shared" si="74"/>
        <v>0</v>
      </c>
      <c r="AF453" s="855">
        <f t="shared" si="67"/>
        <v>0</v>
      </c>
      <c r="AG453" s="848">
        <f>IF('Input Sheet'!$C$15="Yes",'Input Sheet'!$F$8,0)</f>
        <v>0</v>
      </c>
      <c r="AH453" s="846">
        <f>IF('Input Sheet'!$C$15="Yes",Rates!$E$45,0)</f>
        <v>0</v>
      </c>
      <c r="AI453" s="849">
        <f>IF('Input Sheet'!$C$15="Yes",'Input Sheet'!$F$11,0)</f>
        <v>0</v>
      </c>
      <c r="AJ453" s="850">
        <f>IF('Input Sheet'!$C$15="Yes",'Input Sheet'!$F$7,0)</f>
        <v>0</v>
      </c>
      <c r="AK453" s="856">
        <f t="shared" si="68"/>
        <v>0</v>
      </c>
      <c r="AL453" s="856">
        <f t="shared" si="69"/>
        <v>0</v>
      </c>
      <c r="AM453" s="856">
        <f t="shared" si="75"/>
        <v>0</v>
      </c>
      <c r="AN453" s="856">
        <f t="shared" si="70"/>
        <v>0</v>
      </c>
      <c r="AO453" s="852">
        <f t="shared" si="76"/>
        <v>0</v>
      </c>
      <c r="AP453" s="853">
        <f t="shared" si="77"/>
        <v>0</v>
      </c>
      <c r="AQ453" s="854">
        <f>IFERROR(P453*'Input Sheet'!$F$8/(((AI453)*AK453*2)-AN453),0)</f>
        <v>0</v>
      </c>
      <c r="AR453" s="854">
        <f>IFERROR(($P453-$AF453)*'Input Sheet'!$F$8/(((AI453)*AK453*2)-AN453),0)</f>
        <v>0</v>
      </c>
    </row>
    <row r="454" spans="2:44" s="798" customFormat="1" ht="30" customHeight="1" thickBot="1" x14ac:dyDescent="0.3">
      <c r="B454" s="835"/>
      <c r="C454" s="836"/>
      <c r="D454" s="836"/>
      <c r="E454" s="837"/>
      <c r="F454" s="837"/>
      <c r="G454" s="838"/>
      <c r="H454" s="838"/>
      <c r="I454" s="839"/>
      <c r="J454" s="839"/>
      <c r="K454" s="840"/>
      <c r="L454" s="841"/>
      <c r="M454" s="841"/>
      <c r="N454" s="842"/>
      <c r="O454" s="842"/>
      <c r="P454" s="843"/>
      <c r="Q454" s="843"/>
      <c r="R454" s="843"/>
      <c r="S454" s="844">
        <f t="shared" si="71"/>
        <v>0</v>
      </c>
      <c r="T454" s="838"/>
      <c r="U454" s="842"/>
      <c r="V454" s="843"/>
      <c r="W454" s="843"/>
      <c r="X454" s="843"/>
      <c r="Y454" s="843"/>
      <c r="Z454" s="843"/>
      <c r="AA454" s="837"/>
      <c r="AB454" s="837"/>
      <c r="AC454" s="845">
        <f t="shared" si="72"/>
        <v>0</v>
      </c>
      <c r="AD454" s="846">
        <f t="shared" si="73"/>
        <v>0</v>
      </c>
      <c r="AE454" s="847">
        <f t="shared" si="74"/>
        <v>0</v>
      </c>
      <c r="AF454" s="855">
        <f t="shared" si="67"/>
        <v>0</v>
      </c>
      <c r="AG454" s="848">
        <f>IF('Input Sheet'!$C$15="Yes",'Input Sheet'!$F$8,0)</f>
        <v>0</v>
      </c>
      <c r="AH454" s="846">
        <f>IF('Input Sheet'!$C$15="Yes",Rates!$E$45,0)</f>
        <v>0</v>
      </c>
      <c r="AI454" s="849">
        <f>IF('Input Sheet'!$C$15="Yes",'Input Sheet'!$F$11,0)</f>
        <v>0</v>
      </c>
      <c r="AJ454" s="850">
        <f>IF('Input Sheet'!$C$15="Yes",'Input Sheet'!$F$7,0)</f>
        <v>0</v>
      </c>
      <c r="AK454" s="856">
        <f t="shared" si="68"/>
        <v>0</v>
      </c>
      <c r="AL454" s="856">
        <f t="shared" si="69"/>
        <v>0</v>
      </c>
      <c r="AM454" s="856">
        <f t="shared" si="75"/>
        <v>0</v>
      </c>
      <c r="AN454" s="856">
        <f t="shared" si="70"/>
        <v>0</v>
      </c>
      <c r="AO454" s="852">
        <f t="shared" si="76"/>
        <v>0</v>
      </c>
      <c r="AP454" s="853">
        <f t="shared" si="77"/>
        <v>0</v>
      </c>
      <c r="AQ454" s="854">
        <f>IFERROR(P454*'Input Sheet'!$F$8/(((AI454)*AK454*2)-AN454),0)</f>
        <v>0</v>
      </c>
      <c r="AR454" s="854">
        <f>IFERROR(($P454-$AF454)*'Input Sheet'!$F$8/(((AI454)*AK454*2)-AN454),0)</f>
        <v>0</v>
      </c>
    </row>
    <row r="455" spans="2:44" s="798" customFormat="1" ht="30" customHeight="1" thickBot="1" x14ac:dyDescent="0.3">
      <c r="B455" s="835"/>
      <c r="C455" s="836"/>
      <c r="D455" s="836"/>
      <c r="E455" s="837"/>
      <c r="F455" s="837"/>
      <c r="G455" s="838"/>
      <c r="H455" s="838"/>
      <c r="I455" s="839"/>
      <c r="J455" s="839"/>
      <c r="K455" s="840"/>
      <c r="L455" s="841"/>
      <c r="M455" s="841"/>
      <c r="N455" s="842"/>
      <c r="O455" s="842"/>
      <c r="P455" s="843"/>
      <c r="Q455" s="843"/>
      <c r="R455" s="843"/>
      <c r="S455" s="844">
        <f t="shared" si="71"/>
        <v>0</v>
      </c>
      <c r="T455" s="838"/>
      <c r="U455" s="842"/>
      <c r="V455" s="843"/>
      <c r="W455" s="843"/>
      <c r="X455" s="843"/>
      <c r="Y455" s="843"/>
      <c r="Z455" s="843"/>
      <c r="AA455" s="837"/>
      <c r="AB455" s="837"/>
      <c r="AC455" s="845">
        <f t="shared" si="72"/>
        <v>0</v>
      </c>
      <c r="AD455" s="846">
        <f t="shared" si="73"/>
        <v>0</v>
      </c>
      <c r="AE455" s="847">
        <f t="shared" si="74"/>
        <v>0</v>
      </c>
      <c r="AF455" s="855">
        <f t="shared" si="67"/>
        <v>0</v>
      </c>
      <c r="AG455" s="848">
        <f>IF('Input Sheet'!$C$15="Yes",'Input Sheet'!$F$8,0)</f>
        <v>0</v>
      </c>
      <c r="AH455" s="846">
        <f>IF('Input Sheet'!$C$15="Yes",Rates!$E$45,0)</f>
        <v>0</v>
      </c>
      <c r="AI455" s="849">
        <f>IF('Input Sheet'!$C$15="Yes",'Input Sheet'!$F$11,0)</f>
        <v>0</v>
      </c>
      <c r="AJ455" s="850">
        <f>IF('Input Sheet'!$C$15="Yes",'Input Sheet'!$F$7,0)</f>
        <v>0</v>
      </c>
      <c r="AK455" s="856">
        <f t="shared" si="68"/>
        <v>0</v>
      </c>
      <c r="AL455" s="856">
        <f t="shared" si="69"/>
        <v>0</v>
      </c>
      <c r="AM455" s="856">
        <f t="shared" si="75"/>
        <v>0</v>
      </c>
      <c r="AN455" s="856">
        <f t="shared" si="70"/>
        <v>0</v>
      </c>
      <c r="AO455" s="852">
        <f t="shared" si="76"/>
        <v>0</v>
      </c>
      <c r="AP455" s="853">
        <f t="shared" si="77"/>
        <v>0</v>
      </c>
      <c r="AQ455" s="854">
        <f>IFERROR(P455*'Input Sheet'!$F$8/(((AI455)*AK455*2)-AN455),0)</f>
        <v>0</v>
      </c>
      <c r="AR455" s="854">
        <f>IFERROR(($P455-$AF455)*'Input Sheet'!$F$8/(((AI455)*AK455*2)-AN455),0)</f>
        <v>0</v>
      </c>
    </row>
    <row r="456" spans="2:44" s="798" customFormat="1" ht="30" customHeight="1" thickBot="1" x14ac:dyDescent="0.3">
      <c r="B456" s="835"/>
      <c r="C456" s="836"/>
      <c r="D456" s="836"/>
      <c r="E456" s="837"/>
      <c r="F456" s="837"/>
      <c r="G456" s="838"/>
      <c r="H456" s="838"/>
      <c r="I456" s="839"/>
      <c r="J456" s="839"/>
      <c r="K456" s="840"/>
      <c r="L456" s="841"/>
      <c r="M456" s="841"/>
      <c r="N456" s="842"/>
      <c r="O456" s="842"/>
      <c r="P456" s="843"/>
      <c r="Q456" s="843"/>
      <c r="R456" s="843"/>
      <c r="S456" s="844">
        <f t="shared" si="71"/>
        <v>0</v>
      </c>
      <c r="T456" s="838"/>
      <c r="U456" s="842"/>
      <c r="V456" s="843"/>
      <c r="W456" s="843"/>
      <c r="X456" s="843"/>
      <c r="Y456" s="843"/>
      <c r="Z456" s="843"/>
      <c r="AA456" s="837"/>
      <c r="AB456" s="837"/>
      <c r="AC456" s="845">
        <f t="shared" si="72"/>
        <v>0</v>
      </c>
      <c r="AD456" s="846">
        <f t="shared" si="73"/>
        <v>0</v>
      </c>
      <c r="AE456" s="847">
        <f t="shared" si="74"/>
        <v>0</v>
      </c>
      <c r="AF456" s="855">
        <f t="shared" si="67"/>
        <v>0</v>
      </c>
      <c r="AG456" s="848">
        <f>IF('Input Sheet'!$C$15="Yes",'Input Sheet'!$F$8,0)</f>
        <v>0</v>
      </c>
      <c r="AH456" s="846">
        <f>IF('Input Sheet'!$C$15="Yes",Rates!$E$45,0)</f>
        <v>0</v>
      </c>
      <c r="AI456" s="849">
        <f>IF('Input Sheet'!$C$15="Yes",'Input Sheet'!$F$11,0)</f>
        <v>0</v>
      </c>
      <c r="AJ456" s="850">
        <f>IF('Input Sheet'!$C$15="Yes",'Input Sheet'!$F$7,0)</f>
        <v>0</v>
      </c>
      <c r="AK456" s="856">
        <f t="shared" si="68"/>
        <v>0</v>
      </c>
      <c r="AL456" s="856">
        <f t="shared" si="69"/>
        <v>0</v>
      </c>
      <c r="AM456" s="856">
        <f t="shared" si="75"/>
        <v>0</v>
      </c>
      <c r="AN456" s="856">
        <f t="shared" si="70"/>
        <v>0</v>
      </c>
      <c r="AO456" s="852">
        <f t="shared" si="76"/>
        <v>0</v>
      </c>
      <c r="AP456" s="853">
        <f t="shared" si="77"/>
        <v>0</v>
      </c>
      <c r="AQ456" s="854">
        <f>IFERROR(P456*'Input Sheet'!$F$8/(((AI456)*AK456*2)-AN456),0)</f>
        <v>0</v>
      </c>
      <c r="AR456" s="854">
        <f>IFERROR(($P456-$AF456)*'Input Sheet'!$F$8/(((AI456)*AK456*2)-AN456),0)</f>
        <v>0</v>
      </c>
    </row>
    <row r="457" spans="2:44" s="798" customFormat="1" ht="30" customHeight="1" thickBot="1" x14ac:dyDescent="0.3">
      <c r="B457" s="835"/>
      <c r="C457" s="836"/>
      <c r="D457" s="836"/>
      <c r="E457" s="837"/>
      <c r="F457" s="837"/>
      <c r="G457" s="838"/>
      <c r="H457" s="838"/>
      <c r="I457" s="839"/>
      <c r="J457" s="839"/>
      <c r="K457" s="840"/>
      <c r="L457" s="841"/>
      <c r="M457" s="841"/>
      <c r="N457" s="842"/>
      <c r="O457" s="842"/>
      <c r="P457" s="843"/>
      <c r="Q457" s="843"/>
      <c r="R457" s="843"/>
      <c r="S457" s="844">
        <f t="shared" si="71"/>
        <v>0</v>
      </c>
      <c r="T457" s="838"/>
      <c r="U457" s="842"/>
      <c r="V457" s="843"/>
      <c r="W457" s="843"/>
      <c r="X457" s="843"/>
      <c r="Y457" s="843"/>
      <c r="Z457" s="843"/>
      <c r="AA457" s="837"/>
      <c r="AB457" s="837"/>
      <c r="AC457" s="845">
        <f t="shared" si="72"/>
        <v>0</v>
      </c>
      <c r="AD457" s="846">
        <f t="shared" si="73"/>
        <v>0</v>
      </c>
      <c r="AE457" s="847">
        <f t="shared" si="74"/>
        <v>0</v>
      </c>
      <c r="AF457" s="855">
        <f t="shared" ref="AF457:AF520" si="78">SUM($Q457:$W457)</f>
        <v>0</v>
      </c>
      <c r="AG457" s="848">
        <f>IF('Input Sheet'!$C$15="Yes",'Input Sheet'!$F$8,0)</f>
        <v>0</v>
      </c>
      <c r="AH457" s="846">
        <f>IF('Input Sheet'!$C$15="Yes",Rates!$E$45,0)</f>
        <v>0</v>
      </c>
      <c r="AI457" s="849">
        <f>IF('Input Sheet'!$C$15="Yes",'Input Sheet'!$F$11,0)</f>
        <v>0</v>
      </c>
      <c r="AJ457" s="850">
        <f>IF('Input Sheet'!$C$15="Yes",'Input Sheet'!$F$7,0)</f>
        <v>0</v>
      </c>
      <c r="AK457" s="856">
        <f t="shared" ref="AK457:AK520" si="79">L457*S457</f>
        <v>0</v>
      </c>
      <c r="AL457" s="856">
        <f t="shared" ref="AL457:AL520" si="80">(AK457)-(AK457*AH457)-(AK457*AP457*(AJ457/12))</f>
        <v>0</v>
      </c>
      <c r="AM457" s="856">
        <f t="shared" si="75"/>
        <v>0</v>
      </c>
      <c r="AN457" s="856">
        <f t="shared" ref="AN457:AN520" si="81">AK457*AP457*AJ457/12</f>
        <v>0</v>
      </c>
      <c r="AO457" s="852">
        <f t="shared" si="76"/>
        <v>0</v>
      </c>
      <c r="AP457" s="853">
        <f t="shared" si="77"/>
        <v>0</v>
      </c>
      <c r="AQ457" s="854">
        <f>IFERROR(P457*'Input Sheet'!$F$8/(((AI457)*AK457*2)-AN457),0)</f>
        <v>0</v>
      </c>
      <c r="AR457" s="854">
        <f>IFERROR(($P457-$AF457)*'Input Sheet'!$F$8/(((AI457)*AK457*2)-AN457),0)</f>
        <v>0</v>
      </c>
    </row>
    <row r="458" spans="2:44" s="798" customFormat="1" ht="30" customHeight="1" thickBot="1" x14ac:dyDescent="0.3">
      <c r="B458" s="835"/>
      <c r="C458" s="836"/>
      <c r="D458" s="836"/>
      <c r="E458" s="837"/>
      <c r="F458" s="837"/>
      <c r="G458" s="838"/>
      <c r="H458" s="838"/>
      <c r="I458" s="839"/>
      <c r="J458" s="839"/>
      <c r="K458" s="840"/>
      <c r="L458" s="841"/>
      <c r="M458" s="841"/>
      <c r="N458" s="842"/>
      <c r="O458" s="842"/>
      <c r="P458" s="843"/>
      <c r="Q458" s="843"/>
      <c r="R458" s="843"/>
      <c r="S458" s="844">
        <f t="shared" ref="S458:S521" si="82">IFERROR(M458/L458,0)</f>
        <v>0</v>
      </c>
      <c r="T458" s="838"/>
      <c r="U458" s="842"/>
      <c r="V458" s="843"/>
      <c r="W458" s="843"/>
      <c r="X458" s="843"/>
      <c r="Y458" s="843"/>
      <c r="Z458" s="843"/>
      <c r="AA458" s="837"/>
      <c r="AB458" s="837"/>
      <c r="AC458" s="845">
        <f t="shared" ref="AC458:AC521" si="83">IFERROR(L458/K458,0)</f>
        <v>0</v>
      </c>
      <c r="AD458" s="846">
        <f t="shared" ref="AD458:AD521" si="84">IFERROR(P458*12/L458,0)</f>
        <v>0</v>
      </c>
      <c r="AE458" s="847">
        <f t="shared" ref="AE458:AE521" si="85">IFERROR(P458*12/K458,0)</f>
        <v>0</v>
      </c>
      <c r="AF458" s="855">
        <f t="shared" si="78"/>
        <v>0</v>
      </c>
      <c r="AG458" s="848">
        <f>IF('Input Sheet'!$C$15="Yes",'Input Sheet'!$F$8,0)</f>
        <v>0</v>
      </c>
      <c r="AH458" s="846">
        <f>IF('Input Sheet'!$C$15="Yes",Rates!$E$45,0)</f>
        <v>0</v>
      </c>
      <c r="AI458" s="849">
        <f>IF('Input Sheet'!$C$15="Yes",'Input Sheet'!$F$11,0)</f>
        <v>0</v>
      </c>
      <c r="AJ458" s="850">
        <f>IF('Input Sheet'!$C$15="Yes",'Input Sheet'!$F$7,0)</f>
        <v>0</v>
      </c>
      <c r="AK458" s="856">
        <f t="shared" si="79"/>
        <v>0</v>
      </c>
      <c r="AL458" s="856">
        <f t="shared" si="80"/>
        <v>0</v>
      </c>
      <c r="AM458" s="856">
        <f t="shared" ref="AM458:AM521" si="86">(AL458)+(AK458*0.75%)</f>
        <v>0</v>
      </c>
      <c r="AN458" s="856">
        <f t="shared" si="81"/>
        <v>0</v>
      </c>
      <c r="AO458" s="852">
        <f t="shared" ref="AO458:AO521" si="87">IFERROR(AM458/L458,0)</f>
        <v>0</v>
      </c>
      <c r="AP458" s="853">
        <f t="shared" ref="AP458:AP521" si="88">AI458</f>
        <v>0</v>
      </c>
      <c r="AQ458" s="854">
        <f>IFERROR(P458*'Input Sheet'!$F$8/(((AI458)*AK458*2)-AN458),0)</f>
        <v>0</v>
      </c>
      <c r="AR458" s="854">
        <f>IFERROR(($P458-$AF458)*'Input Sheet'!$F$8/(((AI458)*AK458*2)-AN458),0)</f>
        <v>0</v>
      </c>
    </row>
    <row r="459" spans="2:44" s="798" customFormat="1" ht="30" customHeight="1" thickBot="1" x14ac:dyDescent="0.3">
      <c r="B459" s="835"/>
      <c r="C459" s="836"/>
      <c r="D459" s="836"/>
      <c r="E459" s="837"/>
      <c r="F459" s="837"/>
      <c r="G459" s="838"/>
      <c r="H459" s="838"/>
      <c r="I459" s="839"/>
      <c r="J459" s="839"/>
      <c r="K459" s="840"/>
      <c r="L459" s="841"/>
      <c r="M459" s="841"/>
      <c r="N459" s="842"/>
      <c r="O459" s="842"/>
      <c r="P459" s="843"/>
      <c r="Q459" s="843"/>
      <c r="R459" s="843"/>
      <c r="S459" s="844">
        <f t="shared" si="82"/>
        <v>0</v>
      </c>
      <c r="T459" s="838"/>
      <c r="U459" s="842"/>
      <c r="V459" s="843"/>
      <c r="W459" s="843"/>
      <c r="X459" s="843"/>
      <c r="Y459" s="843"/>
      <c r="Z459" s="843"/>
      <c r="AA459" s="837"/>
      <c r="AB459" s="837"/>
      <c r="AC459" s="845">
        <f t="shared" si="83"/>
        <v>0</v>
      </c>
      <c r="AD459" s="846">
        <f t="shared" si="84"/>
        <v>0</v>
      </c>
      <c r="AE459" s="847">
        <f t="shared" si="85"/>
        <v>0</v>
      </c>
      <c r="AF459" s="855">
        <f t="shared" si="78"/>
        <v>0</v>
      </c>
      <c r="AG459" s="848">
        <f>IF('Input Sheet'!$C$15="Yes",'Input Sheet'!$F$8,0)</f>
        <v>0</v>
      </c>
      <c r="AH459" s="846">
        <f>IF('Input Sheet'!$C$15="Yes",Rates!$E$45,0)</f>
        <v>0</v>
      </c>
      <c r="AI459" s="849">
        <f>IF('Input Sheet'!$C$15="Yes",'Input Sheet'!$F$11,0)</f>
        <v>0</v>
      </c>
      <c r="AJ459" s="850">
        <f>IF('Input Sheet'!$C$15="Yes",'Input Sheet'!$F$7,0)</f>
        <v>0</v>
      </c>
      <c r="AK459" s="856">
        <f t="shared" si="79"/>
        <v>0</v>
      </c>
      <c r="AL459" s="856">
        <f t="shared" si="80"/>
        <v>0</v>
      </c>
      <c r="AM459" s="856">
        <f t="shared" si="86"/>
        <v>0</v>
      </c>
      <c r="AN459" s="856">
        <f t="shared" si="81"/>
        <v>0</v>
      </c>
      <c r="AO459" s="852">
        <f t="shared" si="87"/>
        <v>0</v>
      </c>
      <c r="AP459" s="853">
        <f t="shared" si="88"/>
        <v>0</v>
      </c>
      <c r="AQ459" s="854">
        <f>IFERROR(P459*'Input Sheet'!$F$8/(((AI459)*AK459*2)-AN459),0)</f>
        <v>0</v>
      </c>
      <c r="AR459" s="854">
        <f>IFERROR(($P459-$AF459)*'Input Sheet'!$F$8/(((AI459)*AK459*2)-AN459),0)</f>
        <v>0</v>
      </c>
    </row>
    <row r="460" spans="2:44" s="798" customFormat="1" ht="30" customHeight="1" thickBot="1" x14ac:dyDescent="0.3">
      <c r="B460" s="835"/>
      <c r="C460" s="836"/>
      <c r="D460" s="836"/>
      <c r="E460" s="837"/>
      <c r="F460" s="837"/>
      <c r="G460" s="838"/>
      <c r="H460" s="838"/>
      <c r="I460" s="839"/>
      <c r="J460" s="839"/>
      <c r="K460" s="840"/>
      <c r="L460" s="841"/>
      <c r="M460" s="841"/>
      <c r="N460" s="842"/>
      <c r="O460" s="842"/>
      <c r="P460" s="843"/>
      <c r="Q460" s="843"/>
      <c r="R460" s="843"/>
      <c r="S460" s="844">
        <f t="shared" si="82"/>
        <v>0</v>
      </c>
      <c r="T460" s="838"/>
      <c r="U460" s="842"/>
      <c r="V460" s="843"/>
      <c r="W460" s="843"/>
      <c r="X460" s="843"/>
      <c r="Y460" s="843"/>
      <c r="Z460" s="843"/>
      <c r="AA460" s="837"/>
      <c r="AB460" s="837"/>
      <c r="AC460" s="845">
        <f t="shared" si="83"/>
        <v>0</v>
      </c>
      <c r="AD460" s="846">
        <f t="shared" si="84"/>
        <v>0</v>
      </c>
      <c r="AE460" s="847">
        <f t="shared" si="85"/>
        <v>0</v>
      </c>
      <c r="AF460" s="855">
        <f t="shared" si="78"/>
        <v>0</v>
      </c>
      <c r="AG460" s="848">
        <f>IF('Input Sheet'!$C$15="Yes",'Input Sheet'!$F$8,0)</f>
        <v>0</v>
      </c>
      <c r="AH460" s="846">
        <f>IF('Input Sheet'!$C$15="Yes",Rates!$E$45,0)</f>
        <v>0</v>
      </c>
      <c r="AI460" s="849">
        <f>IF('Input Sheet'!$C$15="Yes",'Input Sheet'!$F$11,0)</f>
        <v>0</v>
      </c>
      <c r="AJ460" s="850">
        <f>IF('Input Sheet'!$C$15="Yes",'Input Sheet'!$F$7,0)</f>
        <v>0</v>
      </c>
      <c r="AK460" s="856">
        <f t="shared" si="79"/>
        <v>0</v>
      </c>
      <c r="AL460" s="856">
        <f t="shared" si="80"/>
        <v>0</v>
      </c>
      <c r="AM460" s="856">
        <f t="shared" si="86"/>
        <v>0</v>
      </c>
      <c r="AN460" s="856">
        <f t="shared" si="81"/>
        <v>0</v>
      </c>
      <c r="AO460" s="852">
        <f t="shared" si="87"/>
        <v>0</v>
      </c>
      <c r="AP460" s="853">
        <f t="shared" si="88"/>
        <v>0</v>
      </c>
      <c r="AQ460" s="854">
        <f>IFERROR(P460*'Input Sheet'!$F$8/(((AI460)*AK460*2)-AN460),0)</f>
        <v>0</v>
      </c>
      <c r="AR460" s="854">
        <f>IFERROR(($P460-$AF460)*'Input Sheet'!$F$8/(((AI460)*AK460*2)-AN460),0)</f>
        <v>0</v>
      </c>
    </row>
    <row r="461" spans="2:44" s="798" customFormat="1" ht="30" customHeight="1" thickBot="1" x14ac:dyDescent="0.3">
      <c r="B461" s="835"/>
      <c r="C461" s="836"/>
      <c r="D461" s="836"/>
      <c r="E461" s="837"/>
      <c r="F461" s="837"/>
      <c r="G461" s="838"/>
      <c r="H461" s="838"/>
      <c r="I461" s="839"/>
      <c r="J461" s="839"/>
      <c r="K461" s="840"/>
      <c r="L461" s="841"/>
      <c r="M461" s="841"/>
      <c r="N461" s="842"/>
      <c r="O461" s="842"/>
      <c r="P461" s="843"/>
      <c r="Q461" s="843"/>
      <c r="R461" s="843"/>
      <c r="S461" s="844">
        <f t="shared" si="82"/>
        <v>0</v>
      </c>
      <c r="T461" s="838"/>
      <c r="U461" s="842"/>
      <c r="V461" s="843"/>
      <c r="W461" s="843"/>
      <c r="X461" s="843"/>
      <c r="Y461" s="843"/>
      <c r="Z461" s="843"/>
      <c r="AA461" s="837"/>
      <c r="AB461" s="837"/>
      <c r="AC461" s="845">
        <f t="shared" si="83"/>
        <v>0</v>
      </c>
      <c r="AD461" s="846">
        <f t="shared" si="84"/>
        <v>0</v>
      </c>
      <c r="AE461" s="847">
        <f t="shared" si="85"/>
        <v>0</v>
      </c>
      <c r="AF461" s="855">
        <f t="shared" si="78"/>
        <v>0</v>
      </c>
      <c r="AG461" s="848">
        <f>IF('Input Sheet'!$C$15="Yes",'Input Sheet'!$F$8,0)</f>
        <v>0</v>
      </c>
      <c r="AH461" s="846">
        <f>IF('Input Sheet'!$C$15="Yes",Rates!$E$45,0)</f>
        <v>0</v>
      </c>
      <c r="AI461" s="849">
        <f>IF('Input Sheet'!$C$15="Yes",'Input Sheet'!$F$11,0)</f>
        <v>0</v>
      </c>
      <c r="AJ461" s="850">
        <f>IF('Input Sheet'!$C$15="Yes",'Input Sheet'!$F$7,0)</f>
        <v>0</v>
      </c>
      <c r="AK461" s="856">
        <f t="shared" si="79"/>
        <v>0</v>
      </c>
      <c r="AL461" s="856">
        <f t="shared" si="80"/>
        <v>0</v>
      </c>
      <c r="AM461" s="856">
        <f t="shared" si="86"/>
        <v>0</v>
      </c>
      <c r="AN461" s="856">
        <f t="shared" si="81"/>
        <v>0</v>
      </c>
      <c r="AO461" s="852">
        <f t="shared" si="87"/>
        <v>0</v>
      </c>
      <c r="AP461" s="853">
        <f t="shared" si="88"/>
        <v>0</v>
      </c>
      <c r="AQ461" s="854">
        <f>IFERROR(P461*'Input Sheet'!$F$8/(((AI461)*AK461*2)-AN461),0)</f>
        <v>0</v>
      </c>
      <c r="AR461" s="854">
        <f>IFERROR(($P461-$AF461)*'Input Sheet'!$F$8/(((AI461)*AK461*2)-AN461),0)</f>
        <v>0</v>
      </c>
    </row>
    <row r="462" spans="2:44" s="798" customFormat="1" ht="30" customHeight="1" thickBot="1" x14ac:dyDescent="0.3">
      <c r="B462" s="835"/>
      <c r="C462" s="836"/>
      <c r="D462" s="836"/>
      <c r="E462" s="837"/>
      <c r="F462" s="837"/>
      <c r="G462" s="838"/>
      <c r="H462" s="838"/>
      <c r="I462" s="839"/>
      <c r="J462" s="839"/>
      <c r="K462" s="840"/>
      <c r="L462" s="841"/>
      <c r="M462" s="841"/>
      <c r="N462" s="842"/>
      <c r="O462" s="842"/>
      <c r="P462" s="843"/>
      <c r="Q462" s="843"/>
      <c r="R462" s="843"/>
      <c r="S462" s="844">
        <f t="shared" si="82"/>
        <v>0</v>
      </c>
      <c r="T462" s="838"/>
      <c r="U462" s="842"/>
      <c r="V462" s="843"/>
      <c r="W462" s="843"/>
      <c r="X462" s="843"/>
      <c r="Y462" s="843"/>
      <c r="Z462" s="843"/>
      <c r="AA462" s="837"/>
      <c r="AB462" s="837"/>
      <c r="AC462" s="845">
        <f t="shared" si="83"/>
        <v>0</v>
      </c>
      <c r="AD462" s="846">
        <f t="shared" si="84"/>
        <v>0</v>
      </c>
      <c r="AE462" s="847">
        <f t="shared" si="85"/>
        <v>0</v>
      </c>
      <c r="AF462" s="855">
        <f t="shared" si="78"/>
        <v>0</v>
      </c>
      <c r="AG462" s="848">
        <f>IF('Input Sheet'!$C$15="Yes",'Input Sheet'!$F$8,0)</f>
        <v>0</v>
      </c>
      <c r="AH462" s="846">
        <f>IF('Input Sheet'!$C$15="Yes",Rates!$E$45,0)</f>
        <v>0</v>
      </c>
      <c r="AI462" s="849">
        <f>IF('Input Sheet'!$C$15="Yes",'Input Sheet'!$F$11,0)</f>
        <v>0</v>
      </c>
      <c r="AJ462" s="850">
        <f>IF('Input Sheet'!$C$15="Yes",'Input Sheet'!$F$7,0)</f>
        <v>0</v>
      </c>
      <c r="AK462" s="856">
        <f t="shared" si="79"/>
        <v>0</v>
      </c>
      <c r="AL462" s="856">
        <f t="shared" si="80"/>
        <v>0</v>
      </c>
      <c r="AM462" s="856">
        <f t="shared" si="86"/>
        <v>0</v>
      </c>
      <c r="AN462" s="856">
        <f t="shared" si="81"/>
        <v>0</v>
      </c>
      <c r="AO462" s="852">
        <f t="shared" si="87"/>
        <v>0</v>
      </c>
      <c r="AP462" s="853">
        <f t="shared" si="88"/>
        <v>0</v>
      </c>
      <c r="AQ462" s="854">
        <f>IFERROR(P462*'Input Sheet'!$F$8/(((AI462)*AK462*2)-AN462),0)</f>
        <v>0</v>
      </c>
      <c r="AR462" s="854">
        <f>IFERROR(($P462-$AF462)*'Input Sheet'!$F$8/(((AI462)*AK462*2)-AN462),0)</f>
        <v>0</v>
      </c>
    </row>
    <row r="463" spans="2:44" s="798" customFormat="1" ht="30" customHeight="1" thickBot="1" x14ac:dyDescent="0.3">
      <c r="B463" s="835"/>
      <c r="C463" s="836"/>
      <c r="D463" s="836"/>
      <c r="E463" s="837"/>
      <c r="F463" s="837"/>
      <c r="G463" s="838"/>
      <c r="H463" s="838"/>
      <c r="I463" s="839"/>
      <c r="J463" s="839"/>
      <c r="K463" s="840"/>
      <c r="L463" s="841"/>
      <c r="M463" s="841"/>
      <c r="N463" s="842"/>
      <c r="O463" s="842"/>
      <c r="P463" s="843"/>
      <c r="Q463" s="843"/>
      <c r="R463" s="843"/>
      <c r="S463" s="844">
        <f t="shared" si="82"/>
        <v>0</v>
      </c>
      <c r="T463" s="838"/>
      <c r="U463" s="842"/>
      <c r="V463" s="843"/>
      <c r="W463" s="843"/>
      <c r="X463" s="843"/>
      <c r="Y463" s="843"/>
      <c r="Z463" s="843"/>
      <c r="AA463" s="837"/>
      <c r="AB463" s="837"/>
      <c r="AC463" s="845">
        <f t="shared" si="83"/>
        <v>0</v>
      </c>
      <c r="AD463" s="846">
        <f t="shared" si="84"/>
        <v>0</v>
      </c>
      <c r="AE463" s="847">
        <f t="shared" si="85"/>
        <v>0</v>
      </c>
      <c r="AF463" s="855">
        <f t="shared" si="78"/>
        <v>0</v>
      </c>
      <c r="AG463" s="848">
        <f>IF('Input Sheet'!$C$15="Yes",'Input Sheet'!$F$8,0)</f>
        <v>0</v>
      </c>
      <c r="AH463" s="846">
        <f>IF('Input Sheet'!$C$15="Yes",Rates!$E$45,0)</f>
        <v>0</v>
      </c>
      <c r="AI463" s="849">
        <f>IF('Input Sheet'!$C$15="Yes",'Input Sheet'!$F$11,0)</f>
        <v>0</v>
      </c>
      <c r="AJ463" s="850">
        <f>IF('Input Sheet'!$C$15="Yes",'Input Sheet'!$F$7,0)</f>
        <v>0</v>
      </c>
      <c r="AK463" s="856">
        <f t="shared" si="79"/>
        <v>0</v>
      </c>
      <c r="AL463" s="856">
        <f t="shared" si="80"/>
        <v>0</v>
      </c>
      <c r="AM463" s="856">
        <f t="shared" si="86"/>
        <v>0</v>
      </c>
      <c r="AN463" s="856">
        <f t="shared" si="81"/>
        <v>0</v>
      </c>
      <c r="AO463" s="852">
        <f t="shared" si="87"/>
        <v>0</v>
      </c>
      <c r="AP463" s="853">
        <f t="shared" si="88"/>
        <v>0</v>
      </c>
      <c r="AQ463" s="854">
        <f>IFERROR(P463*'Input Sheet'!$F$8/(((AI463)*AK463*2)-AN463),0)</f>
        <v>0</v>
      </c>
      <c r="AR463" s="854">
        <f>IFERROR(($P463-$AF463)*'Input Sheet'!$F$8/(((AI463)*AK463*2)-AN463),0)</f>
        <v>0</v>
      </c>
    </row>
    <row r="464" spans="2:44" s="798" customFormat="1" ht="30" customHeight="1" thickBot="1" x14ac:dyDescent="0.3">
      <c r="B464" s="835"/>
      <c r="C464" s="836"/>
      <c r="D464" s="836"/>
      <c r="E464" s="837"/>
      <c r="F464" s="837"/>
      <c r="G464" s="838"/>
      <c r="H464" s="838"/>
      <c r="I464" s="839"/>
      <c r="J464" s="839"/>
      <c r="K464" s="840"/>
      <c r="L464" s="841"/>
      <c r="M464" s="841"/>
      <c r="N464" s="842"/>
      <c r="O464" s="842"/>
      <c r="P464" s="843"/>
      <c r="Q464" s="843"/>
      <c r="R464" s="843"/>
      <c r="S464" s="844">
        <f t="shared" si="82"/>
        <v>0</v>
      </c>
      <c r="T464" s="838"/>
      <c r="U464" s="842"/>
      <c r="V464" s="843"/>
      <c r="W464" s="843"/>
      <c r="X464" s="843"/>
      <c r="Y464" s="843"/>
      <c r="Z464" s="843"/>
      <c r="AA464" s="837"/>
      <c r="AB464" s="837"/>
      <c r="AC464" s="845">
        <f t="shared" si="83"/>
        <v>0</v>
      </c>
      <c r="AD464" s="846">
        <f t="shared" si="84"/>
        <v>0</v>
      </c>
      <c r="AE464" s="847">
        <f t="shared" si="85"/>
        <v>0</v>
      </c>
      <c r="AF464" s="855">
        <f t="shared" si="78"/>
        <v>0</v>
      </c>
      <c r="AG464" s="848">
        <f>IF('Input Sheet'!$C$15="Yes",'Input Sheet'!$F$8,0)</f>
        <v>0</v>
      </c>
      <c r="AH464" s="846">
        <f>IF('Input Sheet'!$C$15="Yes",Rates!$E$45,0)</f>
        <v>0</v>
      </c>
      <c r="AI464" s="849">
        <f>IF('Input Sheet'!$C$15="Yes",'Input Sheet'!$F$11,0)</f>
        <v>0</v>
      </c>
      <c r="AJ464" s="850">
        <f>IF('Input Sheet'!$C$15="Yes",'Input Sheet'!$F$7,0)</f>
        <v>0</v>
      </c>
      <c r="AK464" s="856">
        <f t="shared" si="79"/>
        <v>0</v>
      </c>
      <c r="AL464" s="856">
        <f t="shared" si="80"/>
        <v>0</v>
      </c>
      <c r="AM464" s="856">
        <f t="shared" si="86"/>
        <v>0</v>
      </c>
      <c r="AN464" s="856">
        <f t="shared" si="81"/>
        <v>0</v>
      </c>
      <c r="AO464" s="852">
        <f t="shared" si="87"/>
        <v>0</v>
      </c>
      <c r="AP464" s="853">
        <f t="shared" si="88"/>
        <v>0</v>
      </c>
      <c r="AQ464" s="854">
        <f>IFERROR(P464*'Input Sheet'!$F$8/(((AI464)*AK464*2)-AN464),0)</f>
        <v>0</v>
      </c>
      <c r="AR464" s="854">
        <f>IFERROR(($P464-$AF464)*'Input Sheet'!$F$8/(((AI464)*AK464*2)-AN464),0)</f>
        <v>0</v>
      </c>
    </row>
    <row r="465" spans="2:44" s="798" customFormat="1" ht="30" customHeight="1" thickBot="1" x14ac:dyDescent="0.3">
      <c r="B465" s="835"/>
      <c r="C465" s="836"/>
      <c r="D465" s="836"/>
      <c r="E465" s="837"/>
      <c r="F465" s="837"/>
      <c r="G465" s="838"/>
      <c r="H465" s="838"/>
      <c r="I465" s="839"/>
      <c r="J465" s="839"/>
      <c r="K465" s="840"/>
      <c r="L465" s="841"/>
      <c r="M465" s="841"/>
      <c r="N465" s="842"/>
      <c r="O465" s="842"/>
      <c r="P465" s="843"/>
      <c r="Q465" s="843"/>
      <c r="R465" s="843"/>
      <c r="S465" s="844">
        <f t="shared" si="82"/>
        <v>0</v>
      </c>
      <c r="T465" s="838"/>
      <c r="U465" s="842"/>
      <c r="V465" s="843"/>
      <c r="W465" s="843"/>
      <c r="X465" s="843"/>
      <c r="Y465" s="843"/>
      <c r="Z465" s="843"/>
      <c r="AA465" s="837"/>
      <c r="AB465" s="837"/>
      <c r="AC465" s="845">
        <f t="shared" si="83"/>
        <v>0</v>
      </c>
      <c r="AD465" s="846">
        <f t="shared" si="84"/>
        <v>0</v>
      </c>
      <c r="AE465" s="847">
        <f t="shared" si="85"/>
        <v>0</v>
      </c>
      <c r="AF465" s="855">
        <f t="shared" si="78"/>
        <v>0</v>
      </c>
      <c r="AG465" s="848">
        <f>IF('Input Sheet'!$C$15="Yes",'Input Sheet'!$F$8,0)</f>
        <v>0</v>
      </c>
      <c r="AH465" s="846">
        <f>IF('Input Sheet'!$C$15="Yes",Rates!$E$45,0)</f>
        <v>0</v>
      </c>
      <c r="AI465" s="849">
        <f>IF('Input Sheet'!$C$15="Yes",'Input Sheet'!$F$11,0)</f>
        <v>0</v>
      </c>
      <c r="AJ465" s="850">
        <f>IF('Input Sheet'!$C$15="Yes",'Input Sheet'!$F$7,0)</f>
        <v>0</v>
      </c>
      <c r="AK465" s="856">
        <f t="shared" si="79"/>
        <v>0</v>
      </c>
      <c r="AL465" s="856">
        <f t="shared" si="80"/>
        <v>0</v>
      </c>
      <c r="AM465" s="856">
        <f t="shared" si="86"/>
        <v>0</v>
      </c>
      <c r="AN465" s="856">
        <f t="shared" si="81"/>
        <v>0</v>
      </c>
      <c r="AO465" s="852">
        <f t="shared" si="87"/>
        <v>0</v>
      </c>
      <c r="AP465" s="853">
        <f t="shared" si="88"/>
        <v>0</v>
      </c>
      <c r="AQ465" s="854">
        <f>IFERROR(P465*'Input Sheet'!$F$8/(((AI465)*AK465*2)-AN465),0)</f>
        <v>0</v>
      </c>
      <c r="AR465" s="854">
        <f>IFERROR(($P465-$AF465)*'Input Sheet'!$F$8/(((AI465)*AK465*2)-AN465),0)</f>
        <v>0</v>
      </c>
    </row>
    <row r="466" spans="2:44" s="798" customFormat="1" ht="30" customHeight="1" thickBot="1" x14ac:dyDescent="0.3">
      <c r="B466" s="835"/>
      <c r="C466" s="836"/>
      <c r="D466" s="836"/>
      <c r="E466" s="837"/>
      <c r="F466" s="837"/>
      <c r="G466" s="838"/>
      <c r="H466" s="838"/>
      <c r="I466" s="839"/>
      <c r="J466" s="839"/>
      <c r="K466" s="840"/>
      <c r="L466" s="841"/>
      <c r="M466" s="841"/>
      <c r="N466" s="842"/>
      <c r="O466" s="842"/>
      <c r="P466" s="843"/>
      <c r="Q466" s="843"/>
      <c r="R466" s="843"/>
      <c r="S466" s="844">
        <f t="shared" si="82"/>
        <v>0</v>
      </c>
      <c r="T466" s="838"/>
      <c r="U466" s="842"/>
      <c r="V466" s="843"/>
      <c r="W466" s="843"/>
      <c r="X466" s="843"/>
      <c r="Y466" s="843"/>
      <c r="Z466" s="843"/>
      <c r="AA466" s="837"/>
      <c r="AB466" s="837"/>
      <c r="AC466" s="845">
        <f t="shared" si="83"/>
        <v>0</v>
      </c>
      <c r="AD466" s="846">
        <f t="shared" si="84"/>
        <v>0</v>
      </c>
      <c r="AE466" s="847">
        <f t="shared" si="85"/>
        <v>0</v>
      </c>
      <c r="AF466" s="855">
        <f t="shared" si="78"/>
        <v>0</v>
      </c>
      <c r="AG466" s="848">
        <f>IF('Input Sheet'!$C$15="Yes",'Input Sheet'!$F$8,0)</f>
        <v>0</v>
      </c>
      <c r="AH466" s="846">
        <f>IF('Input Sheet'!$C$15="Yes",Rates!$E$45,0)</f>
        <v>0</v>
      </c>
      <c r="AI466" s="849">
        <f>IF('Input Sheet'!$C$15="Yes",'Input Sheet'!$F$11,0)</f>
        <v>0</v>
      </c>
      <c r="AJ466" s="850">
        <f>IF('Input Sheet'!$C$15="Yes",'Input Sheet'!$F$7,0)</f>
        <v>0</v>
      </c>
      <c r="AK466" s="856">
        <f t="shared" si="79"/>
        <v>0</v>
      </c>
      <c r="AL466" s="856">
        <f t="shared" si="80"/>
        <v>0</v>
      </c>
      <c r="AM466" s="856">
        <f t="shared" si="86"/>
        <v>0</v>
      </c>
      <c r="AN466" s="856">
        <f t="shared" si="81"/>
        <v>0</v>
      </c>
      <c r="AO466" s="852">
        <f t="shared" si="87"/>
        <v>0</v>
      </c>
      <c r="AP466" s="853">
        <f t="shared" si="88"/>
        <v>0</v>
      </c>
      <c r="AQ466" s="854">
        <f>IFERROR(P466*'Input Sheet'!$F$8/(((AI466)*AK466*2)-AN466),0)</f>
        <v>0</v>
      </c>
      <c r="AR466" s="854">
        <f>IFERROR(($P466-$AF466)*'Input Sheet'!$F$8/(((AI466)*AK466*2)-AN466),0)</f>
        <v>0</v>
      </c>
    </row>
    <row r="467" spans="2:44" s="798" customFormat="1" ht="30" customHeight="1" thickBot="1" x14ac:dyDescent="0.3">
      <c r="B467" s="835"/>
      <c r="C467" s="836"/>
      <c r="D467" s="836"/>
      <c r="E467" s="837"/>
      <c r="F467" s="837"/>
      <c r="G467" s="838"/>
      <c r="H467" s="838"/>
      <c r="I467" s="839"/>
      <c r="J467" s="839"/>
      <c r="K467" s="840"/>
      <c r="L467" s="841"/>
      <c r="M467" s="841"/>
      <c r="N467" s="842"/>
      <c r="O467" s="842"/>
      <c r="P467" s="843"/>
      <c r="Q467" s="843"/>
      <c r="R467" s="843"/>
      <c r="S467" s="844">
        <f t="shared" si="82"/>
        <v>0</v>
      </c>
      <c r="T467" s="838"/>
      <c r="U467" s="842"/>
      <c r="V467" s="843"/>
      <c r="W467" s="843"/>
      <c r="X467" s="843"/>
      <c r="Y467" s="843"/>
      <c r="Z467" s="843"/>
      <c r="AA467" s="837"/>
      <c r="AB467" s="837"/>
      <c r="AC467" s="845">
        <f t="shared" si="83"/>
        <v>0</v>
      </c>
      <c r="AD467" s="846">
        <f t="shared" si="84"/>
        <v>0</v>
      </c>
      <c r="AE467" s="847">
        <f t="shared" si="85"/>
        <v>0</v>
      </c>
      <c r="AF467" s="855">
        <f t="shared" si="78"/>
        <v>0</v>
      </c>
      <c r="AG467" s="848">
        <f>IF('Input Sheet'!$C$15="Yes",'Input Sheet'!$F$8,0)</f>
        <v>0</v>
      </c>
      <c r="AH467" s="846">
        <f>IF('Input Sheet'!$C$15="Yes",Rates!$E$45,0)</f>
        <v>0</v>
      </c>
      <c r="AI467" s="849">
        <f>IF('Input Sheet'!$C$15="Yes",'Input Sheet'!$F$11,0)</f>
        <v>0</v>
      </c>
      <c r="AJ467" s="850">
        <f>IF('Input Sheet'!$C$15="Yes",'Input Sheet'!$F$7,0)</f>
        <v>0</v>
      </c>
      <c r="AK467" s="856">
        <f t="shared" si="79"/>
        <v>0</v>
      </c>
      <c r="AL467" s="856">
        <f t="shared" si="80"/>
        <v>0</v>
      </c>
      <c r="AM467" s="856">
        <f t="shared" si="86"/>
        <v>0</v>
      </c>
      <c r="AN467" s="856">
        <f t="shared" si="81"/>
        <v>0</v>
      </c>
      <c r="AO467" s="852">
        <f t="shared" si="87"/>
        <v>0</v>
      </c>
      <c r="AP467" s="853">
        <f t="shared" si="88"/>
        <v>0</v>
      </c>
      <c r="AQ467" s="854">
        <f>IFERROR(P467*'Input Sheet'!$F$8/(((AI467)*AK467*2)-AN467),0)</f>
        <v>0</v>
      </c>
      <c r="AR467" s="854">
        <f>IFERROR(($P467-$AF467)*'Input Sheet'!$F$8/(((AI467)*AK467*2)-AN467),0)</f>
        <v>0</v>
      </c>
    </row>
    <row r="468" spans="2:44" s="798" customFormat="1" ht="30" customHeight="1" thickBot="1" x14ac:dyDescent="0.3">
      <c r="B468" s="835"/>
      <c r="C468" s="836"/>
      <c r="D468" s="836"/>
      <c r="E468" s="837"/>
      <c r="F468" s="837"/>
      <c r="G468" s="838"/>
      <c r="H468" s="838"/>
      <c r="I468" s="839"/>
      <c r="J468" s="839"/>
      <c r="K468" s="840"/>
      <c r="L468" s="841"/>
      <c r="M468" s="841"/>
      <c r="N468" s="842"/>
      <c r="O468" s="842"/>
      <c r="P468" s="843"/>
      <c r="Q468" s="843"/>
      <c r="R468" s="843"/>
      <c r="S468" s="844">
        <f t="shared" si="82"/>
        <v>0</v>
      </c>
      <c r="T468" s="838"/>
      <c r="U468" s="842"/>
      <c r="V468" s="843"/>
      <c r="W468" s="843"/>
      <c r="X468" s="843"/>
      <c r="Y468" s="843"/>
      <c r="Z468" s="843"/>
      <c r="AA468" s="837"/>
      <c r="AB468" s="837"/>
      <c r="AC468" s="845">
        <f t="shared" si="83"/>
        <v>0</v>
      </c>
      <c r="AD468" s="846">
        <f t="shared" si="84"/>
        <v>0</v>
      </c>
      <c r="AE468" s="847">
        <f t="shared" si="85"/>
        <v>0</v>
      </c>
      <c r="AF468" s="855">
        <f t="shared" si="78"/>
        <v>0</v>
      </c>
      <c r="AG468" s="848">
        <f>IF('Input Sheet'!$C$15="Yes",'Input Sheet'!$F$8,0)</f>
        <v>0</v>
      </c>
      <c r="AH468" s="846">
        <f>IF('Input Sheet'!$C$15="Yes",Rates!$E$45,0)</f>
        <v>0</v>
      </c>
      <c r="AI468" s="849">
        <f>IF('Input Sheet'!$C$15="Yes",'Input Sheet'!$F$11,0)</f>
        <v>0</v>
      </c>
      <c r="AJ468" s="850">
        <f>IF('Input Sheet'!$C$15="Yes",'Input Sheet'!$F$7,0)</f>
        <v>0</v>
      </c>
      <c r="AK468" s="856">
        <f t="shared" si="79"/>
        <v>0</v>
      </c>
      <c r="AL468" s="856">
        <f t="shared" si="80"/>
        <v>0</v>
      </c>
      <c r="AM468" s="856">
        <f t="shared" si="86"/>
        <v>0</v>
      </c>
      <c r="AN468" s="856">
        <f t="shared" si="81"/>
        <v>0</v>
      </c>
      <c r="AO468" s="852">
        <f t="shared" si="87"/>
        <v>0</v>
      </c>
      <c r="AP468" s="853">
        <f t="shared" si="88"/>
        <v>0</v>
      </c>
      <c r="AQ468" s="854">
        <f>IFERROR(P468*'Input Sheet'!$F$8/(((AI468)*AK468*2)-AN468),0)</f>
        <v>0</v>
      </c>
      <c r="AR468" s="854">
        <f>IFERROR(($P468-$AF468)*'Input Sheet'!$F$8/(((AI468)*AK468*2)-AN468),0)</f>
        <v>0</v>
      </c>
    </row>
    <row r="469" spans="2:44" s="798" customFormat="1" ht="30" customHeight="1" thickBot="1" x14ac:dyDescent="0.3">
      <c r="B469" s="835"/>
      <c r="C469" s="836"/>
      <c r="D469" s="836"/>
      <c r="E469" s="837"/>
      <c r="F469" s="837"/>
      <c r="G469" s="838"/>
      <c r="H469" s="838"/>
      <c r="I469" s="839"/>
      <c r="J469" s="839"/>
      <c r="K469" s="840"/>
      <c r="L469" s="841"/>
      <c r="M469" s="841"/>
      <c r="N469" s="842"/>
      <c r="O469" s="842"/>
      <c r="P469" s="843"/>
      <c r="Q469" s="843"/>
      <c r="R469" s="843"/>
      <c r="S469" s="844">
        <f t="shared" si="82"/>
        <v>0</v>
      </c>
      <c r="T469" s="838"/>
      <c r="U469" s="842"/>
      <c r="V469" s="843"/>
      <c r="W469" s="843"/>
      <c r="X469" s="843"/>
      <c r="Y469" s="843"/>
      <c r="Z469" s="843"/>
      <c r="AA469" s="837"/>
      <c r="AB469" s="837"/>
      <c r="AC469" s="845">
        <f t="shared" si="83"/>
        <v>0</v>
      </c>
      <c r="AD469" s="846">
        <f t="shared" si="84"/>
        <v>0</v>
      </c>
      <c r="AE469" s="847">
        <f t="shared" si="85"/>
        <v>0</v>
      </c>
      <c r="AF469" s="855">
        <f t="shared" si="78"/>
        <v>0</v>
      </c>
      <c r="AG469" s="848">
        <f>IF('Input Sheet'!$C$15="Yes",'Input Sheet'!$F$8,0)</f>
        <v>0</v>
      </c>
      <c r="AH469" s="846">
        <f>IF('Input Sheet'!$C$15="Yes",Rates!$E$45,0)</f>
        <v>0</v>
      </c>
      <c r="AI469" s="849">
        <f>IF('Input Sheet'!$C$15="Yes",'Input Sheet'!$F$11,0)</f>
        <v>0</v>
      </c>
      <c r="AJ469" s="850">
        <f>IF('Input Sheet'!$C$15="Yes",'Input Sheet'!$F$7,0)</f>
        <v>0</v>
      </c>
      <c r="AK469" s="856">
        <f t="shared" si="79"/>
        <v>0</v>
      </c>
      <c r="AL469" s="856">
        <f t="shared" si="80"/>
        <v>0</v>
      </c>
      <c r="AM469" s="856">
        <f t="shared" si="86"/>
        <v>0</v>
      </c>
      <c r="AN469" s="856">
        <f t="shared" si="81"/>
        <v>0</v>
      </c>
      <c r="AO469" s="852">
        <f t="shared" si="87"/>
        <v>0</v>
      </c>
      <c r="AP469" s="853">
        <f t="shared" si="88"/>
        <v>0</v>
      </c>
      <c r="AQ469" s="854">
        <f>IFERROR(P469*'Input Sheet'!$F$8/(((AI469)*AK469*2)-AN469),0)</f>
        <v>0</v>
      </c>
      <c r="AR469" s="854">
        <f>IFERROR(($P469-$AF469)*'Input Sheet'!$F$8/(((AI469)*AK469*2)-AN469),0)</f>
        <v>0</v>
      </c>
    </row>
    <row r="470" spans="2:44" s="798" customFormat="1" ht="30" customHeight="1" thickBot="1" x14ac:dyDescent="0.3">
      <c r="B470" s="835"/>
      <c r="C470" s="836"/>
      <c r="D470" s="836"/>
      <c r="E470" s="837"/>
      <c r="F470" s="837"/>
      <c r="G470" s="838"/>
      <c r="H470" s="838"/>
      <c r="I470" s="839"/>
      <c r="J470" s="839"/>
      <c r="K470" s="840"/>
      <c r="L470" s="841"/>
      <c r="M470" s="841"/>
      <c r="N470" s="842"/>
      <c r="O470" s="842"/>
      <c r="P470" s="843"/>
      <c r="Q470" s="843"/>
      <c r="R470" s="843"/>
      <c r="S470" s="844">
        <f t="shared" si="82"/>
        <v>0</v>
      </c>
      <c r="T470" s="838"/>
      <c r="U470" s="842"/>
      <c r="V470" s="843"/>
      <c r="W470" s="843"/>
      <c r="X470" s="843"/>
      <c r="Y470" s="843"/>
      <c r="Z470" s="843"/>
      <c r="AA470" s="837"/>
      <c r="AB470" s="837"/>
      <c r="AC470" s="845">
        <f t="shared" si="83"/>
        <v>0</v>
      </c>
      <c r="AD470" s="846">
        <f t="shared" si="84"/>
        <v>0</v>
      </c>
      <c r="AE470" s="847">
        <f t="shared" si="85"/>
        <v>0</v>
      </c>
      <c r="AF470" s="855">
        <f t="shared" si="78"/>
        <v>0</v>
      </c>
      <c r="AG470" s="848">
        <f>IF('Input Sheet'!$C$15="Yes",'Input Sheet'!$F$8,0)</f>
        <v>0</v>
      </c>
      <c r="AH470" s="846">
        <f>IF('Input Sheet'!$C$15="Yes",Rates!$E$45,0)</f>
        <v>0</v>
      </c>
      <c r="AI470" s="849">
        <f>IF('Input Sheet'!$C$15="Yes",'Input Sheet'!$F$11,0)</f>
        <v>0</v>
      </c>
      <c r="AJ470" s="850">
        <f>IF('Input Sheet'!$C$15="Yes",'Input Sheet'!$F$7,0)</f>
        <v>0</v>
      </c>
      <c r="AK470" s="856">
        <f t="shared" si="79"/>
        <v>0</v>
      </c>
      <c r="AL470" s="856">
        <f t="shared" si="80"/>
        <v>0</v>
      </c>
      <c r="AM470" s="856">
        <f t="shared" si="86"/>
        <v>0</v>
      </c>
      <c r="AN470" s="856">
        <f t="shared" si="81"/>
        <v>0</v>
      </c>
      <c r="AO470" s="852">
        <f t="shared" si="87"/>
        <v>0</v>
      </c>
      <c r="AP470" s="853">
        <f t="shared" si="88"/>
        <v>0</v>
      </c>
      <c r="AQ470" s="854">
        <f>IFERROR(P470*'Input Sheet'!$F$8/(((AI470)*AK470*2)-AN470),0)</f>
        <v>0</v>
      </c>
      <c r="AR470" s="854">
        <f>IFERROR(($P470-$AF470)*'Input Sheet'!$F$8/(((AI470)*AK470*2)-AN470),0)</f>
        <v>0</v>
      </c>
    </row>
    <row r="471" spans="2:44" s="798" customFormat="1" ht="30" customHeight="1" thickBot="1" x14ac:dyDescent="0.3">
      <c r="B471" s="835"/>
      <c r="C471" s="836"/>
      <c r="D471" s="836"/>
      <c r="E471" s="837"/>
      <c r="F471" s="837"/>
      <c r="G471" s="838"/>
      <c r="H471" s="838"/>
      <c r="I471" s="839"/>
      <c r="J471" s="839"/>
      <c r="K471" s="840"/>
      <c r="L471" s="841"/>
      <c r="M471" s="841"/>
      <c r="N471" s="842"/>
      <c r="O471" s="842"/>
      <c r="P471" s="843"/>
      <c r="Q471" s="843"/>
      <c r="R471" s="843"/>
      <c r="S471" s="844">
        <f t="shared" si="82"/>
        <v>0</v>
      </c>
      <c r="T471" s="838"/>
      <c r="U471" s="842"/>
      <c r="V471" s="843"/>
      <c r="W471" s="843"/>
      <c r="X471" s="843"/>
      <c r="Y471" s="843"/>
      <c r="Z471" s="843"/>
      <c r="AA471" s="837"/>
      <c r="AB471" s="837"/>
      <c r="AC471" s="845">
        <f t="shared" si="83"/>
        <v>0</v>
      </c>
      <c r="AD471" s="846">
        <f t="shared" si="84"/>
        <v>0</v>
      </c>
      <c r="AE471" s="847">
        <f t="shared" si="85"/>
        <v>0</v>
      </c>
      <c r="AF471" s="855">
        <f t="shared" si="78"/>
        <v>0</v>
      </c>
      <c r="AG471" s="848">
        <f>IF('Input Sheet'!$C$15="Yes",'Input Sheet'!$F$8,0)</f>
        <v>0</v>
      </c>
      <c r="AH471" s="846">
        <f>IF('Input Sheet'!$C$15="Yes",Rates!$E$45,0)</f>
        <v>0</v>
      </c>
      <c r="AI471" s="849">
        <f>IF('Input Sheet'!$C$15="Yes",'Input Sheet'!$F$11,0)</f>
        <v>0</v>
      </c>
      <c r="AJ471" s="850">
        <f>IF('Input Sheet'!$C$15="Yes",'Input Sheet'!$F$7,0)</f>
        <v>0</v>
      </c>
      <c r="AK471" s="856">
        <f t="shared" si="79"/>
        <v>0</v>
      </c>
      <c r="AL471" s="856">
        <f t="shared" si="80"/>
        <v>0</v>
      </c>
      <c r="AM471" s="856">
        <f t="shared" si="86"/>
        <v>0</v>
      </c>
      <c r="AN471" s="856">
        <f t="shared" si="81"/>
        <v>0</v>
      </c>
      <c r="AO471" s="852">
        <f t="shared" si="87"/>
        <v>0</v>
      </c>
      <c r="AP471" s="853">
        <f t="shared" si="88"/>
        <v>0</v>
      </c>
      <c r="AQ471" s="854">
        <f>IFERROR(P471*'Input Sheet'!$F$8/(((AI471)*AK471*2)-AN471),0)</f>
        <v>0</v>
      </c>
      <c r="AR471" s="854">
        <f>IFERROR(($P471-$AF471)*'Input Sheet'!$F$8/(((AI471)*AK471*2)-AN471),0)</f>
        <v>0</v>
      </c>
    </row>
    <row r="472" spans="2:44" s="798" customFormat="1" ht="30" customHeight="1" thickBot="1" x14ac:dyDescent="0.3">
      <c r="B472" s="835"/>
      <c r="C472" s="836"/>
      <c r="D472" s="836"/>
      <c r="E472" s="837"/>
      <c r="F472" s="837"/>
      <c r="G472" s="838"/>
      <c r="H472" s="838"/>
      <c r="I472" s="839"/>
      <c r="J472" s="839"/>
      <c r="K472" s="840"/>
      <c r="L472" s="841"/>
      <c r="M472" s="841"/>
      <c r="N472" s="842"/>
      <c r="O472" s="842"/>
      <c r="P472" s="843"/>
      <c r="Q472" s="843"/>
      <c r="R472" s="843"/>
      <c r="S472" s="844">
        <f t="shared" si="82"/>
        <v>0</v>
      </c>
      <c r="T472" s="838"/>
      <c r="U472" s="842"/>
      <c r="V472" s="843"/>
      <c r="W472" s="843"/>
      <c r="X472" s="843"/>
      <c r="Y472" s="843"/>
      <c r="Z472" s="843"/>
      <c r="AA472" s="837"/>
      <c r="AB472" s="837"/>
      <c r="AC472" s="845">
        <f t="shared" si="83"/>
        <v>0</v>
      </c>
      <c r="AD472" s="846">
        <f t="shared" si="84"/>
        <v>0</v>
      </c>
      <c r="AE472" s="847">
        <f t="shared" si="85"/>
        <v>0</v>
      </c>
      <c r="AF472" s="855">
        <f t="shared" si="78"/>
        <v>0</v>
      </c>
      <c r="AG472" s="848">
        <f>IF('Input Sheet'!$C$15="Yes",'Input Sheet'!$F$8,0)</f>
        <v>0</v>
      </c>
      <c r="AH472" s="846">
        <f>IF('Input Sheet'!$C$15="Yes",Rates!$E$45,0)</f>
        <v>0</v>
      </c>
      <c r="AI472" s="849">
        <f>IF('Input Sheet'!$C$15="Yes",'Input Sheet'!$F$11,0)</f>
        <v>0</v>
      </c>
      <c r="AJ472" s="850">
        <f>IF('Input Sheet'!$C$15="Yes",'Input Sheet'!$F$7,0)</f>
        <v>0</v>
      </c>
      <c r="AK472" s="856">
        <f t="shared" si="79"/>
        <v>0</v>
      </c>
      <c r="AL472" s="856">
        <f t="shared" si="80"/>
        <v>0</v>
      </c>
      <c r="AM472" s="856">
        <f t="shared" si="86"/>
        <v>0</v>
      </c>
      <c r="AN472" s="856">
        <f t="shared" si="81"/>
        <v>0</v>
      </c>
      <c r="AO472" s="852">
        <f t="shared" si="87"/>
        <v>0</v>
      </c>
      <c r="AP472" s="853">
        <f t="shared" si="88"/>
        <v>0</v>
      </c>
      <c r="AQ472" s="854">
        <f>IFERROR(P472*'Input Sheet'!$F$8/(((AI472)*AK472*2)-AN472),0)</f>
        <v>0</v>
      </c>
      <c r="AR472" s="854">
        <f>IFERROR(($P472-$AF472)*'Input Sheet'!$F$8/(((AI472)*AK472*2)-AN472),0)</f>
        <v>0</v>
      </c>
    </row>
    <row r="473" spans="2:44" s="798" customFormat="1" ht="30" customHeight="1" thickBot="1" x14ac:dyDescent="0.3">
      <c r="B473" s="835"/>
      <c r="C473" s="836"/>
      <c r="D473" s="836"/>
      <c r="E473" s="837"/>
      <c r="F473" s="837"/>
      <c r="G473" s="838"/>
      <c r="H473" s="838"/>
      <c r="I473" s="839"/>
      <c r="J473" s="839"/>
      <c r="K473" s="840"/>
      <c r="L473" s="841"/>
      <c r="M473" s="841"/>
      <c r="N473" s="842"/>
      <c r="O473" s="842"/>
      <c r="P473" s="843"/>
      <c r="Q473" s="843"/>
      <c r="R473" s="843"/>
      <c r="S473" s="844">
        <f t="shared" si="82"/>
        <v>0</v>
      </c>
      <c r="T473" s="838"/>
      <c r="U473" s="842"/>
      <c r="V473" s="843"/>
      <c r="W473" s="843"/>
      <c r="X473" s="843"/>
      <c r="Y473" s="843"/>
      <c r="Z473" s="843"/>
      <c r="AA473" s="837"/>
      <c r="AB473" s="837"/>
      <c r="AC473" s="845">
        <f t="shared" si="83"/>
        <v>0</v>
      </c>
      <c r="AD473" s="846">
        <f t="shared" si="84"/>
        <v>0</v>
      </c>
      <c r="AE473" s="847">
        <f t="shared" si="85"/>
        <v>0</v>
      </c>
      <c r="AF473" s="855">
        <f t="shared" si="78"/>
        <v>0</v>
      </c>
      <c r="AG473" s="848">
        <f>IF('Input Sheet'!$C$15="Yes",'Input Sheet'!$F$8,0)</f>
        <v>0</v>
      </c>
      <c r="AH473" s="846">
        <f>IF('Input Sheet'!$C$15="Yes",Rates!$E$45,0)</f>
        <v>0</v>
      </c>
      <c r="AI473" s="849">
        <f>IF('Input Sheet'!$C$15="Yes",'Input Sheet'!$F$11,0)</f>
        <v>0</v>
      </c>
      <c r="AJ473" s="850">
        <f>IF('Input Sheet'!$C$15="Yes",'Input Sheet'!$F$7,0)</f>
        <v>0</v>
      </c>
      <c r="AK473" s="856">
        <f t="shared" si="79"/>
        <v>0</v>
      </c>
      <c r="AL473" s="856">
        <f t="shared" si="80"/>
        <v>0</v>
      </c>
      <c r="AM473" s="856">
        <f t="shared" si="86"/>
        <v>0</v>
      </c>
      <c r="AN473" s="856">
        <f t="shared" si="81"/>
        <v>0</v>
      </c>
      <c r="AO473" s="852">
        <f t="shared" si="87"/>
        <v>0</v>
      </c>
      <c r="AP473" s="853">
        <f t="shared" si="88"/>
        <v>0</v>
      </c>
      <c r="AQ473" s="854">
        <f>IFERROR(P473*'Input Sheet'!$F$8/(((AI473)*AK473*2)-AN473),0)</f>
        <v>0</v>
      </c>
      <c r="AR473" s="854">
        <f>IFERROR(($P473-$AF473)*'Input Sheet'!$F$8/(((AI473)*AK473*2)-AN473),0)</f>
        <v>0</v>
      </c>
    </row>
    <row r="474" spans="2:44" s="798" customFormat="1" ht="30" customHeight="1" thickBot="1" x14ac:dyDescent="0.3">
      <c r="B474" s="835"/>
      <c r="C474" s="836"/>
      <c r="D474" s="836"/>
      <c r="E474" s="837"/>
      <c r="F474" s="837"/>
      <c r="G474" s="838"/>
      <c r="H474" s="838"/>
      <c r="I474" s="839"/>
      <c r="J474" s="839"/>
      <c r="K474" s="840"/>
      <c r="L474" s="841"/>
      <c r="M474" s="841"/>
      <c r="N474" s="842"/>
      <c r="O474" s="842"/>
      <c r="P474" s="843"/>
      <c r="Q474" s="843"/>
      <c r="R474" s="843"/>
      <c r="S474" s="844">
        <f t="shared" si="82"/>
        <v>0</v>
      </c>
      <c r="T474" s="838"/>
      <c r="U474" s="842"/>
      <c r="V474" s="843"/>
      <c r="W474" s="843"/>
      <c r="X474" s="843"/>
      <c r="Y474" s="843"/>
      <c r="Z474" s="843"/>
      <c r="AA474" s="837"/>
      <c r="AB474" s="837"/>
      <c r="AC474" s="845">
        <f t="shared" si="83"/>
        <v>0</v>
      </c>
      <c r="AD474" s="846">
        <f t="shared" si="84"/>
        <v>0</v>
      </c>
      <c r="AE474" s="847">
        <f t="shared" si="85"/>
        <v>0</v>
      </c>
      <c r="AF474" s="855">
        <f t="shared" si="78"/>
        <v>0</v>
      </c>
      <c r="AG474" s="848">
        <f>IF('Input Sheet'!$C$15="Yes",'Input Sheet'!$F$8,0)</f>
        <v>0</v>
      </c>
      <c r="AH474" s="846">
        <f>IF('Input Sheet'!$C$15="Yes",Rates!$E$45,0)</f>
        <v>0</v>
      </c>
      <c r="AI474" s="849">
        <f>IF('Input Sheet'!$C$15="Yes",'Input Sheet'!$F$11,0)</f>
        <v>0</v>
      </c>
      <c r="AJ474" s="850">
        <f>IF('Input Sheet'!$C$15="Yes",'Input Sheet'!$F$7,0)</f>
        <v>0</v>
      </c>
      <c r="AK474" s="856">
        <f t="shared" si="79"/>
        <v>0</v>
      </c>
      <c r="AL474" s="856">
        <f t="shared" si="80"/>
        <v>0</v>
      </c>
      <c r="AM474" s="856">
        <f t="shared" si="86"/>
        <v>0</v>
      </c>
      <c r="AN474" s="856">
        <f t="shared" si="81"/>
        <v>0</v>
      </c>
      <c r="AO474" s="852">
        <f t="shared" si="87"/>
        <v>0</v>
      </c>
      <c r="AP474" s="853">
        <f t="shared" si="88"/>
        <v>0</v>
      </c>
      <c r="AQ474" s="854">
        <f>IFERROR(P474*'Input Sheet'!$F$8/(((AI474)*AK474*2)-AN474),0)</f>
        <v>0</v>
      </c>
      <c r="AR474" s="854">
        <f>IFERROR(($P474-$AF474)*'Input Sheet'!$F$8/(((AI474)*AK474*2)-AN474),0)</f>
        <v>0</v>
      </c>
    </row>
    <row r="475" spans="2:44" s="798" customFormat="1" ht="30" customHeight="1" thickBot="1" x14ac:dyDescent="0.3">
      <c r="B475" s="835"/>
      <c r="C475" s="836"/>
      <c r="D475" s="836"/>
      <c r="E475" s="837"/>
      <c r="F475" s="837"/>
      <c r="G475" s="838"/>
      <c r="H475" s="838"/>
      <c r="I475" s="839"/>
      <c r="J475" s="839"/>
      <c r="K475" s="840"/>
      <c r="L475" s="841"/>
      <c r="M475" s="841"/>
      <c r="N475" s="842"/>
      <c r="O475" s="842"/>
      <c r="P475" s="843"/>
      <c r="Q475" s="843"/>
      <c r="R475" s="843"/>
      <c r="S475" s="844">
        <f t="shared" si="82"/>
        <v>0</v>
      </c>
      <c r="T475" s="838"/>
      <c r="U475" s="842"/>
      <c r="V475" s="843"/>
      <c r="W475" s="843"/>
      <c r="X475" s="843"/>
      <c r="Y475" s="843"/>
      <c r="Z475" s="843"/>
      <c r="AA475" s="837"/>
      <c r="AB475" s="837"/>
      <c r="AC475" s="845">
        <f t="shared" si="83"/>
        <v>0</v>
      </c>
      <c r="AD475" s="846">
        <f t="shared" si="84"/>
        <v>0</v>
      </c>
      <c r="AE475" s="847">
        <f t="shared" si="85"/>
        <v>0</v>
      </c>
      <c r="AF475" s="855">
        <f t="shared" si="78"/>
        <v>0</v>
      </c>
      <c r="AG475" s="848">
        <f>IF('Input Sheet'!$C$15="Yes",'Input Sheet'!$F$8,0)</f>
        <v>0</v>
      </c>
      <c r="AH475" s="846">
        <f>IF('Input Sheet'!$C$15="Yes",Rates!$E$45,0)</f>
        <v>0</v>
      </c>
      <c r="AI475" s="849">
        <f>IF('Input Sheet'!$C$15="Yes",'Input Sheet'!$F$11,0)</f>
        <v>0</v>
      </c>
      <c r="AJ475" s="850">
        <f>IF('Input Sheet'!$C$15="Yes",'Input Sheet'!$F$7,0)</f>
        <v>0</v>
      </c>
      <c r="AK475" s="856">
        <f t="shared" si="79"/>
        <v>0</v>
      </c>
      <c r="AL475" s="856">
        <f t="shared" si="80"/>
        <v>0</v>
      </c>
      <c r="AM475" s="856">
        <f t="shared" si="86"/>
        <v>0</v>
      </c>
      <c r="AN475" s="856">
        <f t="shared" si="81"/>
        <v>0</v>
      </c>
      <c r="AO475" s="852">
        <f t="shared" si="87"/>
        <v>0</v>
      </c>
      <c r="AP475" s="853">
        <f t="shared" si="88"/>
        <v>0</v>
      </c>
      <c r="AQ475" s="854">
        <f>IFERROR(P475*'Input Sheet'!$F$8/(((AI475)*AK475*2)-AN475),0)</f>
        <v>0</v>
      </c>
      <c r="AR475" s="854">
        <f>IFERROR(($P475-$AF475)*'Input Sheet'!$F$8/(((AI475)*AK475*2)-AN475),0)</f>
        <v>0</v>
      </c>
    </row>
    <row r="476" spans="2:44" s="798" customFormat="1" ht="30" customHeight="1" thickBot="1" x14ac:dyDescent="0.3">
      <c r="B476" s="835"/>
      <c r="C476" s="836"/>
      <c r="D476" s="836"/>
      <c r="E476" s="837"/>
      <c r="F476" s="837"/>
      <c r="G476" s="838"/>
      <c r="H476" s="838"/>
      <c r="I476" s="839"/>
      <c r="J476" s="839"/>
      <c r="K476" s="840"/>
      <c r="L476" s="841"/>
      <c r="M476" s="841"/>
      <c r="N476" s="842"/>
      <c r="O476" s="842"/>
      <c r="P476" s="843"/>
      <c r="Q476" s="843"/>
      <c r="R476" s="843"/>
      <c r="S476" s="844">
        <f t="shared" si="82"/>
        <v>0</v>
      </c>
      <c r="T476" s="838"/>
      <c r="U476" s="842"/>
      <c r="V476" s="843"/>
      <c r="W476" s="843"/>
      <c r="X476" s="843"/>
      <c r="Y476" s="843"/>
      <c r="Z476" s="843"/>
      <c r="AA476" s="837"/>
      <c r="AB476" s="837"/>
      <c r="AC476" s="845">
        <f t="shared" si="83"/>
        <v>0</v>
      </c>
      <c r="AD476" s="846">
        <f t="shared" si="84"/>
        <v>0</v>
      </c>
      <c r="AE476" s="847">
        <f t="shared" si="85"/>
        <v>0</v>
      </c>
      <c r="AF476" s="855">
        <f t="shared" si="78"/>
        <v>0</v>
      </c>
      <c r="AG476" s="848">
        <f>IF('Input Sheet'!$C$15="Yes",'Input Sheet'!$F$8,0)</f>
        <v>0</v>
      </c>
      <c r="AH476" s="846">
        <f>IF('Input Sheet'!$C$15="Yes",Rates!$E$45,0)</f>
        <v>0</v>
      </c>
      <c r="AI476" s="849">
        <f>IF('Input Sheet'!$C$15="Yes",'Input Sheet'!$F$11,0)</f>
        <v>0</v>
      </c>
      <c r="AJ476" s="850">
        <f>IF('Input Sheet'!$C$15="Yes",'Input Sheet'!$F$7,0)</f>
        <v>0</v>
      </c>
      <c r="AK476" s="856">
        <f t="shared" si="79"/>
        <v>0</v>
      </c>
      <c r="AL476" s="856">
        <f t="shared" si="80"/>
        <v>0</v>
      </c>
      <c r="AM476" s="856">
        <f t="shared" si="86"/>
        <v>0</v>
      </c>
      <c r="AN476" s="856">
        <f t="shared" si="81"/>
        <v>0</v>
      </c>
      <c r="AO476" s="852">
        <f t="shared" si="87"/>
        <v>0</v>
      </c>
      <c r="AP476" s="853">
        <f t="shared" si="88"/>
        <v>0</v>
      </c>
      <c r="AQ476" s="854">
        <f>IFERROR(P476*'Input Sheet'!$F$8/(((AI476)*AK476*2)-AN476),0)</f>
        <v>0</v>
      </c>
      <c r="AR476" s="854">
        <f>IFERROR(($P476-$AF476)*'Input Sheet'!$F$8/(((AI476)*AK476*2)-AN476),0)</f>
        <v>0</v>
      </c>
    </row>
    <row r="477" spans="2:44" s="798" customFormat="1" ht="30" customHeight="1" thickBot="1" x14ac:dyDescent="0.3">
      <c r="B477" s="835"/>
      <c r="C477" s="836"/>
      <c r="D477" s="836"/>
      <c r="E477" s="837"/>
      <c r="F477" s="837"/>
      <c r="G477" s="838"/>
      <c r="H477" s="838"/>
      <c r="I477" s="839"/>
      <c r="J477" s="839"/>
      <c r="K477" s="840"/>
      <c r="L477" s="841"/>
      <c r="M477" s="841"/>
      <c r="N477" s="842"/>
      <c r="O477" s="842"/>
      <c r="P477" s="843"/>
      <c r="Q477" s="843"/>
      <c r="R477" s="843"/>
      <c r="S477" s="844">
        <f t="shared" si="82"/>
        <v>0</v>
      </c>
      <c r="T477" s="838"/>
      <c r="U477" s="842"/>
      <c r="V477" s="843"/>
      <c r="W477" s="843"/>
      <c r="X477" s="843"/>
      <c r="Y477" s="843"/>
      <c r="Z477" s="843"/>
      <c r="AA477" s="837"/>
      <c r="AB477" s="837"/>
      <c r="AC477" s="845">
        <f t="shared" si="83"/>
        <v>0</v>
      </c>
      <c r="AD477" s="846">
        <f t="shared" si="84"/>
        <v>0</v>
      </c>
      <c r="AE477" s="847">
        <f t="shared" si="85"/>
        <v>0</v>
      </c>
      <c r="AF477" s="855">
        <f t="shared" si="78"/>
        <v>0</v>
      </c>
      <c r="AG477" s="848">
        <f>IF('Input Sheet'!$C$15="Yes",'Input Sheet'!$F$8,0)</f>
        <v>0</v>
      </c>
      <c r="AH477" s="846">
        <f>IF('Input Sheet'!$C$15="Yes",Rates!$E$45,0)</f>
        <v>0</v>
      </c>
      <c r="AI477" s="849">
        <f>IF('Input Sheet'!$C$15="Yes",'Input Sheet'!$F$11,0)</f>
        <v>0</v>
      </c>
      <c r="AJ477" s="850">
        <f>IF('Input Sheet'!$C$15="Yes",'Input Sheet'!$F$7,0)</f>
        <v>0</v>
      </c>
      <c r="AK477" s="856">
        <f t="shared" si="79"/>
        <v>0</v>
      </c>
      <c r="AL477" s="856">
        <f t="shared" si="80"/>
        <v>0</v>
      </c>
      <c r="AM477" s="856">
        <f t="shared" si="86"/>
        <v>0</v>
      </c>
      <c r="AN477" s="856">
        <f t="shared" si="81"/>
        <v>0</v>
      </c>
      <c r="AO477" s="852">
        <f t="shared" si="87"/>
        <v>0</v>
      </c>
      <c r="AP477" s="853">
        <f t="shared" si="88"/>
        <v>0</v>
      </c>
      <c r="AQ477" s="854">
        <f>IFERROR(P477*'Input Sheet'!$F$8/(((AI477)*AK477*2)-AN477),0)</f>
        <v>0</v>
      </c>
      <c r="AR477" s="854">
        <f>IFERROR(($P477-$AF477)*'Input Sheet'!$F$8/(((AI477)*AK477*2)-AN477),0)</f>
        <v>0</v>
      </c>
    </row>
    <row r="478" spans="2:44" s="798" customFormat="1" ht="30" customHeight="1" thickBot="1" x14ac:dyDescent="0.3">
      <c r="B478" s="835"/>
      <c r="C478" s="836"/>
      <c r="D478" s="836"/>
      <c r="E478" s="837"/>
      <c r="F478" s="837"/>
      <c r="G478" s="838"/>
      <c r="H478" s="838"/>
      <c r="I478" s="839"/>
      <c r="J478" s="839"/>
      <c r="K478" s="840"/>
      <c r="L478" s="841"/>
      <c r="M478" s="841"/>
      <c r="N478" s="842"/>
      <c r="O478" s="842"/>
      <c r="P478" s="843"/>
      <c r="Q478" s="843"/>
      <c r="R478" s="843"/>
      <c r="S478" s="844">
        <f t="shared" si="82"/>
        <v>0</v>
      </c>
      <c r="T478" s="838"/>
      <c r="U478" s="842"/>
      <c r="V478" s="843"/>
      <c r="W478" s="843"/>
      <c r="X478" s="843"/>
      <c r="Y478" s="843"/>
      <c r="Z478" s="843"/>
      <c r="AA478" s="837"/>
      <c r="AB478" s="837"/>
      <c r="AC478" s="845">
        <f t="shared" si="83"/>
        <v>0</v>
      </c>
      <c r="AD478" s="846">
        <f t="shared" si="84"/>
        <v>0</v>
      </c>
      <c r="AE478" s="847">
        <f t="shared" si="85"/>
        <v>0</v>
      </c>
      <c r="AF478" s="855">
        <f t="shared" si="78"/>
        <v>0</v>
      </c>
      <c r="AG478" s="848">
        <f>IF('Input Sheet'!$C$15="Yes",'Input Sheet'!$F$8,0)</f>
        <v>0</v>
      </c>
      <c r="AH478" s="846">
        <f>IF('Input Sheet'!$C$15="Yes",Rates!$E$45,0)</f>
        <v>0</v>
      </c>
      <c r="AI478" s="849">
        <f>IF('Input Sheet'!$C$15="Yes",'Input Sheet'!$F$11,0)</f>
        <v>0</v>
      </c>
      <c r="AJ478" s="850">
        <f>IF('Input Sheet'!$C$15="Yes",'Input Sheet'!$F$7,0)</f>
        <v>0</v>
      </c>
      <c r="AK478" s="856">
        <f t="shared" si="79"/>
        <v>0</v>
      </c>
      <c r="AL478" s="856">
        <f t="shared" si="80"/>
        <v>0</v>
      </c>
      <c r="AM478" s="856">
        <f t="shared" si="86"/>
        <v>0</v>
      </c>
      <c r="AN478" s="856">
        <f t="shared" si="81"/>
        <v>0</v>
      </c>
      <c r="AO478" s="852">
        <f t="shared" si="87"/>
        <v>0</v>
      </c>
      <c r="AP478" s="853">
        <f t="shared" si="88"/>
        <v>0</v>
      </c>
      <c r="AQ478" s="854">
        <f>IFERROR(P478*'Input Sheet'!$F$8/(((AI478)*AK478*2)-AN478),0)</f>
        <v>0</v>
      </c>
      <c r="AR478" s="854">
        <f>IFERROR(($P478-$AF478)*'Input Sheet'!$F$8/(((AI478)*AK478*2)-AN478),0)</f>
        <v>0</v>
      </c>
    </row>
    <row r="479" spans="2:44" s="798" customFormat="1" ht="30" customHeight="1" thickBot="1" x14ac:dyDescent="0.3">
      <c r="B479" s="835"/>
      <c r="C479" s="836"/>
      <c r="D479" s="836"/>
      <c r="E479" s="837"/>
      <c r="F479" s="837"/>
      <c r="G479" s="838"/>
      <c r="H479" s="838"/>
      <c r="I479" s="839"/>
      <c r="J479" s="839"/>
      <c r="K479" s="840"/>
      <c r="L479" s="841"/>
      <c r="M479" s="841"/>
      <c r="N479" s="842"/>
      <c r="O479" s="842"/>
      <c r="P479" s="843"/>
      <c r="Q479" s="843"/>
      <c r="R479" s="843"/>
      <c r="S479" s="844">
        <f t="shared" si="82"/>
        <v>0</v>
      </c>
      <c r="T479" s="838"/>
      <c r="U479" s="842"/>
      <c r="V479" s="843"/>
      <c r="W479" s="843"/>
      <c r="X479" s="843"/>
      <c r="Y479" s="843"/>
      <c r="Z479" s="843"/>
      <c r="AA479" s="837"/>
      <c r="AB479" s="837"/>
      <c r="AC479" s="845">
        <f t="shared" si="83"/>
        <v>0</v>
      </c>
      <c r="AD479" s="846">
        <f t="shared" si="84"/>
        <v>0</v>
      </c>
      <c r="AE479" s="847">
        <f t="shared" si="85"/>
        <v>0</v>
      </c>
      <c r="AF479" s="855">
        <f t="shared" si="78"/>
        <v>0</v>
      </c>
      <c r="AG479" s="848">
        <f>IF('Input Sheet'!$C$15="Yes",'Input Sheet'!$F$8,0)</f>
        <v>0</v>
      </c>
      <c r="AH479" s="846">
        <f>IF('Input Sheet'!$C$15="Yes",Rates!$E$45,0)</f>
        <v>0</v>
      </c>
      <c r="AI479" s="849">
        <f>IF('Input Sheet'!$C$15="Yes",'Input Sheet'!$F$11,0)</f>
        <v>0</v>
      </c>
      <c r="AJ479" s="850">
        <f>IF('Input Sheet'!$C$15="Yes",'Input Sheet'!$F$7,0)</f>
        <v>0</v>
      </c>
      <c r="AK479" s="856">
        <f t="shared" si="79"/>
        <v>0</v>
      </c>
      <c r="AL479" s="856">
        <f t="shared" si="80"/>
        <v>0</v>
      </c>
      <c r="AM479" s="856">
        <f t="shared" si="86"/>
        <v>0</v>
      </c>
      <c r="AN479" s="856">
        <f t="shared" si="81"/>
        <v>0</v>
      </c>
      <c r="AO479" s="852">
        <f t="shared" si="87"/>
        <v>0</v>
      </c>
      <c r="AP479" s="853">
        <f t="shared" si="88"/>
        <v>0</v>
      </c>
      <c r="AQ479" s="854">
        <f>IFERROR(P479*'Input Sheet'!$F$8/(((AI479)*AK479*2)-AN479),0)</f>
        <v>0</v>
      </c>
      <c r="AR479" s="854">
        <f>IFERROR(($P479-$AF479)*'Input Sheet'!$F$8/(((AI479)*AK479*2)-AN479),0)</f>
        <v>0</v>
      </c>
    </row>
    <row r="480" spans="2:44" s="798" customFormat="1" ht="30" customHeight="1" thickBot="1" x14ac:dyDescent="0.3">
      <c r="B480" s="835"/>
      <c r="C480" s="836"/>
      <c r="D480" s="836"/>
      <c r="E480" s="837"/>
      <c r="F480" s="837"/>
      <c r="G480" s="838"/>
      <c r="H480" s="838"/>
      <c r="I480" s="839"/>
      <c r="J480" s="839"/>
      <c r="K480" s="840"/>
      <c r="L480" s="841"/>
      <c r="M480" s="841"/>
      <c r="N480" s="842"/>
      <c r="O480" s="842"/>
      <c r="P480" s="843"/>
      <c r="Q480" s="843"/>
      <c r="R480" s="843"/>
      <c r="S480" s="844">
        <f t="shared" si="82"/>
        <v>0</v>
      </c>
      <c r="T480" s="838"/>
      <c r="U480" s="842"/>
      <c r="V480" s="843"/>
      <c r="W480" s="843"/>
      <c r="X480" s="843"/>
      <c r="Y480" s="843"/>
      <c r="Z480" s="843"/>
      <c r="AA480" s="837"/>
      <c r="AB480" s="837"/>
      <c r="AC480" s="845">
        <f t="shared" si="83"/>
        <v>0</v>
      </c>
      <c r="AD480" s="846">
        <f t="shared" si="84"/>
        <v>0</v>
      </c>
      <c r="AE480" s="847">
        <f t="shared" si="85"/>
        <v>0</v>
      </c>
      <c r="AF480" s="855">
        <f t="shared" si="78"/>
        <v>0</v>
      </c>
      <c r="AG480" s="848">
        <f>IF('Input Sheet'!$C$15="Yes",'Input Sheet'!$F$8,0)</f>
        <v>0</v>
      </c>
      <c r="AH480" s="846">
        <f>IF('Input Sheet'!$C$15="Yes",Rates!$E$45,0)</f>
        <v>0</v>
      </c>
      <c r="AI480" s="849">
        <f>IF('Input Sheet'!$C$15="Yes",'Input Sheet'!$F$11,0)</f>
        <v>0</v>
      </c>
      <c r="AJ480" s="850">
        <f>IF('Input Sheet'!$C$15="Yes",'Input Sheet'!$F$7,0)</f>
        <v>0</v>
      </c>
      <c r="AK480" s="856">
        <f t="shared" si="79"/>
        <v>0</v>
      </c>
      <c r="AL480" s="856">
        <f t="shared" si="80"/>
        <v>0</v>
      </c>
      <c r="AM480" s="856">
        <f t="shared" si="86"/>
        <v>0</v>
      </c>
      <c r="AN480" s="856">
        <f t="shared" si="81"/>
        <v>0</v>
      </c>
      <c r="AO480" s="852">
        <f t="shared" si="87"/>
        <v>0</v>
      </c>
      <c r="AP480" s="853">
        <f t="shared" si="88"/>
        <v>0</v>
      </c>
      <c r="AQ480" s="854">
        <f>IFERROR(P480*'Input Sheet'!$F$8/(((AI480)*AK480*2)-AN480),0)</f>
        <v>0</v>
      </c>
      <c r="AR480" s="854">
        <f>IFERROR(($P480-$AF480)*'Input Sheet'!$F$8/(((AI480)*AK480*2)-AN480),0)</f>
        <v>0</v>
      </c>
    </row>
    <row r="481" spans="2:44" s="798" customFormat="1" ht="30" customHeight="1" thickBot="1" x14ac:dyDescent="0.3">
      <c r="B481" s="835"/>
      <c r="C481" s="836"/>
      <c r="D481" s="836"/>
      <c r="E481" s="837"/>
      <c r="F481" s="837"/>
      <c r="G481" s="838"/>
      <c r="H481" s="838"/>
      <c r="I481" s="839"/>
      <c r="J481" s="839"/>
      <c r="K481" s="840"/>
      <c r="L481" s="841"/>
      <c r="M481" s="841"/>
      <c r="N481" s="842"/>
      <c r="O481" s="842"/>
      <c r="P481" s="843"/>
      <c r="Q481" s="843"/>
      <c r="R481" s="843"/>
      <c r="S481" s="844">
        <f t="shared" si="82"/>
        <v>0</v>
      </c>
      <c r="T481" s="838"/>
      <c r="U481" s="842"/>
      <c r="V481" s="843"/>
      <c r="W481" s="843"/>
      <c r="X481" s="843"/>
      <c r="Y481" s="843"/>
      <c r="Z481" s="843"/>
      <c r="AA481" s="837"/>
      <c r="AB481" s="837"/>
      <c r="AC481" s="845">
        <f t="shared" si="83"/>
        <v>0</v>
      </c>
      <c r="AD481" s="846">
        <f t="shared" si="84"/>
        <v>0</v>
      </c>
      <c r="AE481" s="847">
        <f t="shared" si="85"/>
        <v>0</v>
      </c>
      <c r="AF481" s="855">
        <f t="shared" si="78"/>
        <v>0</v>
      </c>
      <c r="AG481" s="848">
        <f>IF('Input Sheet'!$C$15="Yes",'Input Sheet'!$F$8,0)</f>
        <v>0</v>
      </c>
      <c r="AH481" s="846">
        <f>IF('Input Sheet'!$C$15="Yes",Rates!$E$45,0)</f>
        <v>0</v>
      </c>
      <c r="AI481" s="849">
        <f>IF('Input Sheet'!$C$15="Yes",'Input Sheet'!$F$11,0)</f>
        <v>0</v>
      </c>
      <c r="AJ481" s="850">
        <f>IF('Input Sheet'!$C$15="Yes",'Input Sheet'!$F$7,0)</f>
        <v>0</v>
      </c>
      <c r="AK481" s="856">
        <f t="shared" si="79"/>
        <v>0</v>
      </c>
      <c r="AL481" s="856">
        <f t="shared" si="80"/>
        <v>0</v>
      </c>
      <c r="AM481" s="856">
        <f t="shared" si="86"/>
        <v>0</v>
      </c>
      <c r="AN481" s="856">
        <f t="shared" si="81"/>
        <v>0</v>
      </c>
      <c r="AO481" s="852">
        <f t="shared" si="87"/>
        <v>0</v>
      </c>
      <c r="AP481" s="853">
        <f t="shared" si="88"/>
        <v>0</v>
      </c>
      <c r="AQ481" s="854">
        <f>IFERROR(P481*'Input Sheet'!$F$8/(((AI481)*AK481*2)-AN481),0)</f>
        <v>0</v>
      </c>
      <c r="AR481" s="854">
        <f>IFERROR(($P481-$AF481)*'Input Sheet'!$F$8/(((AI481)*AK481*2)-AN481),0)</f>
        <v>0</v>
      </c>
    </row>
    <row r="482" spans="2:44" s="798" customFormat="1" ht="30" customHeight="1" thickBot="1" x14ac:dyDescent="0.3">
      <c r="B482" s="835"/>
      <c r="C482" s="836"/>
      <c r="D482" s="836"/>
      <c r="E482" s="837"/>
      <c r="F482" s="837"/>
      <c r="G482" s="838"/>
      <c r="H482" s="838"/>
      <c r="I482" s="839"/>
      <c r="J482" s="839"/>
      <c r="K482" s="840"/>
      <c r="L482" s="841"/>
      <c r="M482" s="841"/>
      <c r="N482" s="842"/>
      <c r="O482" s="842"/>
      <c r="P482" s="843"/>
      <c r="Q482" s="843"/>
      <c r="R482" s="843"/>
      <c r="S482" s="844">
        <f t="shared" si="82"/>
        <v>0</v>
      </c>
      <c r="T482" s="838"/>
      <c r="U482" s="842"/>
      <c r="V482" s="843"/>
      <c r="W482" s="843"/>
      <c r="X482" s="843"/>
      <c r="Y482" s="843"/>
      <c r="Z482" s="843"/>
      <c r="AA482" s="837"/>
      <c r="AB482" s="837"/>
      <c r="AC482" s="845">
        <f t="shared" si="83"/>
        <v>0</v>
      </c>
      <c r="AD482" s="846">
        <f t="shared" si="84"/>
        <v>0</v>
      </c>
      <c r="AE482" s="847">
        <f t="shared" si="85"/>
        <v>0</v>
      </c>
      <c r="AF482" s="855">
        <f t="shared" si="78"/>
        <v>0</v>
      </c>
      <c r="AG482" s="848">
        <f>IF('Input Sheet'!$C$15="Yes",'Input Sheet'!$F$8,0)</f>
        <v>0</v>
      </c>
      <c r="AH482" s="846">
        <f>IF('Input Sheet'!$C$15="Yes",Rates!$E$45,0)</f>
        <v>0</v>
      </c>
      <c r="AI482" s="849">
        <f>IF('Input Sheet'!$C$15="Yes",'Input Sheet'!$F$11,0)</f>
        <v>0</v>
      </c>
      <c r="AJ482" s="850">
        <f>IF('Input Sheet'!$C$15="Yes",'Input Sheet'!$F$7,0)</f>
        <v>0</v>
      </c>
      <c r="AK482" s="856">
        <f t="shared" si="79"/>
        <v>0</v>
      </c>
      <c r="AL482" s="856">
        <f t="shared" si="80"/>
        <v>0</v>
      </c>
      <c r="AM482" s="856">
        <f t="shared" si="86"/>
        <v>0</v>
      </c>
      <c r="AN482" s="856">
        <f t="shared" si="81"/>
        <v>0</v>
      </c>
      <c r="AO482" s="852">
        <f t="shared" si="87"/>
        <v>0</v>
      </c>
      <c r="AP482" s="853">
        <f t="shared" si="88"/>
        <v>0</v>
      </c>
      <c r="AQ482" s="854">
        <f>IFERROR(P482*'Input Sheet'!$F$8/(((AI482)*AK482*2)-AN482),0)</f>
        <v>0</v>
      </c>
      <c r="AR482" s="854">
        <f>IFERROR(($P482-$AF482)*'Input Sheet'!$F$8/(((AI482)*AK482*2)-AN482),0)</f>
        <v>0</v>
      </c>
    </row>
    <row r="483" spans="2:44" s="798" customFormat="1" ht="30" customHeight="1" thickBot="1" x14ac:dyDescent="0.3">
      <c r="B483" s="835"/>
      <c r="C483" s="836"/>
      <c r="D483" s="836"/>
      <c r="E483" s="837"/>
      <c r="F483" s="837"/>
      <c r="G483" s="838"/>
      <c r="H483" s="838"/>
      <c r="I483" s="839"/>
      <c r="J483" s="839"/>
      <c r="K483" s="840"/>
      <c r="L483" s="841"/>
      <c r="M483" s="841"/>
      <c r="N483" s="842"/>
      <c r="O483" s="842"/>
      <c r="P483" s="843"/>
      <c r="Q483" s="843"/>
      <c r="R483" s="843"/>
      <c r="S483" s="844">
        <f t="shared" si="82"/>
        <v>0</v>
      </c>
      <c r="T483" s="838"/>
      <c r="U483" s="842"/>
      <c r="V483" s="843"/>
      <c r="W483" s="843"/>
      <c r="X483" s="843"/>
      <c r="Y483" s="843"/>
      <c r="Z483" s="843"/>
      <c r="AA483" s="837"/>
      <c r="AB483" s="837"/>
      <c r="AC483" s="845">
        <f t="shared" si="83"/>
        <v>0</v>
      </c>
      <c r="AD483" s="846">
        <f t="shared" si="84"/>
        <v>0</v>
      </c>
      <c r="AE483" s="847">
        <f t="shared" si="85"/>
        <v>0</v>
      </c>
      <c r="AF483" s="855">
        <f t="shared" si="78"/>
        <v>0</v>
      </c>
      <c r="AG483" s="848">
        <f>IF('Input Sheet'!$C$15="Yes",'Input Sheet'!$F$8,0)</f>
        <v>0</v>
      </c>
      <c r="AH483" s="846">
        <f>IF('Input Sheet'!$C$15="Yes",Rates!$E$45,0)</f>
        <v>0</v>
      </c>
      <c r="AI483" s="849">
        <f>IF('Input Sheet'!$C$15="Yes",'Input Sheet'!$F$11,0)</f>
        <v>0</v>
      </c>
      <c r="AJ483" s="850">
        <f>IF('Input Sheet'!$C$15="Yes",'Input Sheet'!$F$7,0)</f>
        <v>0</v>
      </c>
      <c r="AK483" s="856">
        <f t="shared" si="79"/>
        <v>0</v>
      </c>
      <c r="AL483" s="856">
        <f t="shared" si="80"/>
        <v>0</v>
      </c>
      <c r="AM483" s="856">
        <f t="shared" si="86"/>
        <v>0</v>
      </c>
      <c r="AN483" s="856">
        <f t="shared" si="81"/>
        <v>0</v>
      </c>
      <c r="AO483" s="852">
        <f t="shared" si="87"/>
        <v>0</v>
      </c>
      <c r="AP483" s="853">
        <f t="shared" si="88"/>
        <v>0</v>
      </c>
      <c r="AQ483" s="854">
        <f>IFERROR(P483*'Input Sheet'!$F$8/(((AI483)*AK483*2)-AN483),0)</f>
        <v>0</v>
      </c>
      <c r="AR483" s="854">
        <f>IFERROR(($P483-$AF483)*'Input Sheet'!$F$8/(((AI483)*AK483*2)-AN483),0)</f>
        <v>0</v>
      </c>
    </row>
    <row r="484" spans="2:44" s="798" customFormat="1" ht="30" customHeight="1" thickBot="1" x14ac:dyDescent="0.3">
      <c r="B484" s="835"/>
      <c r="C484" s="836"/>
      <c r="D484" s="836"/>
      <c r="E484" s="837"/>
      <c r="F484" s="837"/>
      <c r="G484" s="838"/>
      <c r="H484" s="838"/>
      <c r="I484" s="839"/>
      <c r="J484" s="839"/>
      <c r="K484" s="840"/>
      <c r="L484" s="841"/>
      <c r="M484" s="841"/>
      <c r="N484" s="842"/>
      <c r="O484" s="842"/>
      <c r="P484" s="843"/>
      <c r="Q484" s="843"/>
      <c r="R484" s="843"/>
      <c r="S484" s="844">
        <f t="shared" si="82"/>
        <v>0</v>
      </c>
      <c r="T484" s="838"/>
      <c r="U484" s="842"/>
      <c r="V484" s="843"/>
      <c r="W484" s="843"/>
      <c r="X484" s="843"/>
      <c r="Y484" s="843"/>
      <c r="Z484" s="843"/>
      <c r="AA484" s="837"/>
      <c r="AB484" s="837"/>
      <c r="AC484" s="845">
        <f t="shared" si="83"/>
        <v>0</v>
      </c>
      <c r="AD484" s="846">
        <f t="shared" si="84"/>
        <v>0</v>
      </c>
      <c r="AE484" s="847">
        <f t="shared" si="85"/>
        <v>0</v>
      </c>
      <c r="AF484" s="855">
        <f t="shared" si="78"/>
        <v>0</v>
      </c>
      <c r="AG484" s="848">
        <f>IF('Input Sheet'!$C$15="Yes",'Input Sheet'!$F$8,0)</f>
        <v>0</v>
      </c>
      <c r="AH484" s="846">
        <f>IF('Input Sheet'!$C$15="Yes",Rates!$E$45,0)</f>
        <v>0</v>
      </c>
      <c r="AI484" s="849">
        <f>IF('Input Sheet'!$C$15="Yes",'Input Sheet'!$F$11,0)</f>
        <v>0</v>
      </c>
      <c r="AJ484" s="850">
        <f>IF('Input Sheet'!$C$15="Yes",'Input Sheet'!$F$7,0)</f>
        <v>0</v>
      </c>
      <c r="AK484" s="856">
        <f t="shared" si="79"/>
        <v>0</v>
      </c>
      <c r="AL484" s="856">
        <f t="shared" si="80"/>
        <v>0</v>
      </c>
      <c r="AM484" s="856">
        <f t="shared" si="86"/>
        <v>0</v>
      </c>
      <c r="AN484" s="856">
        <f t="shared" si="81"/>
        <v>0</v>
      </c>
      <c r="AO484" s="852">
        <f t="shared" si="87"/>
        <v>0</v>
      </c>
      <c r="AP484" s="853">
        <f t="shared" si="88"/>
        <v>0</v>
      </c>
      <c r="AQ484" s="854">
        <f>IFERROR(P484*'Input Sheet'!$F$8/(((AI484)*AK484*2)-AN484),0)</f>
        <v>0</v>
      </c>
      <c r="AR484" s="854">
        <f>IFERROR(($P484-$AF484)*'Input Sheet'!$F$8/(((AI484)*AK484*2)-AN484),0)</f>
        <v>0</v>
      </c>
    </row>
    <row r="485" spans="2:44" s="798" customFormat="1" ht="30" customHeight="1" thickBot="1" x14ac:dyDescent="0.3">
      <c r="B485" s="835"/>
      <c r="C485" s="836"/>
      <c r="D485" s="836"/>
      <c r="E485" s="837"/>
      <c r="F485" s="837"/>
      <c r="G485" s="838"/>
      <c r="H485" s="838"/>
      <c r="I485" s="839"/>
      <c r="J485" s="839"/>
      <c r="K485" s="840"/>
      <c r="L485" s="841"/>
      <c r="M485" s="841"/>
      <c r="N485" s="842"/>
      <c r="O485" s="842"/>
      <c r="P485" s="843"/>
      <c r="Q485" s="843"/>
      <c r="R485" s="843"/>
      <c r="S485" s="844">
        <f t="shared" si="82"/>
        <v>0</v>
      </c>
      <c r="T485" s="838"/>
      <c r="U485" s="842"/>
      <c r="V485" s="843"/>
      <c r="W485" s="843"/>
      <c r="X485" s="843"/>
      <c r="Y485" s="843"/>
      <c r="Z485" s="843"/>
      <c r="AA485" s="837"/>
      <c r="AB485" s="837"/>
      <c r="AC485" s="845">
        <f t="shared" si="83"/>
        <v>0</v>
      </c>
      <c r="AD485" s="846">
        <f t="shared" si="84"/>
        <v>0</v>
      </c>
      <c r="AE485" s="847">
        <f t="shared" si="85"/>
        <v>0</v>
      </c>
      <c r="AF485" s="855">
        <f t="shared" si="78"/>
        <v>0</v>
      </c>
      <c r="AG485" s="848">
        <f>IF('Input Sheet'!$C$15="Yes",'Input Sheet'!$F$8,0)</f>
        <v>0</v>
      </c>
      <c r="AH485" s="846">
        <f>IF('Input Sheet'!$C$15="Yes",Rates!$E$45,0)</f>
        <v>0</v>
      </c>
      <c r="AI485" s="849">
        <f>IF('Input Sheet'!$C$15="Yes",'Input Sheet'!$F$11,0)</f>
        <v>0</v>
      </c>
      <c r="AJ485" s="850">
        <f>IF('Input Sheet'!$C$15="Yes",'Input Sheet'!$F$7,0)</f>
        <v>0</v>
      </c>
      <c r="AK485" s="856">
        <f t="shared" si="79"/>
        <v>0</v>
      </c>
      <c r="AL485" s="856">
        <f t="shared" si="80"/>
        <v>0</v>
      </c>
      <c r="AM485" s="856">
        <f t="shared" si="86"/>
        <v>0</v>
      </c>
      <c r="AN485" s="856">
        <f t="shared" si="81"/>
        <v>0</v>
      </c>
      <c r="AO485" s="852">
        <f t="shared" si="87"/>
        <v>0</v>
      </c>
      <c r="AP485" s="853">
        <f t="shared" si="88"/>
        <v>0</v>
      </c>
      <c r="AQ485" s="854">
        <f>IFERROR(P485*'Input Sheet'!$F$8/(((AI485)*AK485*2)-AN485),0)</f>
        <v>0</v>
      </c>
      <c r="AR485" s="854">
        <f>IFERROR(($P485-$AF485)*'Input Sheet'!$F$8/(((AI485)*AK485*2)-AN485),0)</f>
        <v>0</v>
      </c>
    </row>
    <row r="486" spans="2:44" s="798" customFormat="1" ht="30" customHeight="1" thickBot="1" x14ac:dyDescent="0.3">
      <c r="B486" s="835"/>
      <c r="C486" s="836"/>
      <c r="D486" s="836"/>
      <c r="E486" s="837"/>
      <c r="F486" s="837"/>
      <c r="G486" s="838"/>
      <c r="H486" s="838"/>
      <c r="I486" s="839"/>
      <c r="J486" s="839"/>
      <c r="K486" s="840"/>
      <c r="L486" s="841"/>
      <c r="M486" s="841"/>
      <c r="N486" s="842"/>
      <c r="O486" s="842"/>
      <c r="P486" s="843"/>
      <c r="Q486" s="843"/>
      <c r="R486" s="843"/>
      <c r="S486" s="844">
        <f t="shared" si="82"/>
        <v>0</v>
      </c>
      <c r="T486" s="838"/>
      <c r="U486" s="842"/>
      <c r="V486" s="843"/>
      <c r="W486" s="843"/>
      <c r="X486" s="843"/>
      <c r="Y486" s="843"/>
      <c r="Z486" s="843"/>
      <c r="AA486" s="837"/>
      <c r="AB486" s="837"/>
      <c r="AC486" s="845">
        <f t="shared" si="83"/>
        <v>0</v>
      </c>
      <c r="AD486" s="846">
        <f t="shared" si="84"/>
        <v>0</v>
      </c>
      <c r="AE486" s="847">
        <f t="shared" si="85"/>
        <v>0</v>
      </c>
      <c r="AF486" s="855">
        <f t="shared" si="78"/>
        <v>0</v>
      </c>
      <c r="AG486" s="848">
        <f>IF('Input Sheet'!$C$15="Yes",'Input Sheet'!$F$8,0)</f>
        <v>0</v>
      </c>
      <c r="AH486" s="846">
        <f>IF('Input Sheet'!$C$15="Yes",Rates!$E$45,0)</f>
        <v>0</v>
      </c>
      <c r="AI486" s="849">
        <f>IF('Input Sheet'!$C$15="Yes",'Input Sheet'!$F$11,0)</f>
        <v>0</v>
      </c>
      <c r="AJ486" s="850">
        <f>IF('Input Sheet'!$C$15="Yes",'Input Sheet'!$F$7,0)</f>
        <v>0</v>
      </c>
      <c r="AK486" s="856">
        <f t="shared" si="79"/>
        <v>0</v>
      </c>
      <c r="AL486" s="856">
        <f t="shared" si="80"/>
        <v>0</v>
      </c>
      <c r="AM486" s="856">
        <f t="shared" si="86"/>
        <v>0</v>
      </c>
      <c r="AN486" s="856">
        <f t="shared" si="81"/>
        <v>0</v>
      </c>
      <c r="AO486" s="852">
        <f t="shared" si="87"/>
        <v>0</v>
      </c>
      <c r="AP486" s="853">
        <f t="shared" si="88"/>
        <v>0</v>
      </c>
      <c r="AQ486" s="854">
        <f>IFERROR(P486*'Input Sheet'!$F$8/(((AI486)*AK486*2)-AN486),0)</f>
        <v>0</v>
      </c>
      <c r="AR486" s="854">
        <f>IFERROR(($P486-$AF486)*'Input Sheet'!$F$8/(((AI486)*AK486*2)-AN486),0)</f>
        <v>0</v>
      </c>
    </row>
    <row r="487" spans="2:44" s="798" customFormat="1" ht="30" customHeight="1" thickBot="1" x14ac:dyDescent="0.3">
      <c r="B487" s="835"/>
      <c r="C487" s="836"/>
      <c r="D487" s="836"/>
      <c r="E487" s="837"/>
      <c r="F487" s="837"/>
      <c r="G487" s="838"/>
      <c r="H487" s="838"/>
      <c r="I487" s="839"/>
      <c r="J487" s="839"/>
      <c r="K487" s="840"/>
      <c r="L487" s="841"/>
      <c r="M487" s="841"/>
      <c r="N487" s="842"/>
      <c r="O487" s="842"/>
      <c r="P487" s="843"/>
      <c r="Q487" s="843"/>
      <c r="R487" s="843"/>
      <c r="S487" s="844">
        <f t="shared" si="82"/>
        <v>0</v>
      </c>
      <c r="T487" s="838"/>
      <c r="U487" s="842"/>
      <c r="V487" s="843"/>
      <c r="W487" s="843"/>
      <c r="X487" s="843"/>
      <c r="Y487" s="843"/>
      <c r="Z487" s="843"/>
      <c r="AA487" s="837"/>
      <c r="AB487" s="837"/>
      <c r="AC487" s="845">
        <f t="shared" si="83"/>
        <v>0</v>
      </c>
      <c r="AD487" s="846">
        <f t="shared" si="84"/>
        <v>0</v>
      </c>
      <c r="AE487" s="847">
        <f t="shared" si="85"/>
        <v>0</v>
      </c>
      <c r="AF487" s="855">
        <f t="shared" si="78"/>
        <v>0</v>
      </c>
      <c r="AG487" s="848">
        <f>IF('Input Sheet'!$C$15="Yes",'Input Sheet'!$F$8,0)</f>
        <v>0</v>
      </c>
      <c r="AH487" s="846">
        <f>IF('Input Sheet'!$C$15="Yes",Rates!$E$45,0)</f>
        <v>0</v>
      </c>
      <c r="AI487" s="849">
        <f>IF('Input Sheet'!$C$15="Yes",'Input Sheet'!$F$11,0)</f>
        <v>0</v>
      </c>
      <c r="AJ487" s="850">
        <f>IF('Input Sheet'!$C$15="Yes",'Input Sheet'!$F$7,0)</f>
        <v>0</v>
      </c>
      <c r="AK487" s="856">
        <f t="shared" si="79"/>
        <v>0</v>
      </c>
      <c r="AL487" s="856">
        <f t="shared" si="80"/>
        <v>0</v>
      </c>
      <c r="AM487" s="856">
        <f t="shared" si="86"/>
        <v>0</v>
      </c>
      <c r="AN487" s="856">
        <f t="shared" si="81"/>
        <v>0</v>
      </c>
      <c r="AO487" s="852">
        <f t="shared" si="87"/>
        <v>0</v>
      </c>
      <c r="AP487" s="853">
        <f t="shared" si="88"/>
        <v>0</v>
      </c>
      <c r="AQ487" s="854">
        <f>IFERROR(P487*'Input Sheet'!$F$8/(((AI487)*AK487*2)-AN487),0)</f>
        <v>0</v>
      </c>
      <c r="AR487" s="854">
        <f>IFERROR(($P487-$AF487)*'Input Sheet'!$F$8/(((AI487)*AK487*2)-AN487),0)</f>
        <v>0</v>
      </c>
    </row>
    <row r="488" spans="2:44" s="798" customFormat="1" ht="30" customHeight="1" thickBot="1" x14ac:dyDescent="0.3">
      <c r="B488" s="835"/>
      <c r="C488" s="836"/>
      <c r="D488" s="836"/>
      <c r="E488" s="837"/>
      <c r="F488" s="837"/>
      <c r="G488" s="838"/>
      <c r="H488" s="838"/>
      <c r="I488" s="839"/>
      <c r="J488" s="839"/>
      <c r="K488" s="840"/>
      <c r="L488" s="841"/>
      <c r="M488" s="841"/>
      <c r="N488" s="842"/>
      <c r="O488" s="842"/>
      <c r="P488" s="843"/>
      <c r="Q488" s="843"/>
      <c r="R488" s="843"/>
      <c r="S488" s="844">
        <f t="shared" si="82"/>
        <v>0</v>
      </c>
      <c r="T488" s="838"/>
      <c r="U488" s="842"/>
      <c r="V488" s="843"/>
      <c r="W488" s="843"/>
      <c r="X488" s="843"/>
      <c r="Y488" s="843"/>
      <c r="Z488" s="843"/>
      <c r="AA488" s="837"/>
      <c r="AB488" s="837"/>
      <c r="AC488" s="845">
        <f t="shared" si="83"/>
        <v>0</v>
      </c>
      <c r="AD488" s="846">
        <f t="shared" si="84"/>
        <v>0</v>
      </c>
      <c r="AE488" s="847">
        <f t="shared" si="85"/>
        <v>0</v>
      </c>
      <c r="AF488" s="855">
        <f t="shared" si="78"/>
        <v>0</v>
      </c>
      <c r="AG488" s="848">
        <f>IF('Input Sheet'!$C$15="Yes",'Input Sheet'!$F$8,0)</f>
        <v>0</v>
      </c>
      <c r="AH488" s="846">
        <f>IF('Input Sheet'!$C$15="Yes",Rates!$E$45,0)</f>
        <v>0</v>
      </c>
      <c r="AI488" s="849">
        <f>IF('Input Sheet'!$C$15="Yes",'Input Sheet'!$F$11,0)</f>
        <v>0</v>
      </c>
      <c r="AJ488" s="850">
        <f>IF('Input Sheet'!$C$15="Yes",'Input Sheet'!$F$7,0)</f>
        <v>0</v>
      </c>
      <c r="AK488" s="856">
        <f t="shared" si="79"/>
        <v>0</v>
      </c>
      <c r="AL488" s="856">
        <f t="shared" si="80"/>
        <v>0</v>
      </c>
      <c r="AM488" s="856">
        <f t="shared" si="86"/>
        <v>0</v>
      </c>
      <c r="AN488" s="856">
        <f t="shared" si="81"/>
        <v>0</v>
      </c>
      <c r="AO488" s="852">
        <f t="shared" si="87"/>
        <v>0</v>
      </c>
      <c r="AP488" s="853">
        <f t="shared" si="88"/>
        <v>0</v>
      </c>
      <c r="AQ488" s="854">
        <f>IFERROR(P488*'Input Sheet'!$F$8/(((AI488)*AK488*2)-AN488),0)</f>
        <v>0</v>
      </c>
      <c r="AR488" s="854">
        <f>IFERROR(($P488-$AF488)*'Input Sheet'!$F$8/(((AI488)*AK488*2)-AN488),0)</f>
        <v>0</v>
      </c>
    </row>
    <row r="489" spans="2:44" s="798" customFormat="1" ht="30" customHeight="1" thickBot="1" x14ac:dyDescent="0.3">
      <c r="B489" s="835"/>
      <c r="C489" s="836"/>
      <c r="D489" s="836"/>
      <c r="E489" s="837"/>
      <c r="F489" s="837"/>
      <c r="G489" s="838"/>
      <c r="H489" s="838"/>
      <c r="I489" s="839"/>
      <c r="J489" s="839"/>
      <c r="K489" s="840"/>
      <c r="L489" s="841"/>
      <c r="M489" s="841"/>
      <c r="N489" s="842"/>
      <c r="O489" s="842"/>
      <c r="P489" s="843"/>
      <c r="Q489" s="843"/>
      <c r="R489" s="843"/>
      <c r="S489" s="844">
        <f t="shared" si="82"/>
        <v>0</v>
      </c>
      <c r="T489" s="838"/>
      <c r="U489" s="842"/>
      <c r="V489" s="843"/>
      <c r="W489" s="843"/>
      <c r="X489" s="843"/>
      <c r="Y489" s="843"/>
      <c r="Z489" s="843"/>
      <c r="AA489" s="837"/>
      <c r="AB489" s="837"/>
      <c r="AC489" s="845">
        <f t="shared" si="83"/>
        <v>0</v>
      </c>
      <c r="AD489" s="846">
        <f t="shared" si="84"/>
        <v>0</v>
      </c>
      <c r="AE489" s="847">
        <f t="shared" si="85"/>
        <v>0</v>
      </c>
      <c r="AF489" s="855">
        <f t="shared" si="78"/>
        <v>0</v>
      </c>
      <c r="AG489" s="848">
        <f>IF('Input Sheet'!$C$15="Yes",'Input Sheet'!$F$8,0)</f>
        <v>0</v>
      </c>
      <c r="AH489" s="846">
        <f>IF('Input Sheet'!$C$15="Yes",Rates!$E$45,0)</f>
        <v>0</v>
      </c>
      <c r="AI489" s="849">
        <f>IF('Input Sheet'!$C$15="Yes",'Input Sheet'!$F$11,0)</f>
        <v>0</v>
      </c>
      <c r="AJ489" s="850">
        <f>IF('Input Sheet'!$C$15="Yes",'Input Sheet'!$F$7,0)</f>
        <v>0</v>
      </c>
      <c r="AK489" s="856">
        <f t="shared" si="79"/>
        <v>0</v>
      </c>
      <c r="AL489" s="856">
        <f t="shared" si="80"/>
        <v>0</v>
      </c>
      <c r="AM489" s="856">
        <f t="shared" si="86"/>
        <v>0</v>
      </c>
      <c r="AN489" s="856">
        <f t="shared" si="81"/>
        <v>0</v>
      </c>
      <c r="AO489" s="852">
        <f t="shared" si="87"/>
        <v>0</v>
      </c>
      <c r="AP489" s="853">
        <f t="shared" si="88"/>
        <v>0</v>
      </c>
      <c r="AQ489" s="854">
        <f>IFERROR(P489*'Input Sheet'!$F$8/(((AI489)*AK489*2)-AN489),0)</f>
        <v>0</v>
      </c>
      <c r="AR489" s="854">
        <f>IFERROR(($P489-$AF489)*'Input Sheet'!$F$8/(((AI489)*AK489*2)-AN489),0)</f>
        <v>0</v>
      </c>
    </row>
    <row r="490" spans="2:44" s="798" customFormat="1" ht="30" customHeight="1" thickBot="1" x14ac:dyDescent="0.3">
      <c r="B490" s="835"/>
      <c r="C490" s="836"/>
      <c r="D490" s="836"/>
      <c r="E490" s="837"/>
      <c r="F490" s="837"/>
      <c r="G490" s="838"/>
      <c r="H490" s="838"/>
      <c r="I490" s="839"/>
      <c r="J490" s="839"/>
      <c r="K490" s="840"/>
      <c r="L490" s="841"/>
      <c r="M490" s="841"/>
      <c r="N490" s="842"/>
      <c r="O490" s="842"/>
      <c r="P490" s="843"/>
      <c r="Q490" s="843"/>
      <c r="R490" s="843"/>
      <c r="S490" s="844">
        <f t="shared" si="82"/>
        <v>0</v>
      </c>
      <c r="T490" s="838"/>
      <c r="U490" s="842"/>
      <c r="V490" s="843"/>
      <c r="W490" s="843"/>
      <c r="X490" s="843"/>
      <c r="Y490" s="843"/>
      <c r="Z490" s="843"/>
      <c r="AA490" s="837"/>
      <c r="AB490" s="837"/>
      <c r="AC490" s="845">
        <f t="shared" si="83"/>
        <v>0</v>
      </c>
      <c r="AD490" s="846">
        <f t="shared" si="84"/>
        <v>0</v>
      </c>
      <c r="AE490" s="847">
        <f t="shared" si="85"/>
        <v>0</v>
      </c>
      <c r="AF490" s="855">
        <f t="shared" si="78"/>
        <v>0</v>
      </c>
      <c r="AG490" s="848">
        <f>IF('Input Sheet'!$C$15="Yes",'Input Sheet'!$F$8,0)</f>
        <v>0</v>
      </c>
      <c r="AH490" s="846">
        <f>IF('Input Sheet'!$C$15="Yes",Rates!$E$45,0)</f>
        <v>0</v>
      </c>
      <c r="AI490" s="849">
        <f>IF('Input Sheet'!$C$15="Yes",'Input Sheet'!$F$11,0)</f>
        <v>0</v>
      </c>
      <c r="AJ490" s="850">
        <f>IF('Input Sheet'!$C$15="Yes",'Input Sheet'!$F$7,0)</f>
        <v>0</v>
      </c>
      <c r="AK490" s="856">
        <f t="shared" si="79"/>
        <v>0</v>
      </c>
      <c r="AL490" s="856">
        <f t="shared" si="80"/>
        <v>0</v>
      </c>
      <c r="AM490" s="856">
        <f t="shared" si="86"/>
        <v>0</v>
      </c>
      <c r="AN490" s="856">
        <f t="shared" si="81"/>
        <v>0</v>
      </c>
      <c r="AO490" s="852">
        <f t="shared" si="87"/>
        <v>0</v>
      </c>
      <c r="AP490" s="853">
        <f t="shared" si="88"/>
        <v>0</v>
      </c>
      <c r="AQ490" s="854">
        <f>IFERROR(P490*'Input Sheet'!$F$8/(((AI490)*AK490*2)-AN490),0)</f>
        <v>0</v>
      </c>
      <c r="AR490" s="854">
        <f>IFERROR(($P490-$AF490)*'Input Sheet'!$F$8/(((AI490)*AK490*2)-AN490),0)</f>
        <v>0</v>
      </c>
    </row>
    <row r="491" spans="2:44" s="798" customFormat="1" ht="30" customHeight="1" thickBot="1" x14ac:dyDescent="0.3">
      <c r="B491" s="835"/>
      <c r="C491" s="836"/>
      <c r="D491" s="836"/>
      <c r="E491" s="837"/>
      <c r="F491" s="837"/>
      <c r="G491" s="838"/>
      <c r="H491" s="838"/>
      <c r="I491" s="839"/>
      <c r="J491" s="839"/>
      <c r="K491" s="840"/>
      <c r="L491" s="841"/>
      <c r="M491" s="841"/>
      <c r="N491" s="842"/>
      <c r="O491" s="842"/>
      <c r="P491" s="843"/>
      <c r="Q491" s="843"/>
      <c r="R491" s="843"/>
      <c r="S491" s="844">
        <f t="shared" si="82"/>
        <v>0</v>
      </c>
      <c r="T491" s="838"/>
      <c r="U491" s="842"/>
      <c r="V491" s="843"/>
      <c r="W491" s="843"/>
      <c r="X491" s="843"/>
      <c r="Y491" s="843"/>
      <c r="Z491" s="843"/>
      <c r="AA491" s="837"/>
      <c r="AB491" s="837"/>
      <c r="AC491" s="845">
        <f t="shared" si="83"/>
        <v>0</v>
      </c>
      <c r="AD491" s="846">
        <f t="shared" si="84"/>
        <v>0</v>
      </c>
      <c r="AE491" s="847">
        <f t="shared" si="85"/>
        <v>0</v>
      </c>
      <c r="AF491" s="855">
        <f t="shared" si="78"/>
        <v>0</v>
      </c>
      <c r="AG491" s="848">
        <f>IF('Input Sheet'!$C$15="Yes",'Input Sheet'!$F$8,0)</f>
        <v>0</v>
      </c>
      <c r="AH491" s="846">
        <f>IF('Input Sheet'!$C$15="Yes",Rates!$E$45,0)</f>
        <v>0</v>
      </c>
      <c r="AI491" s="849">
        <f>IF('Input Sheet'!$C$15="Yes",'Input Sheet'!$F$11,0)</f>
        <v>0</v>
      </c>
      <c r="AJ491" s="850">
        <f>IF('Input Sheet'!$C$15="Yes",'Input Sheet'!$F$7,0)</f>
        <v>0</v>
      </c>
      <c r="AK491" s="856">
        <f t="shared" si="79"/>
        <v>0</v>
      </c>
      <c r="AL491" s="856">
        <f t="shared" si="80"/>
        <v>0</v>
      </c>
      <c r="AM491" s="856">
        <f t="shared" si="86"/>
        <v>0</v>
      </c>
      <c r="AN491" s="856">
        <f t="shared" si="81"/>
        <v>0</v>
      </c>
      <c r="AO491" s="852">
        <f t="shared" si="87"/>
        <v>0</v>
      </c>
      <c r="AP491" s="853">
        <f t="shared" si="88"/>
        <v>0</v>
      </c>
      <c r="AQ491" s="854">
        <f>IFERROR(P491*'Input Sheet'!$F$8/(((AI491)*AK491*2)-AN491),0)</f>
        <v>0</v>
      </c>
      <c r="AR491" s="854">
        <f>IFERROR(($P491-$AF491)*'Input Sheet'!$F$8/(((AI491)*AK491*2)-AN491),0)</f>
        <v>0</v>
      </c>
    </row>
    <row r="492" spans="2:44" s="798" customFormat="1" ht="30" customHeight="1" thickBot="1" x14ac:dyDescent="0.3">
      <c r="B492" s="835"/>
      <c r="C492" s="836"/>
      <c r="D492" s="836"/>
      <c r="E492" s="837"/>
      <c r="F492" s="837"/>
      <c r="G492" s="838"/>
      <c r="H492" s="838"/>
      <c r="I492" s="839"/>
      <c r="J492" s="839"/>
      <c r="K492" s="840"/>
      <c r="L492" s="841"/>
      <c r="M492" s="841"/>
      <c r="N492" s="842"/>
      <c r="O492" s="842"/>
      <c r="P492" s="843"/>
      <c r="Q492" s="843"/>
      <c r="R492" s="843"/>
      <c r="S492" s="844">
        <f t="shared" si="82"/>
        <v>0</v>
      </c>
      <c r="T492" s="838"/>
      <c r="U492" s="842"/>
      <c r="V492" s="843"/>
      <c r="W492" s="843"/>
      <c r="X492" s="843"/>
      <c r="Y492" s="843"/>
      <c r="Z492" s="843"/>
      <c r="AA492" s="837"/>
      <c r="AB492" s="837"/>
      <c r="AC492" s="845">
        <f t="shared" si="83"/>
        <v>0</v>
      </c>
      <c r="AD492" s="846">
        <f t="shared" si="84"/>
        <v>0</v>
      </c>
      <c r="AE492" s="847">
        <f t="shared" si="85"/>
        <v>0</v>
      </c>
      <c r="AF492" s="855">
        <f t="shared" si="78"/>
        <v>0</v>
      </c>
      <c r="AG492" s="848">
        <f>IF('Input Sheet'!$C$15="Yes",'Input Sheet'!$F$8,0)</f>
        <v>0</v>
      </c>
      <c r="AH492" s="846">
        <f>IF('Input Sheet'!$C$15="Yes",Rates!$E$45,0)</f>
        <v>0</v>
      </c>
      <c r="AI492" s="849">
        <f>IF('Input Sheet'!$C$15="Yes",'Input Sheet'!$F$11,0)</f>
        <v>0</v>
      </c>
      <c r="AJ492" s="850">
        <f>IF('Input Sheet'!$C$15="Yes",'Input Sheet'!$F$7,0)</f>
        <v>0</v>
      </c>
      <c r="AK492" s="856">
        <f t="shared" si="79"/>
        <v>0</v>
      </c>
      <c r="AL492" s="856">
        <f t="shared" si="80"/>
        <v>0</v>
      </c>
      <c r="AM492" s="856">
        <f t="shared" si="86"/>
        <v>0</v>
      </c>
      <c r="AN492" s="856">
        <f t="shared" si="81"/>
        <v>0</v>
      </c>
      <c r="AO492" s="852">
        <f t="shared" si="87"/>
        <v>0</v>
      </c>
      <c r="AP492" s="853">
        <f t="shared" si="88"/>
        <v>0</v>
      </c>
      <c r="AQ492" s="854">
        <f>IFERROR(P492*'Input Sheet'!$F$8/(((AI492)*AK492*2)-AN492),0)</f>
        <v>0</v>
      </c>
      <c r="AR492" s="854">
        <f>IFERROR(($P492-$AF492)*'Input Sheet'!$F$8/(((AI492)*AK492*2)-AN492),0)</f>
        <v>0</v>
      </c>
    </row>
    <row r="493" spans="2:44" s="798" customFormat="1" ht="30" customHeight="1" thickBot="1" x14ac:dyDescent="0.3">
      <c r="B493" s="835"/>
      <c r="C493" s="836"/>
      <c r="D493" s="836"/>
      <c r="E493" s="837"/>
      <c r="F493" s="837"/>
      <c r="G493" s="838"/>
      <c r="H493" s="838"/>
      <c r="I493" s="839"/>
      <c r="J493" s="839"/>
      <c r="K493" s="840"/>
      <c r="L493" s="841"/>
      <c r="M493" s="841"/>
      <c r="N493" s="842"/>
      <c r="O493" s="842"/>
      <c r="P493" s="843"/>
      <c r="Q493" s="843"/>
      <c r="R493" s="843"/>
      <c r="S493" s="844">
        <f t="shared" si="82"/>
        <v>0</v>
      </c>
      <c r="T493" s="838"/>
      <c r="U493" s="842"/>
      <c r="V493" s="843"/>
      <c r="W493" s="843"/>
      <c r="X493" s="843"/>
      <c r="Y493" s="843"/>
      <c r="Z493" s="843"/>
      <c r="AA493" s="837"/>
      <c r="AB493" s="837"/>
      <c r="AC493" s="845">
        <f t="shared" si="83"/>
        <v>0</v>
      </c>
      <c r="AD493" s="846">
        <f t="shared" si="84"/>
        <v>0</v>
      </c>
      <c r="AE493" s="847">
        <f t="shared" si="85"/>
        <v>0</v>
      </c>
      <c r="AF493" s="855">
        <f t="shared" si="78"/>
        <v>0</v>
      </c>
      <c r="AG493" s="848">
        <f>IF('Input Sheet'!$C$15="Yes",'Input Sheet'!$F$8,0)</f>
        <v>0</v>
      </c>
      <c r="AH493" s="846">
        <f>IF('Input Sheet'!$C$15="Yes",Rates!$E$45,0)</f>
        <v>0</v>
      </c>
      <c r="AI493" s="849">
        <f>IF('Input Sheet'!$C$15="Yes",'Input Sheet'!$F$11,0)</f>
        <v>0</v>
      </c>
      <c r="AJ493" s="850">
        <f>IF('Input Sheet'!$C$15="Yes",'Input Sheet'!$F$7,0)</f>
        <v>0</v>
      </c>
      <c r="AK493" s="856">
        <f t="shared" si="79"/>
        <v>0</v>
      </c>
      <c r="AL493" s="856">
        <f t="shared" si="80"/>
        <v>0</v>
      </c>
      <c r="AM493" s="856">
        <f t="shared" si="86"/>
        <v>0</v>
      </c>
      <c r="AN493" s="856">
        <f t="shared" si="81"/>
        <v>0</v>
      </c>
      <c r="AO493" s="852">
        <f t="shared" si="87"/>
        <v>0</v>
      </c>
      <c r="AP493" s="853">
        <f t="shared" si="88"/>
        <v>0</v>
      </c>
      <c r="AQ493" s="854">
        <f>IFERROR(P493*'Input Sheet'!$F$8/(((AI493)*AK493*2)-AN493),0)</f>
        <v>0</v>
      </c>
      <c r="AR493" s="854">
        <f>IFERROR(($P493-$AF493)*'Input Sheet'!$F$8/(((AI493)*AK493*2)-AN493),0)</f>
        <v>0</v>
      </c>
    </row>
    <row r="494" spans="2:44" s="798" customFormat="1" ht="30" customHeight="1" thickBot="1" x14ac:dyDescent="0.3">
      <c r="B494" s="835"/>
      <c r="C494" s="836"/>
      <c r="D494" s="836"/>
      <c r="E494" s="837"/>
      <c r="F494" s="837"/>
      <c r="G494" s="838"/>
      <c r="H494" s="838"/>
      <c r="I494" s="839"/>
      <c r="J494" s="839"/>
      <c r="K494" s="840"/>
      <c r="L494" s="841"/>
      <c r="M494" s="841"/>
      <c r="N494" s="842"/>
      <c r="O494" s="842"/>
      <c r="P494" s="843"/>
      <c r="Q494" s="843"/>
      <c r="R494" s="843"/>
      <c r="S494" s="844">
        <f t="shared" si="82"/>
        <v>0</v>
      </c>
      <c r="T494" s="838"/>
      <c r="U494" s="842"/>
      <c r="V494" s="843"/>
      <c r="W494" s="843"/>
      <c r="X494" s="843"/>
      <c r="Y494" s="843"/>
      <c r="Z494" s="843"/>
      <c r="AA494" s="837"/>
      <c r="AB494" s="837"/>
      <c r="AC494" s="845">
        <f t="shared" si="83"/>
        <v>0</v>
      </c>
      <c r="AD494" s="846">
        <f t="shared" si="84"/>
        <v>0</v>
      </c>
      <c r="AE494" s="847">
        <f t="shared" si="85"/>
        <v>0</v>
      </c>
      <c r="AF494" s="855">
        <f t="shared" si="78"/>
        <v>0</v>
      </c>
      <c r="AG494" s="848">
        <f>IF('Input Sheet'!$C$15="Yes",'Input Sheet'!$F$8,0)</f>
        <v>0</v>
      </c>
      <c r="AH494" s="846">
        <f>IF('Input Sheet'!$C$15="Yes",Rates!$E$45,0)</f>
        <v>0</v>
      </c>
      <c r="AI494" s="849">
        <f>IF('Input Sheet'!$C$15="Yes",'Input Sheet'!$F$11,0)</f>
        <v>0</v>
      </c>
      <c r="AJ494" s="850">
        <f>IF('Input Sheet'!$C$15="Yes",'Input Sheet'!$F$7,0)</f>
        <v>0</v>
      </c>
      <c r="AK494" s="856">
        <f t="shared" si="79"/>
        <v>0</v>
      </c>
      <c r="AL494" s="856">
        <f t="shared" si="80"/>
        <v>0</v>
      </c>
      <c r="AM494" s="856">
        <f t="shared" si="86"/>
        <v>0</v>
      </c>
      <c r="AN494" s="856">
        <f t="shared" si="81"/>
        <v>0</v>
      </c>
      <c r="AO494" s="852">
        <f t="shared" si="87"/>
        <v>0</v>
      </c>
      <c r="AP494" s="853">
        <f t="shared" si="88"/>
        <v>0</v>
      </c>
      <c r="AQ494" s="854">
        <f>IFERROR(P494*'Input Sheet'!$F$8/(((AI494)*AK494*2)-AN494),0)</f>
        <v>0</v>
      </c>
      <c r="AR494" s="854">
        <f>IFERROR(($P494-$AF494)*'Input Sheet'!$F$8/(((AI494)*AK494*2)-AN494),0)</f>
        <v>0</v>
      </c>
    </row>
    <row r="495" spans="2:44" s="798" customFormat="1" ht="30" customHeight="1" thickBot="1" x14ac:dyDescent="0.3">
      <c r="B495" s="835"/>
      <c r="C495" s="836"/>
      <c r="D495" s="836"/>
      <c r="E495" s="837"/>
      <c r="F495" s="837"/>
      <c r="G495" s="838"/>
      <c r="H495" s="838"/>
      <c r="I495" s="839"/>
      <c r="J495" s="839"/>
      <c r="K495" s="840"/>
      <c r="L495" s="841"/>
      <c r="M495" s="841"/>
      <c r="N495" s="842"/>
      <c r="O495" s="842"/>
      <c r="P495" s="843"/>
      <c r="Q495" s="843"/>
      <c r="R495" s="843"/>
      <c r="S495" s="844">
        <f t="shared" si="82"/>
        <v>0</v>
      </c>
      <c r="T495" s="838"/>
      <c r="U495" s="842"/>
      <c r="V495" s="843"/>
      <c r="W495" s="843"/>
      <c r="X495" s="843"/>
      <c r="Y495" s="843"/>
      <c r="Z495" s="843"/>
      <c r="AA495" s="837"/>
      <c r="AB495" s="837"/>
      <c r="AC495" s="845">
        <f t="shared" si="83"/>
        <v>0</v>
      </c>
      <c r="AD495" s="846">
        <f t="shared" si="84"/>
        <v>0</v>
      </c>
      <c r="AE495" s="847">
        <f t="shared" si="85"/>
        <v>0</v>
      </c>
      <c r="AF495" s="855">
        <f t="shared" si="78"/>
        <v>0</v>
      </c>
      <c r="AG495" s="848">
        <f>IF('Input Sheet'!$C$15="Yes",'Input Sheet'!$F$8,0)</f>
        <v>0</v>
      </c>
      <c r="AH495" s="846">
        <f>IF('Input Sheet'!$C$15="Yes",Rates!$E$45,0)</f>
        <v>0</v>
      </c>
      <c r="AI495" s="849">
        <f>IF('Input Sheet'!$C$15="Yes",'Input Sheet'!$F$11,0)</f>
        <v>0</v>
      </c>
      <c r="AJ495" s="850">
        <f>IF('Input Sheet'!$C$15="Yes",'Input Sheet'!$F$7,0)</f>
        <v>0</v>
      </c>
      <c r="AK495" s="856">
        <f t="shared" si="79"/>
        <v>0</v>
      </c>
      <c r="AL495" s="856">
        <f t="shared" si="80"/>
        <v>0</v>
      </c>
      <c r="AM495" s="856">
        <f t="shared" si="86"/>
        <v>0</v>
      </c>
      <c r="AN495" s="856">
        <f t="shared" si="81"/>
        <v>0</v>
      </c>
      <c r="AO495" s="852">
        <f t="shared" si="87"/>
        <v>0</v>
      </c>
      <c r="AP495" s="853">
        <f t="shared" si="88"/>
        <v>0</v>
      </c>
      <c r="AQ495" s="854">
        <f>IFERROR(P495*'Input Sheet'!$F$8/(((AI495)*AK495*2)-AN495),0)</f>
        <v>0</v>
      </c>
      <c r="AR495" s="854">
        <f>IFERROR(($P495-$AF495)*'Input Sheet'!$F$8/(((AI495)*AK495*2)-AN495),0)</f>
        <v>0</v>
      </c>
    </row>
    <row r="496" spans="2:44" s="798" customFormat="1" ht="30" customHeight="1" thickBot="1" x14ac:dyDescent="0.3">
      <c r="B496" s="835"/>
      <c r="C496" s="836"/>
      <c r="D496" s="836"/>
      <c r="E496" s="837"/>
      <c r="F496" s="837"/>
      <c r="G496" s="838"/>
      <c r="H496" s="838"/>
      <c r="I496" s="839"/>
      <c r="J496" s="839"/>
      <c r="K496" s="840"/>
      <c r="L496" s="841"/>
      <c r="M496" s="841"/>
      <c r="N496" s="842"/>
      <c r="O496" s="842"/>
      <c r="P496" s="843"/>
      <c r="Q496" s="843"/>
      <c r="R496" s="843"/>
      <c r="S496" s="844">
        <f t="shared" si="82"/>
        <v>0</v>
      </c>
      <c r="T496" s="838"/>
      <c r="U496" s="842"/>
      <c r="V496" s="843"/>
      <c r="W496" s="843"/>
      <c r="X496" s="843"/>
      <c r="Y496" s="843"/>
      <c r="Z496" s="843"/>
      <c r="AA496" s="837"/>
      <c r="AB496" s="837"/>
      <c r="AC496" s="845">
        <f t="shared" si="83"/>
        <v>0</v>
      </c>
      <c r="AD496" s="846">
        <f t="shared" si="84"/>
        <v>0</v>
      </c>
      <c r="AE496" s="847">
        <f t="shared" si="85"/>
        <v>0</v>
      </c>
      <c r="AF496" s="855">
        <f t="shared" si="78"/>
        <v>0</v>
      </c>
      <c r="AG496" s="848">
        <f>IF('Input Sheet'!$C$15="Yes",'Input Sheet'!$F$8,0)</f>
        <v>0</v>
      </c>
      <c r="AH496" s="846">
        <f>IF('Input Sheet'!$C$15="Yes",Rates!$E$45,0)</f>
        <v>0</v>
      </c>
      <c r="AI496" s="849">
        <f>IF('Input Sheet'!$C$15="Yes",'Input Sheet'!$F$11,0)</f>
        <v>0</v>
      </c>
      <c r="AJ496" s="850">
        <f>IF('Input Sheet'!$C$15="Yes",'Input Sheet'!$F$7,0)</f>
        <v>0</v>
      </c>
      <c r="AK496" s="856">
        <f t="shared" si="79"/>
        <v>0</v>
      </c>
      <c r="AL496" s="856">
        <f t="shared" si="80"/>
        <v>0</v>
      </c>
      <c r="AM496" s="856">
        <f t="shared" si="86"/>
        <v>0</v>
      </c>
      <c r="AN496" s="856">
        <f t="shared" si="81"/>
        <v>0</v>
      </c>
      <c r="AO496" s="852">
        <f t="shared" si="87"/>
        <v>0</v>
      </c>
      <c r="AP496" s="853">
        <f t="shared" si="88"/>
        <v>0</v>
      </c>
      <c r="AQ496" s="854">
        <f>IFERROR(P496*'Input Sheet'!$F$8/(((AI496)*AK496*2)-AN496),0)</f>
        <v>0</v>
      </c>
      <c r="AR496" s="854">
        <f>IFERROR(($P496-$AF496)*'Input Sheet'!$F$8/(((AI496)*AK496*2)-AN496),0)</f>
        <v>0</v>
      </c>
    </row>
    <row r="497" spans="2:44" s="798" customFormat="1" ht="30" customHeight="1" thickBot="1" x14ac:dyDescent="0.3">
      <c r="B497" s="835"/>
      <c r="C497" s="836"/>
      <c r="D497" s="836"/>
      <c r="E497" s="837"/>
      <c r="F497" s="837"/>
      <c r="G497" s="838"/>
      <c r="H497" s="838"/>
      <c r="I497" s="839"/>
      <c r="J497" s="839"/>
      <c r="K497" s="840"/>
      <c r="L497" s="841"/>
      <c r="M497" s="841"/>
      <c r="N497" s="842"/>
      <c r="O497" s="842"/>
      <c r="P497" s="843"/>
      <c r="Q497" s="843"/>
      <c r="R497" s="843"/>
      <c r="S497" s="844">
        <f t="shared" si="82"/>
        <v>0</v>
      </c>
      <c r="T497" s="838"/>
      <c r="U497" s="842"/>
      <c r="V497" s="843"/>
      <c r="W497" s="843"/>
      <c r="X497" s="843"/>
      <c r="Y497" s="843"/>
      <c r="Z497" s="843"/>
      <c r="AA497" s="837"/>
      <c r="AB497" s="837"/>
      <c r="AC497" s="845">
        <f t="shared" si="83"/>
        <v>0</v>
      </c>
      <c r="AD497" s="846">
        <f t="shared" si="84"/>
        <v>0</v>
      </c>
      <c r="AE497" s="847">
        <f t="shared" si="85"/>
        <v>0</v>
      </c>
      <c r="AF497" s="855">
        <f t="shared" si="78"/>
        <v>0</v>
      </c>
      <c r="AG497" s="848">
        <f>IF('Input Sheet'!$C$15="Yes",'Input Sheet'!$F$8,0)</f>
        <v>0</v>
      </c>
      <c r="AH497" s="846">
        <f>IF('Input Sheet'!$C$15="Yes",Rates!$E$45,0)</f>
        <v>0</v>
      </c>
      <c r="AI497" s="849">
        <f>IF('Input Sheet'!$C$15="Yes",'Input Sheet'!$F$11,0)</f>
        <v>0</v>
      </c>
      <c r="AJ497" s="850">
        <f>IF('Input Sheet'!$C$15="Yes",'Input Sheet'!$F$7,0)</f>
        <v>0</v>
      </c>
      <c r="AK497" s="856">
        <f t="shared" si="79"/>
        <v>0</v>
      </c>
      <c r="AL497" s="856">
        <f t="shared" si="80"/>
        <v>0</v>
      </c>
      <c r="AM497" s="856">
        <f t="shared" si="86"/>
        <v>0</v>
      </c>
      <c r="AN497" s="856">
        <f t="shared" si="81"/>
        <v>0</v>
      </c>
      <c r="AO497" s="852">
        <f t="shared" si="87"/>
        <v>0</v>
      </c>
      <c r="AP497" s="853">
        <f t="shared" si="88"/>
        <v>0</v>
      </c>
      <c r="AQ497" s="854">
        <f>IFERROR(P497*'Input Sheet'!$F$8/(((AI497)*AK497*2)-AN497),0)</f>
        <v>0</v>
      </c>
      <c r="AR497" s="854">
        <f>IFERROR(($P497-$AF497)*'Input Sheet'!$F$8/(((AI497)*AK497*2)-AN497),0)</f>
        <v>0</v>
      </c>
    </row>
    <row r="498" spans="2:44" s="798" customFormat="1" ht="30" customHeight="1" thickBot="1" x14ac:dyDescent="0.3">
      <c r="B498" s="835"/>
      <c r="C498" s="836"/>
      <c r="D498" s="836"/>
      <c r="E498" s="837"/>
      <c r="F498" s="837"/>
      <c r="G498" s="838"/>
      <c r="H498" s="838"/>
      <c r="I498" s="839"/>
      <c r="J498" s="839"/>
      <c r="K498" s="840"/>
      <c r="L498" s="841"/>
      <c r="M498" s="841"/>
      <c r="N498" s="842"/>
      <c r="O498" s="842"/>
      <c r="P498" s="843"/>
      <c r="Q498" s="843"/>
      <c r="R498" s="843"/>
      <c r="S498" s="844">
        <f t="shared" si="82"/>
        <v>0</v>
      </c>
      <c r="T498" s="838"/>
      <c r="U498" s="842"/>
      <c r="V498" s="843"/>
      <c r="W498" s="843"/>
      <c r="X498" s="843"/>
      <c r="Y498" s="843"/>
      <c r="Z498" s="843"/>
      <c r="AA498" s="837"/>
      <c r="AB498" s="837"/>
      <c r="AC498" s="845">
        <f t="shared" si="83"/>
        <v>0</v>
      </c>
      <c r="AD498" s="846">
        <f t="shared" si="84"/>
        <v>0</v>
      </c>
      <c r="AE498" s="847">
        <f t="shared" si="85"/>
        <v>0</v>
      </c>
      <c r="AF498" s="855">
        <f t="shared" si="78"/>
        <v>0</v>
      </c>
      <c r="AG498" s="848">
        <f>IF('Input Sheet'!$C$15="Yes",'Input Sheet'!$F$8,0)</f>
        <v>0</v>
      </c>
      <c r="AH498" s="846">
        <f>IF('Input Sheet'!$C$15="Yes",Rates!$E$45,0)</f>
        <v>0</v>
      </c>
      <c r="AI498" s="849">
        <f>IF('Input Sheet'!$C$15="Yes",'Input Sheet'!$F$11,0)</f>
        <v>0</v>
      </c>
      <c r="AJ498" s="850">
        <f>IF('Input Sheet'!$C$15="Yes",'Input Sheet'!$F$7,0)</f>
        <v>0</v>
      </c>
      <c r="AK498" s="856">
        <f t="shared" si="79"/>
        <v>0</v>
      </c>
      <c r="AL498" s="856">
        <f t="shared" si="80"/>
        <v>0</v>
      </c>
      <c r="AM498" s="856">
        <f t="shared" si="86"/>
        <v>0</v>
      </c>
      <c r="AN498" s="856">
        <f t="shared" si="81"/>
        <v>0</v>
      </c>
      <c r="AO498" s="852">
        <f t="shared" si="87"/>
        <v>0</v>
      </c>
      <c r="AP498" s="853">
        <f t="shared" si="88"/>
        <v>0</v>
      </c>
      <c r="AQ498" s="854">
        <f>IFERROR(P498*'Input Sheet'!$F$8/(((AI498)*AK498*2)-AN498),0)</f>
        <v>0</v>
      </c>
      <c r="AR498" s="854">
        <f>IFERROR(($P498-$AF498)*'Input Sheet'!$F$8/(((AI498)*AK498*2)-AN498),0)</f>
        <v>0</v>
      </c>
    </row>
    <row r="499" spans="2:44" s="798" customFormat="1" ht="30" customHeight="1" thickBot="1" x14ac:dyDescent="0.3">
      <c r="B499" s="835"/>
      <c r="C499" s="836"/>
      <c r="D499" s="836"/>
      <c r="E499" s="837"/>
      <c r="F499" s="837"/>
      <c r="G499" s="838"/>
      <c r="H499" s="838"/>
      <c r="I499" s="839"/>
      <c r="J499" s="839"/>
      <c r="K499" s="840"/>
      <c r="L499" s="841"/>
      <c r="M499" s="841"/>
      <c r="N499" s="842"/>
      <c r="O499" s="842"/>
      <c r="P499" s="843"/>
      <c r="Q499" s="843"/>
      <c r="R499" s="843"/>
      <c r="S499" s="844">
        <f t="shared" si="82"/>
        <v>0</v>
      </c>
      <c r="T499" s="838"/>
      <c r="U499" s="842"/>
      <c r="V499" s="843"/>
      <c r="W499" s="843"/>
      <c r="X499" s="843"/>
      <c r="Y499" s="843"/>
      <c r="Z499" s="843"/>
      <c r="AA499" s="837"/>
      <c r="AB499" s="837"/>
      <c r="AC499" s="845">
        <f t="shared" si="83"/>
        <v>0</v>
      </c>
      <c r="AD499" s="846">
        <f t="shared" si="84"/>
        <v>0</v>
      </c>
      <c r="AE499" s="847">
        <f t="shared" si="85"/>
        <v>0</v>
      </c>
      <c r="AF499" s="855">
        <f t="shared" si="78"/>
        <v>0</v>
      </c>
      <c r="AG499" s="848">
        <f>IF('Input Sheet'!$C$15="Yes",'Input Sheet'!$F$8,0)</f>
        <v>0</v>
      </c>
      <c r="AH499" s="846">
        <f>IF('Input Sheet'!$C$15="Yes",Rates!$E$45,0)</f>
        <v>0</v>
      </c>
      <c r="AI499" s="849">
        <f>IF('Input Sheet'!$C$15="Yes",'Input Sheet'!$F$11,0)</f>
        <v>0</v>
      </c>
      <c r="AJ499" s="850">
        <f>IF('Input Sheet'!$C$15="Yes",'Input Sheet'!$F$7,0)</f>
        <v>0</v>
      </c>
      <c r="AK499" s="856">
        <f t="shared" si="79"/>
        <v>0</v>
      </c>
      <c r="AL499" s="856">
        <f t="shared" si="80"/>
        <v>0</v>
      </c>
      <c r="AM499" s="856">
        <f t="shared" si="86"/>
        <v>0</v>
      </c>
      <c r="AN499" s="856">
        <f t="shared" si="81"/>
        <v>0</v>
      </c>
      <c r="AO499" s="852">
        <f t="shared" si="87"/>
        <v>0</v>
      </c>
      <c r="AP499" s="853">
        <f t="shared" si="88"/>
        <v>0</v>
      </c>
      <c r="AQ499" s="854">
        <f>IFERROR(P499*'Input Sheet'!$F$8/(((AI499)*AK499*2)-AN499),0)</f>
        <v>0</v>
      </c>
      <c r="AR499" s="854">
        <f>IFERROR(($P499-$AF499)*'Input Sheet'!$F$8/(((AI499)*AK499*2)-AN499),0)</f>
        <v>0</v>
      </c>
    </row>
    <row r="500" spans="2:44" s="798" customFormat="1" ht="30" customHeight="1" thickBot="1" x14ac:dyDescent="0.3">
      <c r="B500" s="835"/>
      <c r="C500" s="836"/>
      <c r="D500" s="836"/>
      <c r="E500" s="837"/>
      <c r="F500" s="837"/>
      <c r="G500" s="838"/>
      <c r="H500" s="838"/>
      <c r="I500" s="839"/>
      <c r="J500" s="839"/>
      <c r="K500" s="840"/>
      <c r="L500" s="841"/>
      <c r="M500" s="841"/>
      <c r="N500" s="842"/>
      <c r="O500" s="842"/>
      <c r="P500" s="843"/>
      <c r="Q500" s="843"/>
      <c r="R500" s="843"/>
      <c r="S500" s="844">
        <f t="shared" si="82"/>
        <v>0</v>
      </c>
      <c r="T500" s="838"/>
      <c r="U500" s="842"/>
      <c r="V500" s="843"/>
      <c r="W500" s="843"/>
      <c r="X500" s="843"/>
      <c r="Y500" s="843"/>
      <c r="Z500" s="843"/>
      <c r="AA500" s="837"/>
      <c r="AB500" s="837"/>
      <c r="AC500" s="845">
        <f t="shared" si="83"/>
        <v>0</v>
      </c>
      <c r="AD500" s="846">
        <f t="shared" si="84"/>
        <v>0</v>
      </c>
      <c r="AE500" s="847">
        <f t="shared" si="85"/>
        <v>0</v>
      </c>
      <c r="AF500" s="855">
        <f t="shared" si="78"/>
        <v>0</v>
      </c>
      <c r="AG500" s="848">
        <f>IF('Input Sheet'!$C$15="Yes",'Input Sheet'!$F$8,0)</f>
        <v>0</v>
      </c>
      <c r="AH500" s="846">
        <f>IF('Input Sheet'!$C$15="Yes",Rates!$E$45,0)</f>
        <v>0</v>
      </c>
      <c r="AI500" s="849">
        <f>IF('Input Sheet'!$C$15="Yes",'Input Sheet'!$F$11,0)</f>
        <v>0</v>
      </c>
      <c r="AJ500" s="850">
        <f>IF('Input Sheet'!$C$15="Yes",'Input Sheet'!$F$7,0)</f>
        <v>0</v>
      </c>
      <c r="AK500" s="856">
        <f t="shared" si="79"/>
        <v>0</v>
      </c>
      <c r="AL500" s="856">
        <f t="shared" si="80"/>
        <v>0</v>
      </c>
      <c r="AM500" s="856">
        <f t="shared" si="86"/>
        <v>0</v>
      </c>
      <c r="AN500" s="856">
        <f t="shared" si="81"/>
        <v>0</v>
      </c>
      <c r="AO500" s="852">
        <f t="shared" si="87"/>
        <v>0</v>
      </c>
      <c r="AP500" s="853">
        <f t="shared" si="88"/>
        <v>0</v>
      </c>
      <c r="AQ500" s="854">
        <f>IFERROR(P500*'Input Sheet'!$F$8/(((AI500)*AK500*2)-AN500),0)</f>
        <v>0</v>
      </c>
      <c r="AR500" s="854">
        <f>IFERROR(($P500-$AF500)*'Input Sheet'!$F$8/(((AI500)*AK500*2)-AN500),0)</f>
        <v>0</v>
      </c>
    </row>
    <row r="501" spans="2:44" s="798" customFormat="1" ht="30" customHeight="1" thickBot="1" x14ac:dyDescent="0.3">
      <c r="B501" s="835"/>
      <c r="C501" s="836"/>
      <c r="D501" s="836"/>
      <c r="E501" s="837"/>
      <c r="F501" s="837"/>
      <c r="G501" s="838"/>
      <c r="H501" s="838"/>
      <c r="I501" s="839"/>
      <c r="J501" s="839"/>
      <c r="K501" s="840"/>
      <c r="L501" s="841"/>
      <c r="M501" s="841"/>
      <c r="N501" s="842"/>
      <c r="O501" s="842"/>
      <c r="P501" s="843"/>
      <c r="Q501" s="843"/>
      <c r="R501" s="843"/>
      <c r="S501" s="844">
        <f t="shared" si="82"/>
        <v>0</v>
      </c>
      <c r="T501" s="838"/>
      <c r="U501" s="842"/>
      <c r="V501" s="843"/>
      <c r="W501" s="843"/>
      <c r="X501" s="843"/>
      <c r="Y501" s="843"/>
      <c r="Z501" s="843"/>
      <c r="AA501" s="837"/>
      <c r="AB501" s="837"/>
      <c r="AC501" s="845">
        <f t="shared" si="83"/>
        <v>0</v>
      </c>
      <c r="AD501" s="846">
        <f t="shared" si="84"/>
        <v>0</v>
      </c>
      <c r="AE501" s="847">
        <f t="shared" si="85"/>
        <v>0</v>
      </c>
      <c r="AF501" s="855">
        <f t="shared" si="78"/>
        <v>0</v>
      </c>
      <c r="AG501" s="848">
        <f>IF('Input Sheet'!$C$15="Yes",'Input Sheet'!$F$8,0)</f>
        <v>0</v>
      </c>
      <c r="AH501" s="846">
        <f>IF('Input Sheet'!$C$15="Yes",Rates!$E$45,0)</f>
        <v>0</v>
      </c>
      <c r="AI501" s="849">
        <f>IF('Input Sheet'!$C$15="Yes",'Input Sheet'!$F$11,0)</f>
        <v>0</v>
      </c>
      <c r="AJ501" s="850">
        <f>IF('Input Sheet'!$C$15="Yes",'Input Sheet'!$F$7,0)</f>
        <v>0</v>
      </c>
      <c r="AK501" s="856">
        <f t="shared" si="79"/>
        <v>0</v>
      </c>
      <c r="AL501" s="856">
        <f t="shared" si="80"/>
        <v>0</v>
      </c>
      <c r="AM501" s="856">
        <f t="shared" si="86"/>
        <v>0</v>
      </c>
      <c r="AN501" s="856">
        <f t="shared" si="81"/>
        <v>0</v>
      </c>
      <c r="AO501" s="852">
        <f t="shared" si="87"/>
        <v>0</v>
      </c>
      <c r="AP501" s="853">
        <f t="shared" si="88"/>
        <v>0</v>
      </c>
      <c r="AQ501" s="854">
        <f>IFERROR(P501*'Input Sheet'!$F$8/(((AI501)*AK501*2)-AN501),0)</f>
        <v>0</v>
      </c>
      <c r="AR501" s="854">
        <f>IFERROR(($P501-$AF501)*'Input Sheet'!$F$8/(((AI501)*AK501*2)-AN501),0)</f>
        <v>0</v>
      </c>
    </row>
    <row r="502" spans="2:44" s="798" customFormat="1" ht="30" customHeight="1" thickBot="1" x14ac:dyDescent="0.3">
      <c r="B502" s="835"/>
      <c r="C502" s="836"/>
      <c r="D502" s="836"/>
      <c r="E502" s="837"/>
      <c r="F502" s="837"/>
      <c r="G502" s="838"/>
      <c r="H502" s="838"/>
      <c r="I502" s="839"/>
      <c r="J502" s="839"/>
      <c r="K502" s="840"/>
      <c r="L502" s="841"/>
      <c r="M502" s="841"/>
      <c r="N502" s="842"/>
      <c r="O502" s="842"/>
      <c r="P502" s="843"/>
      <c r="Q502" s="843"/>
      <c r="R502" s="843"/>
      <c r="S502" s="844">
        <f t="shared" si="82"/>
        <v>0</v>
      </c>
      <c r="T502" s="838"/>
      <c r="U502" s="842"/>
      <c r="V502" s="843"/>
      <c r="W502" s="843"/>
      <c r="X502" s="843"/>
      <c r="Y502" s="843"/>
      <c r="Z502" s="843"/>
      <c r="AA502" s="837"/>
      <c r="AB502" s="837"/>
      <c r="AC502" s="845">
        <f t="shared" si="83"/>
        <v>0</v>
      </c>
      <c r="AD502" s="846">
        <f t="shared" si="84"/>
        <v>0</v>
      </c>
      <c r="AE502" s="847">
        <f t="shared" si="85"/>
        <v>0</v>
      </c>
      <c r="AF502" s="855">
        <f t="shared" si="78"/>
        <v>0</v>
      </c>
      <c r="AG502" s="848">
        <f>IF('Input Sheet'!$C$15="Yes",'Input Sheet'!$F$8,0)</f>
        <v>0</v>
      </c>
      <c r="AH502" s="846">
        <f>IF('Input Sheet'!$C$15="Yes",Rates!$E$45,0)</f>
        <v>0</v>
      </c>
      <c r="AI502" s="849">
        <f>IF('Input Sheet'!$C$15="Yes",'Input Sheet'!$F$11,0)</f>
        <v>0</v>
      </c>
      <c r="AJ502" s="850">
        <f>IF('Input Sheet'!$C$15="Yes",'Input Sheet'!$F$7,0)</f>
        <v>0</v>
      </c>
      <c r="AK502" s="856">
        <f t="shared" si="79"/>
        <v>0</v>
      </c>
      <c r="AL502" s="856">
        <f t="shared" si="80"/>
        <v>0</v>
      </c>
      <c r="AM502" s="856">
        <f t="shared" si="86"/>
        <v>0</v>
      </c>
      <c r="AN502" s="856">
        <f t="shared" si="81"/>
        <v>0</v>
      </c>
      <c r="AO502" s="852">
        <f t="shared" si="87"/>
        <v>0</v>
      </c>
      <c r="AP502" s="853">
        <f t="shared" si="88"/>
        <v>0</v>
      </c>
      <c r="AQ502" s="854">
        <f>IFERROR(P502*'Input Sheet'!$F$8/(((AI502)*AK502*2)-AN502),0)</f>
        <v>0</v>
      </c>
      <c r="AR502" s="854">
        <f>IFERROR(($P502-$AF502)*'Input Sheet'!$F$8/(((AI502)*AK502*2)-AN502),0)</f>
        <v>0</v>
      </c>
    </row>
    <row r="503" spans="2:44" s="798" customFormat="1" ht="30" customHeight="1" thickBot="1" x14ac:dyDescent="0.3">
      <c r="B503" s="835"/>
      <c r="C503" s="836"/>
      <c r="D503" s="836"/>
      <c r="E503" s="837"/>
      <c r="F503" s="837"/>
      <c r="G503" s="838"/>
      <c r="H503" s="838"/>
      <c r="I503" s="839"/>
      <c r="J503" s="839"/>
      <c r="K503" s="840"/>
      <c r="L503" s="841"/>
      <c r="M503" s="841"/>
      <c r="N503" s="842"/>
      <c r="O503" s="842"/>
      <c r="P503" s="843"/>
      <c r="Q503" s="843"/>
      <c r="R503" s="843"/>
      <c r="S503" s="844">
        <f t="shared" si="82"/>
        <v>0</v>
      </c>
      <c r="T503" s="838"/>
      <c r="U503" s="842"/>
      <c r="V503" s="843"/>
      <c r="W503" s="843"/>
      <c r="X503" s="843"/>
      <c r="Y503" s="843"/>
      <c r="Z503" s="843"/>
      <c r="AA503" s="837"/>
      <c r="AB503" s="837"/>
      <c r="AC503" s="845">
        <f t="shared" si="83"/>
        <v>0</v>
      </c>
      <c r="AD503" s="846">
        <f t="shared" si="84"/>
        <v>0</v>
      </c>
      <c r="AE503" s="847">
        <f t="shared" si="85"/>
        <v>0</v>
      </c>
      <c r="AF503" s="855">
        <f t="shared" si="78"/>
        <v>0</v>
      </c>
      <c r="AG503" s="848">
        <f>IF('Input Sheet'!$C$15="Yes",'Input Sheet'!$F$8,0)</f>
        <v>0</v>
      </c>
      <c r="AH503" s="846">
        <f>IF('Input Sheet'!$C$15="Yes",Rates!$E$45,0)</f>
        <v>0</v>
      </c>
      <c r="AI503" s="849">
        <f>IF('Input Sheet'!$C$15="Yes",'Input Sheet'!$F$11,0)</f>
        <v>0</v>
      </c>
      <c r="AJ503" s="850">
        <f>IF('Input Sheet'!$C$15="Yes",'Input Sheet'!$F$7,0)</f>
        <v>0</v>
      </c>
      <c r="AK503" s="856">
        <f t="shared" si="79"/>
        <v>0</v>
      </c>
      <c r="AL503" s="856">
        <f t="shared" si="80"/>
        <v>0</v>
      </c>
      <c r="AM503" s="856">
        <f t="shared" si="86"/>
        <v>0</v>
      </c>
      <c r="AN503" s="856">
        <f t="shared" si="81"/>
        <v>0</v>
      </c>
      <c r="AO503" s="852">
        <f t="shared" si="87"/>
        <v>0</v>
      </c>
      <c r="AP503" s="853">
        <f t="shared" si="88"/>
        <v>0</v>
      </c>
      <c r="AQ503" s="854">
        <f>IFERROR(P503*'Input Sheet'!$F$8/(((AI503)*AK503*2)-AN503),0)</f>
        <v>0</v>
      </c>
      <c r="AR503" s="854">
        <f>IFERROR(($P503-$AF503)*'Input Sheet'!$F$8/(((AI503)*AK503*2)-AN503),0)</f>
        <v>0</v>
      </c>
    </row>
    <row r="504" spans="2:44" s="798" customFormat="1" ht="30" customHeight="1" thickBot="1" x14ac:dyDescent="0.3">
      <c r="B504" s="835"/>
      <c r="C504" s="836"/>
      <c r="D504" s="836"/>
      <c r="E504" s="837"/>
      <c r="F504" s="837"/>
      <c r="G504" s="838"/>
      <c r="H504" s="838"/>
      <c r="I504" s="839"/>
      <c r="J504" s="839"/>
      <c r="K504" s="840"/>
      <c r="L504" s="841"/>
      <c r="M504" s="841"/>
      <c r="N504" s="842"/>
      <c r="O504" s="842"/>
      <c r="P504" s="843"/>
      <c r="Q504" s="843"/>
      <c r="R504" s="843"/>
      <c r="S504" s="844">
        <f t="shared" si="82"/>
        <v>0</v>
      </c>
      <c r="T504" s="838"/>
      <c r="U504" s="842"/>
      <c r="V504" s="843"/>
      <c r="W504" s="843"/>
      <c r="X504" s="843"/>
      <c r="Y504" s="843"/>
      <c r="Z504" s="843"/>
      <c r="AA504" s="837"/>
      <c r="AB504" s="837"/>
      <c r="AC504" s="845">
        <f t="shared" si="83"/>
        <v>0</v>
      </c>
      <c r="AD504" s="846">
        <f t="shared" si="84"/>
        <v>0</v>
      </c>
      <c r="AE504" s="847">
        <f t="shared" si="85"/>
        <v>0</v>
      </c>
      <c r="AF504" s="855">
        <f t="shared" si="78"/>
        <v>0</v>
      </c>
      <c r="AG504" s="848">
        <f>IF('Input Sheet'!$C$15="Yes",'Input Sheet'!$F$8,0)</f>
        <v>0</v>
      </c>
      <c r="AH504" s="846">
        <f>IF('Input Sheet'!$C$15="Yes",Rates!$E$45,0)</f>
        <v>0</v>
      </c>
      <c r="AI504" s="849">
        <f>IF('Input Sheet'!$C$15="Yes",'Input Sheet'!$F$11,0)</f>
        <v>0</v>
      </c>
      <c r="AJ504" s="850">
        <f>IF('Input Sheet'!$C$15="Yes",'Input Sheet'!$F$7,0)</f>
        <v>0</v>
      </c>
      <c r="AK504" s="856">
        <f t="shared" si="79"/>
        <v>0</v>
      </c>
      <c r="AL504" s="856">
        <f t="shared" si="80"/>
        <v>0</v>
      </c>
      <c r="AM504" s="856">
        <f t="shared" si="86"/>
        <v>0</v>
      </c>
      <c r="AN504" s="856">
        <f t="shared" si="81"/>
        <v>0</v>
      </c>
      <c r="AO504" s="852">
        <f t="shared" si="87"/>
        <v>0</v>
      </c>
      <c r="AP504" s="853">
        <f t="shared" si="88"/>
        <v>0</v>
      </c>
      <c r="AQ504" s="854">
        <f>IFERROR(P504*'Input Sheet'!$F$8/(((AI504)*AK504*2)-AN504),0)</f>
        <v>0</v>
      </c>
      <c r="AR504" s="854">
        <f>IFERROR(($P504-$AF504)*'Input Sheet'!$F$8/(((AI504)*AK504*2)-AN504),0)</f>
        <v>0</v>
      </c>
    </row>
    <row r="505" spans="2:44" s="798" customFormat="1" ht="30" customHeight="1" thickBot="1" x14ac:dyDescent="0.3">
      <c r="B505" s="835"/>
      <c r="C505" s="836"/>
      <c r="D505" s="836"/>
      <c r="E505" s="837"/>
      <c r="F505" s="837"/>
      <c r="G505" s="838"/>
      <c r="H505" s="838"/>
      <c r="I505" s="839"/>
      <c r="J505" s="839"/>
      <c r="K505" s="840"/>
      <c r="L505" s="841"/>
      <c r="M505" s="841"/>
      <c r="N505" s="842"/>
      <c r="O505" s="842"/>
      <c r="P505" s="843"/>
      <c r="Q505" s="843"/>
      <c r="R505" s="843"/>
      <c r="S505" s="844">
        <f t="shared" si="82"/>
        <v>0</v>
      </c>
      <c r="T505" s="838"/>
      <c r="U505" s="842"/>
      <c r="V505" s="843"/>
      <c r="W505" s="843"/>
      <c r="X505" s="843"/>
      <c r="Y505" s="843"/>
      <c r="Z505" s="843"/>
      <c r="AA505" s="837"/>
      <c r="AB505" s="837"/>
      <c r="AC505" s="845">
        <f t="shared" si="83"/>
        <v>0</v>
      </c>
      <c r="AD505" s="846">
        <f t="shared" si="84"/>
        <v>0</v>
      </c>
      <c r="AE505" s="847">
        <f t="shared" si="85"/>
        <v>0</v>
      </c>
      <c r="AF505" s="855">
        <f t="shared" si="78"/>
        <v>0</v>
      </c>
      <c r="AG505" s="848">
        <f>IF('Input Sheet'!$C$15="Yes",'Input Sheet'!$F$8,0)</f>
        <v>0</v>
      </c>
      <c r="AH505" s="846">
        <f>IF('Input Sheet'!$C$15="Yes",Rates!$E$45,0)</f>
        <v>0</v>
      </c>
      <c r="AI505" s="849">
        <f>IF('Input Sheet'!$C$15="Yes",'Input Sheet'!$F$11,0)</f>
        <v>0</v>
      </c>
      <c r="AJ505" s="850">
        <f>IF('Input Sheet'!$C$15="Yes",'Input Sheet'!$F$7,0)</f>
        <v>0</v>
      </c>
      <c r="AK505" s="856">
        <f t="shared" si="79"/>
        <v>0</v>
      </c>
      <c r="AL505" s="856">
        <f t="shared" si="80"/>
        <v>0</v>
      </c>
      <c r="AM505" s="856">
        <f t="shared" si="86"/>
        <v>0</v>
      </c>
      <c r="AN505" s="856">
        <f t="shared" si="81"/>
        <v>0</v>
      </c>
      <c r="AO505" s="852">
        <f t="shared" si="87"/>
        <v>0</v>
      </c>
      <c r="AP505" s="853">
        <f t="shared" si="88"/>
        <v>0</v>
      </c>
      <c r="AQ505" s="854">
        <f>IFERROR(P505*'Input Sheet'!$F$8/(((AI505)*AK505*2)-AN505),0)</f>
        <v>0</v>
      </c>
      <c r="AR505" s="854">
        <f>IFERROR(($P505-$AF505)*'Input Sheet'!$F$8/(((AI505)*AK505*2)-AN505),0)</f>
        <v>0</v>
      </c>
    </row>
    <row r="506" spans="2:44" s="798" customFormat="1" ht="30" customHeight="1" thickBot="1" x14ac:dyDescent="0.3">
      <c r="B506" s="835"/>
      <c r="C506" s="836"/>
      <c r="D506" s="836"/>
      <c r="E506" s="837"/>
      <c r="F506" s="837"/>
      <c r="G506" s="838"/>
      <c r="H506" s="838"/>
      <c r="I506" s="839"/>
      <c r="J506" s="839"/>
      <c r="K506" s="840"/>
      <c r="L506" s="841"/>
      <c r="M506" s="841"/>
      <c r="N506" s="842"/>
      <c r="O506" s="842"/>
      <c r="P506" s="843"/>
      <c r="Q506" s="843"/>
      <c r="R506" s="843"/>
      <c r="S506" s="844">
        <f t="shared" si="82"/>
        <v>0</v>
      </c>
      <c r="T506" s="838"/>
      <c r="U506" s="842"/>
      <c r="V506" s="843"/>
      <c r="W506" s="843"/>
      <c r="X506" s="843"/>
      <c r="Y506" s="843"/>
      <c r="Z506" s="843"/>
      <c r="AA506" s="837"/>
      <c r="AB506" s="837"/>
      <c r="AC506" s="845">
        <f t="shared" si="83"/>
        <v>0</v>
      </c>
      <c r="AD506" s="846">
        <f t="shared" si="84"/>
        <v>0</v>
      </c>
      <c r="AE506" s="847">
        <f t="shared" si="85"/>
        <v>0</v>
      </c>
      <c r="AF506" s="855">
        <f t="shared" si="78"/>
        <v>0</v>
      </c>
      <c r="AG506" s="848">
        <f>IF('Input Sheet'!$C$15="Yes",'Input Sheet'!$F$8,0)</f>
        <v>0</v>
      </c>
      <c r="AH506" s="846">
        <f>IF('Input Sheet'!$C$15="Yes",Rates!$E$45,0)</f>
        <v>0</v>
      </c>
      <c r="AI506" s="849">
        <f>IF('Input Sheet'!$C$15="Yes",'Input Sheet'!$F$11,0)</f>
        <v>0</v>
      </c>
      <c r="AJ506" s="850">
        <f>IF('Input Sheet'!$C$15="Yes",'Input Sheet'!$F$7,0)</f>
        <v>0</v>
      </c>
      <c r="AK506" s="856">
        <f t="shared" si="79"/>
        <v>0</v>
      </c>
      <c r="AL506" s="856">
        <f t="shared" si="80"/>
        <v>0</v>
      </c>
      <c r="AM506" s="856">
        <f t="shared" si="86"/>
        <v>0</v>
      </c>
      <c r="AN506" s="856">
        <f t="shared" si="81"/>
        <v>0</v>
      </c>
      <c r="AO506" s="852">
        <f t="shared" si="87"/>
        <v>0</v>
      </c>
      <c r="AP506" s="853">
        <f t="shared" si="88"/>
        <v>0</v>
      </c>
      <c r="AQ506" s="854">
        <f>IFERROR(P506*'Input Sheet'!$F$8/(((AI506)*AK506*2)-AN506),0)</f>
        <v>0</v>
      </c>
      <c r="AR506" s="854">
        <f>IFERROR(($P506-$AF506)*'Input Sheet'!$F$8/(((AI506)*AK506*2)-AN506),0)</f>
        <v>0</v>
      </c>
    </row>
    <row r="507" spans="2:44" s="798" customFormat="1" ht="30" customHeight="1" thickBot="1" x14ac:dyDescent="0.3">
      <c r="B507" s="835"/>
      <c r="C507" s="836"/>
      <c r="D507" s="836"/>
      <c r="E507" s="837"/>
      <c r="F507" s="837"/>
      <c r="G507" s="838"/>
      <c r="H507" s="838"/>
      <c r="I507" s="839"/>
      <c r="J507" s="839"/>
      <c r="K507" s="840"/>
      <c r="L507" s="841"/>
      <c r="M507" s="841"/>
      <c r="N507" s="842"/>
      <c r="O507" s="842"/>
      <c r="P507" s="843"/>
      <c r="Q507" s="843"/>
      <c r="R507" s="843"/>
      <c r="S507" s="844">
        <f t="shared" si="82"/>
        <v>0</v>
      </c>
      <c r="T507" s="838"/>
      <c r="U507" s="842"/>
      <c r="V507" s="843"/>
      <c r="W507" s="843"/>
      <c r="X507" s="843"/>
      <c r="Y507" s="843"/>
      <c r="Z507" s="843"/>
      <c r="AA507" s="837"/>
      <c r="AB507" s="837"/>
      <c r="AC507" s="845">
        <f t="shared" si="83"/>
        <v>0</v>
      </c>
      <c r="AD507" s="846">
        <f t="shared" si="84"/>
        <v>0</v>
      </c>
      <c r="AE507" s="847">
        <f t="shared" si="85"/>
        <v>0</v>
      </c>
      <c r="AF507" s="855">
        <f t="shared" si="78"/>
        <v>0</v>
      </c>
      <c r="AG507" s="848">
        <f>IF('Input Sheet'!$C$15="Yes",'Input Sheet'!$F$8,0)</f>
        <v>0</v>
      </c>
      <c r="AH507" s="846">
        <f>IF('Input Sheet'!$C$15="Yes",Rates!$E$45,0)</f>
        <v>0</v>
      </c>
      <c r="AI507" s="849">
        <f>IF('Input Sheet'!$C$15="Yes",'Input Sheet'!$F$11,0)</f>
        <v>0</v>
      </c>
      <c r="AJ507" s="850">
        <f>IF('Input Sheet'!$C$15="Yes",'Input Sheet'!$F$7,0)</f>
        <v>0</v>
      </c>
      <c r="AK507" s="856">
        <f t="shared" si="79"/>
        <v>0</v>
      </c>
      <c r="AL507" s="856">
        <f t="shared" si="80"/>
        <v>0</v>
      </c>
      <c r="AM507" s="856">
        <f t="shared" si="86"/>
        <v>0</v>
      </c>
      <c r="AN507" s="856">
        <f t="shared" si="81"/>
        <v>0</v>
      </c>
      <c r="AO507" s="852">
        <f t="shared" si="87"/>
        <v>0</v>
      </c>
      <c r="AP507" s="853">
        <f t="shared" si="88"/>
        <v>0</v>
      </c>
      <c r="AQ507" s="854">
        <f>IFERROR(P507*'Input Sheet'!$F$8/(((AI507)*AK507*2)-AN507),0)</f>
        <v>0</v>
      </c>
      <c r="AR507" s="854">
        <f>IFERROR(($P507-$AF507)*'Input Sheet'!$F$8/(((AI507)*AK507*2)-AN507),0)</f>
        <v>0</v>
      </c>
    </row>
    <row r="508" spans="2:44" s="798" customFormat="1" ht="30" customHeight="1" thickBot="1" x14ac:dyDescent="0.3">
      <c r="B508" s="835"/>
      <c r="C508" s="836"/>
      <c r="D508" s="836"/>
      <c r="E508" s="837"/>
      <c r="F508" s="837"/>
      <c r="G508" s="838"/>
      <c r="H508" s="838"/>
      <c r="I508" s="839"/>
      <c r="J508" s="839"/>
      <c r="K508" s="840"/>
      <c r="L508" s="841"/>
      <c r="M508" s="841"/>
      <c r="N508" s="842"/>
      <c r="O508" s="842"/>
      <c r="P508" s="843"/>
      <c r="Q508" s="843"/>
      <c r="R508" s="843"/>
      <c r="S508" s="844">
        <f t="shared" si="82"/>
        <v>0</v>
      </c>
      <c r="T508" s="838"/>
      <c r="U508" s="842"/>
      <c r="V508" s="843"/>
      <c r="W508" s="843"/>
      <c r="X508" s="843"/>
      <c r="Y508" s="843"/>
      <c r="Z508" s="843"/>
      <c r="AA508" s="837"/>
      <c r="AB508" s="837"/>
      <c r="AC508" s="845">
        <f t="shared" si="83"/>
        <v>0</v>
      </c>
      <c r="AD508" s="846">
        <f t="shared" si="84"/>
        <v>0</v>
      </c>
      <c r="AE508" s="847">
        <f t="shared" si="85"/>
        <v>0</v>
      </c>
      <c r="AF508" s="855">
        <f t="shared" si="78"/>
        <v>0</v>
      </c>
      <c r="AG508" s="848">
        <f>IF('Input Sheet'!$C$15="Yes",'Input Sheet'!$F$8,0)</f>
        <v>0</v>
      </c>
      <c r="AH508" s="846">
        <f>IF('Input Sheet'!$C$15="Yes",Rates!$E$45,0)</f>
        <v>0</v>
      </c>
      <c r="AI508" s="849">
        <f>IF('Input Sheet'!$C$15="Yes",'Input Sheet'!$F$11,0)</f>
        <v>0</v>
      </c>
      <c r="AJ508" s="850">
        <f>IF('Input Sheet'!$C$15="Yes",'Input Sheet'!$F$7,0)</f>
        <v>0</v>
      </c>
      <c r="AK508" s="856">
        <f t="shared" si="79"/>
        <v>0</v>
      </c>
      <c r="AL508" s="856">
        <f t="shared" si="80"/>
        <v>0</v>
      </c>
      <c r="AM508" s="856">
        <f t="shared" si="86"/>
        <v>0</v>
      </c>
      <c r="AN508" s="856">
        <f t="shared" si="81"/>
        <v>0</v>
      </c>
      <c r="AO508" s="852">
        <f t="shared" si="87"/>
        <v>0</v>
      </c>
      <c r="AP508" s="853">
        <f t="shared" si="88"/>
        <v>0</v>
      </c>
      <c r="AQ508" s="854">
        <f>IFERROR(P508*'Input Sheet'!$F$8/(((AI508)*AK508*2)-AN508),0)</f>
        <v>0</v>
      </c>
      <c r="AR508" s="854">
        <f>IFERROR(($P508-$AF508)*'Input Sheet'!$F$8/(((AI508)*AK508*2)-AN508),0)</f>
        <v>0</v>
      </c>
    </row>
    <row r="509" spans="2:44" s="798" customFormat="1" ht="30" customHeight="1" thickBot="1" x14ac:dyDescent="0.3">
      <c r="B509" s="835"/>
      <c r="C509" s="836"/>
      <c r="D509" s="836"/>
      <c r="E509" s="837"/>
      <c r="F509" s="837"/>
      <c r="G509" s="838"/>
      <c r="H509" s="838"/>
      <c r="I509" s="839"/>
      <c r="J509" s="839"/>
      <c r="K509" s="840"/>
      <c r="L509" s="841"/>
      <c r="M509" s="841"/>
      <c r="N509" s="842"/>
      <c r="O509" s="842"/>
      <c r="P509" s="843"/>
      <c r="Q509" s="843"/>
      <c r="R509" s="843"/>
      <c r="S509" s="844">
        <f t="shared" si="82"/>
        <v>0</v>
      </c>
      <c r="T509" s="838"/>
      <c r="U509" s="842"/>
      <c r="V509" s="843"/>
      <c r="W509" s="843"/>
      <c r="X509" s="843"/>
      <c r="Y509" s="843"/>
      <c r="Z509" s="843"/>
      <c r="AA509" s="837"/>
      <c r="AB509" s="837"/>
      <c r="AC509" s="845">
        <f t="shared" si="83"/>
        <v>0</v>
      </c>
      <c r="AD509" s="846">
        <f t="shared" si="84"/>
        <v>0</v>
      </c>
      <c r="AE509" s="847">
        <f t="shared" si="85"/>
        <v>0</v>
      </c>
      <c r="AF509" s="855">
        <f t="shared" si="78"/>
        <v>0</v>
      </c>
      <c r="AG509" s="848">
        <f>IF('Input Sheet'!$C$15="Yes",'Input Sheet'!$F$8,0)</f>
        <v>0</v>
      </c>
      <c r="AH509" s="846">
        <f>IF('Input Sheet'!$C$15="Yes",Rates!$E$45,0)</f>
        <v>0</v>
      </c>
      <c r="AI509" s="849">
        <f>IF('Input Sheet'!$C$15="Yes",'Input Sheet'!$F$11,0)</f>
        <v>0</v>
      </c>
      <c r="AJ509" s="850">
        <f>IF('Input Sheet'!$C$15="Yes",'Input Sheet'!$F$7,0)</f>
        <v>0</v>
      </c>
      <c r="AK509" s="856">
        <f t="shared" si="79"/>
        <v>0</v>
      </c>
      <c r="AL509" s="856">
        <f t="shared" si="80"/>
        <v>0</v>
      </c>
      <c r="AM509" s="856">
        <f t="shared" si="86"/>
        <v>0</v>
      </c>
      <c r="AN509" s="856">
        <f t="shared" si="81"/>
        <v>0</v>
      </c>
      <c r="AO509" s="852">
        <f t="shared" si="87"/>
        <v>0</v>
      </c>
      <c r="AP509" s="853">
        <f t="shared" si="88"/>
        <v>0</v>
      </c>
      <c r="AQ509" s="854">
        <f>IFERROR(P509*'Input Sheet'!$F$8/(((AI509)*AK509*2)-AN509),0)</f>
        <v>0</v>
      </c>
      <c r="AR509" s="854">
        <f>IFERROR(($P509-$AF509)*'Input Sheet'!$F$8/(((AI509)*AK509*2)-AN509),0)</f>
        <v>0</v>
      </c>
    </row>
    <row r="510" spans="2:44" s="798" customFormat="1" ht="30" customHeight="1" thickBot="1" x14ac:dyDescent="0.3">
      <c r="B510" s="835"/>
      <c r="C510" s="836"/>
      <c r="D510" s="836"/>
      <c r="E510" s="837"/>
      <c r="F510" s="837"/>
      <c r="G510" s="838"/>
      <c r="H510" s="838"/>
      <c r="I510" s="839"/>
      <c r="J510" s="839"/>
      <c r="K510" s="840"/>
      <c r="L510" s="841"/>
      <c r="M510" s="841"/>
      <c r="N510" s="842"/>
      <c r="O510" s="842"/>
      <c r="P510" s="843"/>
      <c r="Q510" s="843"/>
      <c r="R510" s="843"/>
      <c r="S510" s="844">
        <f t="shared" si="82"/>
        <v>0</v>
      </c>
      <c r="T510" s="838"/>
      <c r="U510" s="842"/>
      <c r="V510" s="843"/>
      <c r="W510" s="843"/>
      <c r="X510" s="843"/>
      <c r="Y510" s="843"/>
      <c r="Z510" s="843"/>
      <c r="AA510" s="837"/>
      <c r="AB510" s="837"/>
      <c r="AC510" s="845">
        <f t="shared" si="83"/>
        <v>0</v>
      </c>
      <c r="AD510" s="846">
        <f t="shared" si="84"/>
        <v>0</v>
      </c>
      <c r="AE510" s="847">
        <f t="shared" si="85"/>
        <v>0</v>
      </c>
      <c r="AF510" s="855">
        <f t="shared" si="78"/>
        <v>0</v>
      </c>
      <c r="AG510" s="848">
        <f>IF('Input Sheet'!$C$15="Yes",'Input Sheet'!$F$8,0)</f>
        <v>0</v>
      </c>
      <c r="AH510" s="846">
        <f>IF('Input Sheet'!$C$15="Yes",Rates!$E$45,0)</f>
        <v>0</v>
      </c>
      <c r="AI510" s="849">
        <f>IF('Input Sheet'!$C$15="Yes",'Input Sheet'!$F$11,0)</f>
        <v>0</v>
      </c>
      <c r="AJ510" s="850">
        <f>IF('Input Sheet'!$C$15="Yes",'Input Sheet'!$F$7,0)</f>
        <v>0</v>
      </c>
      <c r="AK510" s="856">
        <f t="shared" si="79"/>
        <v>0</v>
      </c>
      <c r="AL510" s="856">
        <f t="shared" si="80"/>
        <v>0</v>
      </c>
      <c r="AM510" s="856">
        <f t="shared" si="86"/>
        <v>0</v>
      </c>
      <c r="AN510" s="856">
        <f t="shared" si="81"/>
        <v>0</v>
      </c>
      <c r="AO510" s="852">
        <f t="shared" si="87"/>
        <v>0</v>
      </c>
      <c r="AP510" s="853">
        <f t="shared" si="88"/>
        <v>0</v>
      </c>
      <c r="AQ510" s="854">
        <f>IFERROR(P510*'Input Sheet'!$F$8/(((AI510)*AK510*2)-AN510),0)</f>
        <v>0</v>
      </c>
      <c r="AR510" s="854">
        <f>IFERROR(($P510-$AF510)*'Input Sheet'!$F$8/(((AI510)*AK510*2)-AN510),0)</f>
        <v>0</v>
      </c>
    </row>
    <row r="511" spans="2:44" s="798" customFormat="1" ht="30" customHeight="1" thickBot="1" x14ac:dyDescent="0.3">
      <c r="B511" s="835"/>
      <c r="C511" s="836"/>
      <c r="D511" s="836"/>
      <c r="E511" s="837"/>
      <c r="F511" s="837"/>
      <c r="G511" s="838"/>
      <c r="H511" s="838"/>
      <c r="I511" s="839"/>
      <c r="J511" s="839"/>
      <c r="K511" s="840"/>
      <c r="L511" s="841"/>
      <c r="M511" s="841"/>
      <c r="N511" s="842"/>
      <c r="O511" s="842"/>
      <c r="P511" s="843"/>
      <c r="Q511" s="843"/>
      <c r="R511" s="843"/>
      <c r="S511" s="844">
        <f t="shared" si="82"/>
        <v>0</v>
      </c>
      <c r="T511" s="838"/>
      <c r="U511" s="842"/>
      <c r="V511" s="843"/>
      <c r="W511" s="843"/>
      <c r="X511" s="843"/>
      <c r="Y511" s="843"/>
      <c r="Z511" s="843"/>
      <c r="AA511" s="837"/>
      <c r="AB511" s="837"/>
      <c r="AC511" s="845">
        <f t="shared" si="83"/>
        <v>0</v>
      </c>
      <c r="AD511" s="846">
        <f t="shared" si="84"/>
        <v>0</v>
      </c>
      <c r="AE511" s="847">
        <f t="shared" si="85"/>
        <v>0</v>
      </c>
      <c r="AF511" s="855">
        <f t="shared" si="78"/>
        <v>0</v>
      </c>
      <c r="AG511" s="848">
        <f>IF('Input Sheet'!$C$15="Yes",'Input Sheet'!$F$8,0)</f>
        <v>0</v>
      </c>
      <c r="AH511" s="846">
        <f>IF('Input Sheet'!$C$15="Yes",Rates!$E$45,0)</f>
        <v>0</v>
      </c>
      <c r="AI511" s="849">
        <f>IF('Input Sheet'!$C$15="Yes",'Input Sheet'!$F$11,0)</f>
        <v>0</v>
      </c>
      <c r="AJ511" s="850">
        <f>IF('Input Sheet'!$C$15="Yes",'Input Sheet'!$F$7,0)</f>
        <v>0</v>
      </c>
      <c r="AK511" s="856">
        <f t="shared" si="79"/>
        <v>0</v>
      </c>
      <c r="AL511" s="856">
        <f t="shared" si="80"/>
        <v>0</v>
      </c>
      <c r="AM511" s="856">
        <f t="shared" si="86"/>
        <v>0</v>
      </c>
      <c r="AN511" s="856">
        <f t="shared" si="81"/>
        <v>0</v>
      </c>
      <c r="AO511" s="852">
        <f t="shared" si="87"/>
        <v>0</v>
      </c>
      <c r="AP511" s="853">
        <f t="shared" si="88"/>
        <v>0</v>
      </c>
      <c r="AQ511" s="854">
        <f>IFERROR(P511*'Input Sheet'!$F$8/(((AI511)*AK511*2)-AN511),0)</f>
        <v>0</v>
      </c>
      <c r="AR511" s="854">
        <f>IFERROR(($P511-$AF511)*'Input Sheet'!$F$8/(((AI511)*AK511*2)-AN511),0)</f>
        <v>0</v>
      </c>
    </row>
    <row r="512" spans="2:44" s="798" customFormat="1" ht="30" customHeight="1" thickBot="1" x14ac:dyDescent="0.3">
      <c r="B512" s="835"/>
      <c r="C512" s="836"/>
      <c r="D512" s="836"/>
      <c r="E512" s="837"/>
      <c r="F512" s="837"/>
      <c r="G512" s="838"/>
      <c r="H512" s="838"/>
      <c r="I512" s="839"/>
      <c r="J512" s="839"/>
      <c r="K512" s="840"/>
      <c r="L512" s="841"/>
      <c r="M512" s="841"/>
      <c r="N512" s="842"/>
      <c r="O512" s="842"/>
      <c r="P512" s="843"/>
      <c r="Q512" s="843"/>
      <c r="R512" s="843"/>
      <c r="S512" s="844">
        <f t="shared" si="82"/>
        <v>0</v>
      </c>
      <c r="T512" s="838"/>
      <c r="U512" s="842"/>
      <c r="V512" s="843"/>
      <c r="W512" s="843"/>
      <c r="X512" s="843"/>
      <c r="Y512" s="843"/>
      <c r="Z512" s="843"/>
      <c r="AA512" s="837"/>
      <c r="AB512" s="837"/>
      <c r="AC512" s="845">
        <f t="shared" si="83"/>
        <v>0</v>
      </c>
      <c r="AD512" s="846">
        <f t="shared" si="84"/>
        <v>0</v>
      </c>
      <c r="AE512" s="847">
        <f t="shared" si="85"/>
        <v>0</v>
      </c>
      <c r="AF512" s="855">
        <f t="shared" si="78"/>
        <v>0</v>
      </c>
      <c r="AG512" s="848">
        <f>IF('Input Sheet'!$C$15="Yes",'Input Sheet'!$F$8,0)</f>
        <v>0</v>
      </c>
      <c r="AH512" s="846">
        <f>IF('Input Sheet'!$C$15="Yes",Rates!$E$45,0)</f>
        <v>0</v>
      </c>
      <c r="AI512" s="849">
        <f>IF('Input Sheet'!$C$15="Yes",'Input Sheet'!$F$11,0)</f>
        <v>0</v>
      </c>
      <c r="AJ512" s="850">
        <f>IF('Input Sheet'!$C$15="Yes",'Input Sheet'!$F$7,0)</f>
        <v>0</v>
      </c>
      <c r="AK512" s="856">
        <f t="shared" si="79"/>
        <v>0</v>
      </c>
      <c r="AL512" s="856">
        <f t="shared" si="80"/>
        <v>0</v>
      </c>
      <c r="AM512" s="856">
        <f t="shared" si="86"/>
        <v>0</v>
      </c>
      <c r="AN512" s="856">
        <f t="shared" si="81"/>
        <v>0</v>
      </c>
      <c r="AO512" s="852">
        <f t="shared" si="87"/>
        <v>0</v>
      </c>
      <c r="AP512" s="853">
        <f t="shared" si="88"/>
        <v>0</v>
      </c>
      <c r="AQ512" s="854">
        <f>IFERROR(P512*'Input Sheet'!$F$8/(((AI512)*AK512*2)-AN512),0)</f>
        <v>0</v>
      </c>
      <c r="AR512" s="854">
        <f>IFERROR(($P512-$AF512)*'Input Sheet'!$F$8/(((AI512)*AK512*2)-AN512),0)</f>
        <v>0</v>
      </c>
    </row>
    <row r="513" spans="2:44" s="798" customFormat="1" ht="30" customHeight="1" thickBot="1" x14ac:dyDescent="0.3">
      <c r="B513" s="835"/>
      <c r="C513" s="836"/>
      <c r="D513" s="836"/>
      <c r="E513" s="837"/>
      <c r="F513" s="837"/>
      <c r="G513" s="838"/>
      <c r="H513" s="838"/>
      <c r="I513" s="839"/>
      <c r="J513" s="839"/>
      <c r="K513" s="840"/>
      <c r="L513" s="841"/>
      <c r="M513" s="841"/>
      <c r="N513" s="842"/>
      <c r="O513" s="842"/>
      <c r="P513" s="843"/>
      <c r="Q513" s="843"/>
      <c r="R513" s="843"/>
      <c r="S513" s="844">
        <f t="shared" si="82"/>
        <v>0</v>
      </c>
      <c r="T513" s="838"/>
      <c r="U513" s="842"/>
      <c r="V513" s="843"/>
      <c r="W513" s="843"/>
      <c r="X513" s="843"/>
      <c r="Y513" s="843"/>
      <c r="Z513" s="843"/>
      <c r="AA513" s="837"/>
      <c r="AB513" s="837"/>
      <c r="AC513" s="845">
        <f t="shared" si="83"/>
        <v>0</v>
      </c>
      <c r="AD513" s="846">
        <f t="shared" si="84"/>
        <v>0</v>
      </c>
      <c r="AE513" s="847">
        <f t="shared" si="85"/>
        <v>0</v>
      </c>
      <c r="AF513" s="855">
        <f t="shared" si="78"/>
        <v>0</v>
      </c>
      <c r="AG513" s="848">
        <f>IF('Input Sheet'!$C$15="Yes",'Input Sheet'!$F$8,0)</f>
        <v>0</v>
      </c>
      <c r="AH513" s="846">
        <f>IF('Input Sheet'!$C$15="Yes",Rates!$E$45,0)</f>
        <v>0</v>
      </c>
      <c r="AI513" s="849">
        <f>IF('Input Sheet'!$C$15="Yes",'Input Sheet'!$F$11,0)</f>
        <v>0</v>
      </c>
      <c r="AJ513" s="850">
        <f>IF('Input Sheet'!$C$15="Yes",'Input Sheet'!$F$7,0)</f>
        <v>0</v>
      </c>
      <c r="AK513" s="856">
        <f t="shared" si="79"/>
        <v>0</v>
      </c>
      <c r="AL513" s="856">
        <f t="shared" si="80"/>
        <v>0</v>
      </c>
      <c r="AM513" s="856">
        <f t="shared" si="86"/>
        <v>0</v>
      </c>
      <c r="AN513" s="856">
        <f t="shared" si="81"/>
        <v>0</v>
      </c>
      <c r="AO513" s="852">
        <f t="shared" si="87"/>
        <v>0</v>
      </c>
      <c r="AP513" s="853">
        <f t="shared" si="88"/>
        <v>0</v>
      </c>
      <c r="AQ513" s="854">
        <f>IFERROR(P513*'Input Sheet'!$F$8/(((AI513)*AK513*2)-AN513),0)</f>
        <v>0</v>
      </c>
      <c r="AR513" s="854">
        <f>IFERROR(($P513-$AF513)*'Input Sheet'!$F$8/(((AI513)*AK513*2)-AN513),0)</f>
        <v>0</v>
      </c>
    </row>
    <row r="514" spans="2:44" s="798" customFormat="1" ht="30" customHeight="1" thickBot="1" x14ac:dyDescent="0.3">
      <c r="B514" s="835"/>
      <c r="C514" s="836"/>
      <c r="D514" s="836"/>
      <c r="E514" s="837"/>
      <c r="F514" s="837"/>
      <c r="G514" s="838"/>
      <c r="H514" s="838"/>
      <c r="I514" s="839"/>
      <c r="J514" s="839"/>
      <c r="K514" s="840"/>
      <c r="L514" s="841"/>
      <c r="M514" s="841"/>
      <c r="N514" s="842"/>
      <c r="O514" s="842"/>
      <c r="P514" s="843"/>
      <c r="Q514" s="843"/>
      <c r="R514" s="843"/>
      <c r="S514" s="844">
        <f t="shared" si="82"/>
        <v>0</v>
      </c>
      <c r="T514" s="838"/>
      <c r="U514" s="842"/>
      <c r="V514" s="843"/>
      <c r="W514" s="843"/>
      <c r="X514" s="843"/>
      <c r="Y514" s="843"/>
      <c r="Z514" s="843"/>
      <c r="AA514" s="837"/>
      <c r="AB514" s="837"/>
      <c r="AC514" s="845">
        <f t="shared" si="83"/>
        <v>0</v>
      </c>
      <c r="AD514" s="846">
        <f t="shared" si="84"/>
        <v>0</v>
      </c>
      <c r="AE514" s="847">
        <f t="shared" si="85"/>
        <v>0</v>
      </c>
      <c r="AF514" s="855">
        <f t="shared" si="78"/>
        <v>0</v>
      </c>
      <c r="AG514" s="848">
        <f>IF('Input Sheet'!$C$15="Yes",'Input Sheet'!$F$8,0)</f>
        <v>0</v>
      </c>
      <c r="AH514" s="846">
        <f>IF('Input Sheet'!$C$15="Yes",Rates!$E$45,0)</f>
        <v>0</v>
      </c>
      <c r="AI514" s="849">
        <f>IF('Input Sheet'!$C$15="Yes",'Input Sheet'!$F$11,0)</f>
        <v>0</v>
      </c>
      <c r="AJ514" s="850">
        <f>IF('Input Sheet'!$C$15="Yes",'Input Sheet'!$F$7,0)</f>
        <v>0</v>
      </c>
      <c r="AK514" s="856">
        <f t="shared" si="79"/>
        <v>0</v>
      </c>
      <c r="AL514" s="856">
        <f t="shared" si="80"/>
        <v>0</v>
      </c>
      <c r="AM514" s="856">
        <f t="shared" si="86"/>
        <v>0</v>
      </c>
      <c r="AN514" s="856">
        <f t="shared" si="81"/>
        <v>0</v>
      </c>
      <c r="AO514" s="852">
        <f t="shared" si="87"/>
        <v>0</v>
      </c>
      <c r="AP514" s="853">
        <f t="shared" si="88"/>
        <v>0</v>
      </c>
      <c r="AQ514" s="854">
        <f>IFERROR(P514*'Input Sheet'!$F$8/(((AI514)*AK514*2)-AN514),0)</f>
        <v>0</v>
      </c>
      <c r="AR514" s="854">
        <f>IFERROR(($P514-$AF514)*'Input Sheet'!$F$8/(((AI514)*AK514*2)-AN514),0)</f>
        <v>0</v>
      </c>
    </row>
    <row r="515" spans="2:44" s="798" customFormat="1" ht="30" customHeight="1" thickBot="1" x14ac:dyDescent="0.3">
      <c r="B515" s="835"/>
      <c r="C515" s="836"/>
      <c r="D515" s="836"/>
      <c r="E515" s="837"/>
      <c r="F515" s="837"/>
      <c r="G515" s="838"/>
      <c r="H515" s="838"/>
      <c r="I515" s="839"/>
      <c r="J515" s="839"/>
      <c r="K515" s="840"/>
      <c r="L515" s="841"/>
      <c r="M515" s="841"/>
      <c r="N515" s="842"/>
      <c r="O515" s="842"/>
      <c r="P515" s="843"/>
      <c r="Q515" s="843"/>
      <c r="R515" s="843"/>
      <c r="S515" s="844">
        <f t="shared" si="82"/>
        <v>0</v>
      </c>
      <c r="T515" s="838"/>
      <c r="U515" s="842"/>
      <c r="V515" s="843"/>
      <c r="W515" s="843"/>
      <c r="X515" s="843"/>
      <c r="Y515" s="843"/>
      <c r="Z515" s="843"/>
      <c r="AA515" s="837"/>
      <c r="AB515" s="837"/>
      <c r="AC515" s="845">
        <f t="shared" si="83"/>
        <v>0</v>
      </c>
      <c r="AD515" s="846">
        <f t="shared" si="84"/>
        <v>0</v>
      </c>
      <c r="AE515" s="847">
        <f t="shared" si="85"/>
        <v>0</v>
      </c>
      <c r="AF515" s="855">
        <f t="shared" si="78"/>
        <v>0</v>
      </c>
      <c r="AG515" s="848">
        <f>IF('Input Sheet'!$C$15="Yes",'Input Sheet'!$F$8,0)</f>
        <v>0</v>
      </c>
      <c r="AH515" s="846">
        <f>IF('Input Sheet'!$C$15="Yes",Rates!$E$45,0)</f>
        <v>0</v>
      </c>
      <c r="AI515" s="849">
        <f>IF('Input Sheet'!$C$15="Yes",'Input Sheet'!$F$11,0)</f>
        <v>0</v>
      </c>
      <c r="AJ515" s="850">
        <f>IF('Input Sheet'!$C$15="Yes",'Input Sheet'!$F$7,0)</f>
        <v>0</v>
      </c>
      <c r="AK515" s="856">
        <f t="shared" si="79"/>
        <v>0</v>
      </c>
      <c r="AL515" s="856">
        <f t="shared" si="80"/>
        <v>0</v>
      </c>
      <c r="AM515" s="856">
        <f t="shared" si="86"/>
        <v>0</v>
      </c>
      <c r="AN515" s="856">
        <f t="shared" si="81"/>
        <v>0</v>
      </c>
      <c r="AO515" s="852">
        <f t="shared" si="87"/>
        <v>0</v>
      </c>
      <c r="AP515" s="853">
        <f t="shared" si="88"/>
        <v>0</v>
      </c>
      <c r="AQ515" s="854">
        <f>IFERROR(P515*'Input Sheet'!$F$8/(((AI515)*AK515*2)-AN515),0)</f>
        <v>0</v>
      </c>
      <c r="AR515" s="854">
        <f>IFERROR(($P515-$AF515)*'Input Sheet'!$F$8/(((AI515)*AK515*2)-AN515),0)</f>
        <v>0</v>
      </c>
    </row>
    <row r="516" spans="2:44" s="798" customFormat="1" ht="30" customHeight="1" thickBot="1" x14ac:dyDescent="0.3">
      <c r="B516" s="835"/>
      <c r="C516" s="836"/>
      <c r="D516" s="836"/>
      <c r="E516" s="837"/>
      <c r="F516" s="837"/>
      <c r="G516" s="838"/>
      <c r="H516" s="838"/>
      <c r="I516" s="839"/>
      <c r="J516" s="839"/>
      <c r="K516" s="840"/>
      <c r="L516" s="841"/>
      <c r="M516" s="841"/>
      <c r="N516" s="842"/>
      <c r="O516" s="842"/>
      <c r="P516" s="843"/>
      <c r="Q516" s="843"/>
      <c r="R516" s="843"/>
      <c r="S516" s="844">
        <f t="shared" si="82"/>
        <v>0</v>
      </c>
      <c r="T516" s="838"/>
      <c r="U516" s="842"/>
      <c r="V516" s="843"/>
      <c r="W516" s="843"/>
      <c r="X516" s="843"/>
      <c r="Y516" s="843"/>
      <c r="Z516" s="843"/>
      <c r="AA516" s="837"/>
      <c r="AB516" s="837"/>
      <c r="AC516" s="845">
        <f t="shared" si="83"/>
        <v>0</v>
      </c>
      <c r="AD516" s="846">
        <f t="shared" si="84"/>
        <v>0</v>
      </c>
      <c r="AE516" s="847">
        <f t="shared" si="85"/>
        <v>0</v>
      </c>
      <c r="AF516" s="855">
        <f t="shared" si="78"/>
        <v>0</v>
      </c>
      <c r="AG516" s="848">
        <f>IF('Input Sheet'!$C$15="Yes",'Input Sheet'!$F$8,0)</f>
        <v>0</v>
      </c>
      <c r="AH516" s="846">
        <f>IF('Input Sheet'!$C$15="Yes",Rates!$E$45,0)</f>
        <v>0</v>
      </c>
      <c r="AI516" s="849">
        <f>IF('Input Sheet'!$C$15="Yes",'Input Sheet'!$F$11,0)</f>
        <v>0</v>
      </c>
      <c r="AJ516" s="850">
        <f>IF('Input Sheet'!$C$15="Yes",'Input Sheet'!$F$7,0)</f>
        <v>0</v>
      </c>
      <c r="AK516" s="856">
        <f t="shared" si="79"/>
        <v>0</v>
      </c>
      <c r="AL516" s="856">
        <f t="shared" si="80"/>
        <v>0</v>
      </c>
      <c r="AM516" s="856">
        <f t="shared" si="86"/>
        <v>0</v>
      </c>
      <c r="AN516" s="856">
        <f t="shared" si="81"/>
        <v>0</v>
      </c>
      <c r="AO516" s="852">
        <f t="shared" si="87"/>
        <v>0</v>
      </c>
      <c r="AP516" s="853">
        <f t="shared" si="88"/>
        <v>0</v>
      </c>
      <c r="AQ516" s="854">
        <f>IFERROR(P516*'Input Sheet'!$F$8/(((AI516)*AK516*2)-AN516),0)</f>
        <v>0</v>
      </c>
      <c r="AR516" s="854">
        <f>IFERROR(($P516-$AF516)*'Input Sheet'!$F$8/(((AI516)*AK516*2)-AN516),0)</f>
        <v>0</v>
      </c>
    </row>
    <row r="517" spans="2:44" s="798" customFormat="1" ht="30" customHeight="1" thickBot="1" x14ac:dyDescent="0.3">
      <c r="B517" s="835"/>
      <c r="C517" s="836"/>
      <c r="D517" s="836"/>
      <c r="E517" s="837"/>
      <c r="F517" s="837"/>
      <c r="G517" s="838"/>
      <c r="H517" s="838"/>
      <c r="I517" s="839"/>
      <c r="J517" s="839"/>
      <c r="K517" s="840"/>
      <c r="L517" s="841"/>
      <c r="M517" s="841"/>
      <c r="N517" s="842"/>
      <c r="O517" s="842"/>
      <c r="P517" s="843"/>
      <c r="Q517" s="843"/>
      <c r="R517" s="843"/>
      <c r="S517" s="844">
        <f t="shared" si="82"/>
        <v>0</v>
      </c>
      <c r="T517" s="838"/>
      <c r="U517" s="842"/>
      <c r="V517" s="843"/>
      <c r="W517" s="843"/>
      <c r="X517" s="843"/>
      <c r="Y517" s="843"/>
      <c r="Z517" s="843"/>
      <c r="AA517" s="837"/>
      <c r="AB517" s="837"/>
      <c r="AC517" s="845">
        <f t="shared" si="83"/>
        <v>0</v>
      </c>
      <c r="AD517" s="846">
        <f t="shared" si="84"/>
        <v>0</v>
      </c>
      <c r="AE517" s="847">
        <f t="shared" si="85"/>
        <v>0</v>
      </c>
      <c r="AF517" s="855">
        <f t="shared" si="78"/>
        <v>0</v>
      </c>
      <c r="AG517" s="848">
        <f>IF('Input Sheet'!$C$15="Yes",'Input Sheet'!$F$8,0)</f>
        <v>0</v>
      </c>
      <c r="AH517" s="846">
        <f>IF('Input Sheet'!$C$15="Yes",Rates!$E$45,0)</f>
        <v>0</v>
      </c>
      <c r="AI517" s="849">
        <f>IF('Input Sheet'!$C$15="Yes",'Input Sheet'!$F$11,0)</f>
        <v>0</v>
      </c>
      <c r="AJ517" s="850">
        <f>IF('Input Sheet'!$C$15="Yes",'Input Sheet'!$F$7,0)</f>
        <v>0</v>
      </c>
      <c r="AK517" s="856">
        <f t="shared" si="79"/>
        <v>0</v>
      </c>
      <c r="AL517" s="856">
        <f t="shared" si="80"/>
        <v>0</v>
      </c>
      <c r="AM517" s="856">
        <f t="shared" si="86"/>
        <v>0</v>
      </c>
      <c r="AN517" s="856">
        <f t="shared" si="81"/>
        <v>0</v>
      </c>
      <c r="AO517" s="852">
        <f t="shared" si="87"/>
        <v>0</v>
      </c>
      <c r="AP517" s="853">
        <f t="shared" si="88"/>
        <v>0</v>
      </c>
      <c r="AQ517" s="854">
        <f>IFERROR(P517*'Input Sheet'!$F$8/(((AI517)*AK517*2)-AN517),0)</f>
        <v>0</v>
      </c>
      <c r="AR517" s="854">
        <f>IFERROR(($P517-$AF517)*'Input Sheet'!$F$8/(((AI517)*AK517*2)-AN517),0)</f>
        <v>0</v>
      </c>
    </row>
    <row r="518" spans="2:44" s="798" customFormat="1" ht="30" customHeight="1" thickBot="1" x14ac:dyDescent="0.3">
      <c r="B518" s="835"/>
      <c r="C518" s="836"/>
      <c r="D518" s="836"/>
      <c r="E518" s="837"/>
      <c r="F518" s="837"/>
      <c r="G518" s="838"/>
      <c r="H518" s="838"/>
      <c r="I518" s="839"/>
      <c r="J518" s="839"/>
      <c r="K518" s="840"/>
      <c r="L518" s="841"/>
      <c r="M518" s="841"/>
      <c r="N518" s="842"/>
      <c r="O518" s="842"/>
      <c r="P518" s="843"/>
      <c r="Q518" s="843"/>
      <c r="R518" s="843"/>
      <c r="S518" s="844">
        <f t="shared" si="82"/>
        <v>0</v>
      </c>
      <c r="T518" s="838"/>
      <c r="U518" s="842"/>
      <c r="V518" s="843"/>
      <c r="W518" s="843"/>
      <c r="X518" s="843"/>
      <c r="Y518" s="843"/>
      <c r="Z518" s="843"/>
      <c r="AA518" s="837"/>
      <c r="AB518" s="837"/>
      <c r="AC518" s="845">
        <f t="shared" si="83"/>
        <v>0</v>
      </c>
      <c r="AD518" s="846">
        <f t="shared" si="84"/>
        <v>0</v>
      </c>
      <c r="AE518" s="847">
        <f t="shared" si="85"/>
        <v>0</v>
      </c>
      <c r="AF518" s="855">
        <f t="shared" si="78"/>
        <v>0</v>
      </c>
      <c r="AG518" s="848">
        <f>IF('Input Sheet'!$C$15="Yes",'Input Sheet'!$F$8,0)</f>
        <v>0</v>
      </c>
      <c r="AH518" s="846">
        <f>IF('Input Sheet'!$C$15="Yes",Rates!$E$45,0)</f>
        <v>0</v>
      </c>
      <c r="AI518" s="849">
        <f>IF('Input Sheet'!$C$15="Yes",'Input Sheet'!$F$11,0)</f>
        <v>0</v>
      </c>
      <c r="AJ518" s="850">
        <f>IF('Input Sheet'!$C$15="Yes",'Input Sheet'!$F$7,0)</f>
        <v>0</v>
      </c>
      <c r="AK518" s="856">
        <f t="shared" si="79"/>
        <v>0</v>
      </c>
      <c r="AL518" s="856">
        <f t="shared" si="80"/>
        <v>0</v>
      </c>
      <c r="AM518" s="856">
        <f t="shared" si="86"/>
        <v>0</v>
      </c>
      <c r="AN518" s="856">
        <f t="shared" si="81"/>
        <v>0</v>
      </c>
      <c r="AO518" s="852">
        <f t="shared" si="87"/>
        <v>0</v>
      </c>
      <c r="AP518" s="853">
        <f t="shared" si="88"/>
        <v>0</v>
      </c>
      <c r="AQ518" s="854">
        <f>IFERROR(P518*'Input Sheet'!$F$8/(((AI518)*AK518*2)-AN518),0)</f>
        <v>0</v>
      </c>
      <c r="AR518" s="854">
        <f>IFERROR(($P518-$AF518)*'Input Sheet'!$F$8/(((AI518)*AK518*2)-AN518),0)</f>
        <v>0</v>
      </c>
    </row>
    <row r="519" spans="2:44" s="798" customFormat="1" ht="30" customHeight="1" thickBot="1" x14ac:dyDescent="0.3">
      <c r="B519" s="835"/>
      <c r="C519" s="836"/>
      <c r="D519" s="836"/>
      <c r="E519" s="837"/>
      <c r="F519" s="837"/>
      <c r="G519" s="838"/>
      <c r="H519" s="838"/>
      <c r="I519" s="839"/>
      <c r="J519" s="839"/>
      <c r="K519" s="840"/>
      <c r="L519" s="841"/>
      <c r="M519" s="841"/>
      <c r="N519" s="842"/>
      <c r="O519" s="842"/>
      <c r="P519" s="843"/>
      <c r="Q519" s="843"/>
      <c r="R519" s="843"/>
      <c r="S519" s="844">
        <f t="shared" si="82"/>
        <v>0</v>
      </c>
      <c r="T519" s="838"/>
      <c r="U519" s="842"/>
      <c r="V519" s="843"/>
      <c r="W519" s="843"/>
      <c r="X519" s="843"/>
      <c r="Y519" s="843"/>
      <c r="Z519" s="843"/>
      <c r="AA519" s="837"/>
      <c r="AB519" s="837"/>
      <c r="AC519" s="845">
        <f t="shared" si="83"/>
        <v>0</v>
      </c>
      <c r="AD519" s="846">
        <f t="shared" si="84"/>
        <v>0</v>
      </c>
      <c r="AE519" s="847">
        <f t="shared" si="85"/>
        <v>0</v>
      </c>
      <c r="AF519" s="855">
        <f t="shared" si="78"/>
        <v>0</v>
      </c>
      <c r="AG519" s="848">
        <f>IF('Input Sheet'!$C$15="Yes",'Input Sheet'!$F$8,0)</f>
        <v>0</v>
      </c>
      <c r="AH519" s="846">
        <f>IF('Input Sheet'!$C$15="Yes",Rates!$E$45,0)</f>
        <v>0</v>
      </c>
      <c r="AI519" s="849">
        <f>IF('Input Sheet'!$C$15="Yes",'Input Sheet'!$F$11,0)</f>
        <v>0</v>
      </c>
      <c r="AJ519" s="850">
        <f>IF('Input Sheet'!$C$15="Yes",'Input Sheet'!$F$7,0)</f>
        <v>0</v>
      </c>
      <c r="AK519" s="856">
        <f t="shared" si="79"/>
        <v>0</v>
      </c>
      <c r="AL519" s="856">
        <f t="shared" si="80"/>
        <v>0</v>
      </c>
      <c r="AM519" s="856">
        <f t="shared" si="86"/>
        <v>0</v>
      </c>
      <c r="AN519" s="856">
        <f t="shared" si="81"/>
        <v>0</v>
      </c>
      <c r="AO519" s="852">
        <f t="shared" si="87"/>
        <v>0</v>
      </c>
      <c r="AP519" s="853">
        <f t="shared" si="88"/>
        <v>0</v>
      </c>
      <c r="AQ519" s="854">
        <f>IFERROR(P519*'Input Sheet'!$F$8/(((AI519)*AK519*2)-AN519),0)</f>
        <v>0</v>
      </c>
      <c r="AR519" s="854">
        <f>IFERROR(($P519-$AF519)*'Input Sheet'!$F$8/(((AI519)*AK519*2)-AN519),0)</f>
        <v>0</v>
      </c>
    </row>
    <row r="520" spans="2:44" s="798" customFormat="1" ht="30" customHeight="1" thickBot="1" x14ac:dyDescent="0.3">
      <c r="B520" s="835"/>
      <c r="C520" s="836"/>
      <c r="D520" s="836"/>
      <c r="E520" s="837"/>
      <c r="F520" s="837"/>
      <c r="G520" s="838"/>
      <c r="H520" s="838"/>
      <c r="I520" s="839"/>
      <c r="J520" s="839"/>
      <c r="K520" s="840"/>
      <c r="L520" s="841"/>
      <c r="M520" s="841"/>
      <c r="N520" s="842"/>
      <c r="O520" s="842"/>
      <c r="P520" s="843"/>
      <c r="Q520" s="843"/>
      <c r="R520" s="843"/>
      <c r="S520" s="844">
        <f t="shared" si="82"/>
        <v>0</v>
      </c>
      <c r="T520" s="838"/>
      <c r="U520" s="842"/>
      <c r="V520" s="843"/>
      <c r="W520" s="843"/>
      <c r="X520" s="843"/>
      <c r="Y520" s="843"/>
      <c r="Z520" s="843"/>
      <c r="AA520" s="837"/>
      <c r="AB520" s="837"/>
      <c r="AC520" s="845">
        <f t="shared" si="83"/>
        <v>0</v>
      </c>
      <c r="AD520" s="846">
        <f t="shared" si="84"/>
        <v>0</v>
      </c>
      <c r="AE520" s="847">
        <f t="shared" si="85"/>
        <v>0</v>
      </c>
      <c r="AF520" s="855">
        <f t="shared" si="78"/>
        <v>0</v>
      </c>
      <c r="AG520" s="848">
        <f>IF('Input Sheet'!$C$15="Yes",'Input Sheet'!$F$8,0)</f>
        <v>0</v>
      </c>
      <c r="AH520" s="846">
        <f>IF('Input Sheet'!$C$15="Yes",Rates!$E$45,0)</f>
        <v>0</v>
      </c>
      <c r="AI520" s="849">
        <f>IF('Input Sheet'!$C$15="Yes",'Input Sheet'!$F$11,0)</f>
        <v>0</v>
      </c>
      <c r="AJ520" s="850">
        <f>IF('Input Sheet'!$C$15="Yes",'Input Sheet'!$F$7,0)</f>
        <v>0</v>
      </c>
      <c r="AK520" s="856">
        <f t="shared" si="79"/>
        <v>0</v>
      </c>
      <c r="AL520" s="856">
        <f t="shared" si="80"/>
        <v>0</v>
      </c>
      <c r="AM520" s="856">
        <f t="shared" si="86"/>
        <v>0</v>
      </c>
      <c r="AN520" s="856">
        <f t="shared" si="81"/>
        <v>0</v>
      </c>
      <c r="AO520" s="852">
        <f t="shared" si="87"/>
        <v>0</v>
      </c>
      <c r="AP520" s="853">
        <f t="shared" si="88"/>
        <v>0</v>
      </c>
      <c r="AQ520" s="854">
        <f>IFERROR(P520*'Input Sheet'!$F$8/(((AI520)*AK520*2)-AN520),0)</f>
        <v>0</v>
      </c>
      <c r="AR520" s="854">
        <f>IFERROR(($P520-$AF520)*'Input Sheet'!$F$8/(((AI520)*AK520*2)-AN520),0)</f>
        <v>0</v>
      </c>
    </row>
    <row r="521" spans="2:44" s="798" customFormat="1" ht="30" customHeight="1" thickBot="1" x14ac:dyDescent="0.3">
      <c r="B521" s="835"/>
      <c r="C521" s="836"/>
      <c r="D521" s="836"/>
      <c r="E521" s="837"/>
      <c r="F521" s="837"/>
      <c r="G521" s="838"/>
      <c r="H521" s="838"/>
      <c r="I521" s="839"/>
      <c r="J521" s="839"/>
      <c r="K521" s="840"/>
      <c r="L521" s="841"/>
      <c r="M521" s="841"/>
      <c r="N521" s="842"/>
      <c r="O521" s="842"/>
      <c r="P521" s="843"/>
      <c r="Q521" s="843"/>
      <c r="R521" s="843"/>
      <c r="S521" s="844">
        <f t="shared" si="82"/>
        <v>0</v>
      </c>
      <c r="T521" s="838"/>
      <c r="U521" s="842"/>
      <c r="V521" s="843"/>
      <c r="W521" s="843"/>
      <c r="X521" s="843"/>
      <c r="Y521" s="843"/>
      <c r="Z521" s="843"/>
      <c r="AA521" s="837"/>
      <c r="AB521" s="837"/>
      <c r="AC521" s="845">
        <f t="shared" si="83"/>
        <v>0</v>
      </c>
      <c r="AD521" s="846">
        <f t="shared" si="84"/>
        <v>0</v>
      </c>
      <c r="AE521" s="847">
        <f t="shared" si="85"/>
        <v>0</v>
      </c>
      <c r="AF521" s="855">
        <f t="shared" ref="AF521:AF584" si="89">SUM($Q521:$W521)</f>
        <v>0</v>
      </c>
      <c r="AG521" s="848">
        <f>IF('Input Sheet'!$C$15="Yes",'Input Sheet'!$F$8,0)</f>
        <v>0</v>
      </c>
      <c r="AH521" s="846">
        <f>IF('Input Sheet'!$C$15="Yes",Rates!$E$45,0)</f>
        <v>0</v>
      </c>
      <c r="AI521" s="849">
        <f>IF('Input Sheet'!$C$15="Yes",'Input Sheet'!$F$11,0)</f>
        <v>0</v>
      </c>
      <c r="AJ521" s="850">
        <f>IF('Input Sheet'!$C$15="Yes",'Input Sheet'!$F$7,0)</f>
        <v>0</v>
      </c>
      <c r="AK521" s="856">
        <f t="shared" ref="AK521:AK584" si="90">L521*S521</f>
        <v>0</v>
      </c>
      <c r="AL521" s="856">
        <f t="shared" ref="AL521:AL584" si="91">(AK521)-(AK521*AH521)-(AK521*AP521*(AJ521/12))</f>
        <v>0</v>
      </c>
      <c r="AM521" s="856">
        <f t="shared" si="86"/>
        <v>0</v>
      </c>
      <c r="AN521" s="856">
        <f t="shared" ref="AN521:AN584" si="92">AK521*AP521*AJ521/12</f>
        <v>0</v>
      </c>
      <c r="AO521" s="852">
        <f t="shared" si="87"/>
        <v>0</v>
      </c>
      <c r="AP521" s="853">
        <f t="shared" si="88"/>
        <v>0</v>
      </c>
      <c r="AQ521" s="854">
        <f>IFERROR(P521*'Input Sheet'!$F$8/(((AI521)*AK521*2)-AN521),0)</f>
        <v>0</v>
      </c>
      <c r="AR521" s="854">
        <f>IFERROR(($P521-$AF521)*'Input Sheet'!$F$8/(((AI521)*AK521*2)-AN521),0)</f>
        <v>0</v>
      </c>
    </row>
    <row r="522" spans="2:44" s="798" customFormat="1" ht="30" customHeight="1" thickBot="1" x14ac:dyDescent="0.3">
      <c r="B522" s="835"/>
      <c r="C522" s="836"/>
      <c r="D522" s="836"/>
      <c r="E522" s="837"/>
      <c r="F522" s="837"/>
      <c r="G522" s="838"/>
      <c r="H522" s="838"/>
      <c r="I522" s="839"/>
      <c r="J522" s="839"/>
      <c r="K522" s="840"/>
      <c r="L522" s="841"/>
      <c r="M522" s="841"/>
      <c r="N522" s="842"/>
      <c r="O522" s="842"/>
      <c r="P522" s="843"/>
      <c r="Q522" s="843"/>
      <c r="R522" s="843"/>
      <c r="S522" s="844">
        <f t="shared" ref="S522:S585" si="93">IFERROR(M522/L522,0)</f>
        <v>0</v>
      </c>
      <c r="T522" s="838"/>
      <c r="U522" s="842"/>
      <c r="V522" s="843"/>
      <c r="W522" s="843"/>
      <c r="X522" s="843"/>
      <c r="Y522" s="843"/>
      <c r="Z522" s="843"/>
      <c r="AA522" s="837"/>
      <c r="AB522" s="837"/>
      <c r="AC522" s="845">
        <f t="shared" ref="AC522:AC585" si="94">IFERROR(L522/K522,0)</f>
        <v>0</v>
      </c>
      <c r="AD522" s="846">
        <f t="shared" ref="AD522:AD585" si="95">IFERROR(P522*12/L522,0)</f>
        <v>0</v>
      </c>
      <c r="AE522" s="847">
        <f t="shared" ref="AE522:AE585" si="96">IFERROR(P522*12/K522,0)</f>
        <v>0</v>
      </c>
      <c r="AF522" s="855">
        <f t="shared" si="89"/>
        <v>0</v>
      </c>
      <c r="AG522" s="848">
        <f>IF('Input Sheet'!$C$15="Yes",'Input Sheet'!$F$8,0)</f>
        <v>0</v>
      </c>
      <c r="AH522" s="846">
        <f>IF('Input Sheet'!$C$15="Yes",Rates!$E$45,0)</f>
        <v>0</v>
      </c>
      <c r="AI522" s="849">
        <f>IF('Input Sheet'!$C$15="Yes",'Input Sheet'!$F$11,0)</f>
        <v>0</v>
      </c>
      <c r="AJ522" s="850">
        <f>IF('Input Sheet'!$C$15="Yes",'Input Sheet'!$F$7,0)</f>
        <v>0</v>
      </c>
      <c r="AK522" s="856">
        <f t="shared" si="90"/>
        <v>0</v>
      </c>
      <c r="AL522" s="856">
        <f t="shared" si="91"/>
        <v>0</v>
      </c>
      <c r="AM522" s="856">
        <f t="shared" ref="AM522:AM585" si="97">(AL522)+(AK522*0.75%)</f>
        <v>0</v>
      </c>
      <c r="AN522" s="856">
        <f t="shared" si="92"/>
        <v>0</v>
      </c>
      <c r="AO522" s="852">
        <f t="shared" ref="AO522:AO585" si="98">IFERROR(AM522/L522,0)</f>
        <v>0</v>
      </c>
      <c r="AP522" s="853">
        <f t="shared" ref="AP522:AP585" si="99">AI522</f>
        <v>0</v>
      </c>
      <c r="AQ522" s="854">
        <f>IFERROR(P522*'Input Sheet'!$F$8/(((AI522)*AK522*2)-AN522),0)</f>
        <v>0</v>
      </c>
      <c r="AR522" s="854">
        <f>IFERROR(($P522-$AF522)*'Input Sheet'!$F$8/(((AI522)*AK522*2)-AN522),0)</f>
        <v>0</v>
      </c>
    </row>
    <row r="523" spans="2:44" s="798" customFormat="1" ht="30" customHeight="1" thickBot="1" x14ac:dyDescent="0.3">
      <c r="B523" s="835"/>
      <c r="C523" s="836"/>
      <c r="D523" s="836"/>
      <c r="E523" s="837"/>
      <c r="F523" s="837"/>
      <c r="G523" s="838"/>
      <c r="H523" s="838"/>
      <c r="I523" s="839"/>
      <c r="J523" s="839"/>
      <c r="K523" s="840"/>
      <c r="L523" s="841"/>
      <c r="M523" s="841"/>
      <c r="N523" s="842"/>
      <c r="O523" s="842"/>
      <c r="P523" s="843"/>
      <c r="Q523" s="843"/>
      <c r="R523" s="843"/>
      <c r="S523" s="844">
        <f t="shared" si="93"/>
        <v>0</v>
      </c>
      <c r="T523" s="838"/>
      <c r="U523" s="842"/>
      <c r="V523" s="843"/>
      <c r="W523" s="843"/>
      <c r="X523" s="843"/>
      <c r="Y523" s="843"/>
      <c r="Z523" s="843"/>
      <c r="AA523" s="837"/>
      <c r="AB523" s="837"/>
      <c r="AC523" s="845">
        <f t="shared" si="94"/>
        <v>0</v>
      </c>
      <c r="AD523" s="846">
        <f t="shared" si="95"/>
        <v>0</v>
      </c>
      <c r="AE523" s="847">
        <f t="shared" si="96"/>
        <v>0</v>
      </c>
      <c r="AF523" s="855">
        <f t="shared" si="89"/>
        <v>0</v>
      </c>
      <c r="AG523" s="848">
        <f>IF('Input Sheet'!$C$15="Yes",'Input Sheet'!$F$8,0)</f>
        <v>0</v>
      </c>
      <c r="AH523" s="846">
        <f>IF('Input Sheet'!$C$15="Yes",Rates!$E$45,0)</f>
        <v>0</v>
      </c>
      <c r="AI523" s="849">
        <f>IF('Input Sheet'!$C$15="Yes",'Input Sheet'!$F$11,0)</f>
        <v>0</v>
      </c>
      <c r="AJ523" s="850">
        <f>IF('Input Sheet'!$C$15="Yes",'Input Sheet'!$F$7,0)</f>
        <v>0</v>
      </c>
      <c r="AK523" s="856">
        <f t="shared" si="90"/>
        <v>0</v>
      </c>
      <c r="AL523" s="856">
        <f t="shared" si="91"/>
        <v>0</v>
      </c>
      <c r="AM523" s="856">
        <f t="shared" si="97"/>
        <v>0</v>
      </c>
      <c r="AN523" s="856">
        <f t="shared" si="92"/>
        <v>0</v>
      </c>
      <c r="AO523" s="852">
        <f t="shared" si="98"/>
        <v>0</v>
      </c>
      <c r="AP523" s="853">
        <f t="shared" si="99"/>
        <v>0</v>
      </c>
      <c r="AQ523" s="854">
        <f>IFERROR(P523*'Input Sheet'!$F$8/(((AI523)*AK523*2)-AN523),0)</f>
        <v>0</v>
      </c>
      <c r="AR523" s="854">
        <f>IFERROR(($P523-$AF523)*'Input Sheet'!$F$8/(((AI523)*AK523*2)-AN523),0)</f>
        <v>0</v>
      </c>
    </row>
    <row r="524" spans="2:44" s="798" customFormat="1" ht="30" customHeight="1" thickBot="1" x14ac:dyDescent="0.3">
      <c r="B524" s="835"/>
      <c r="C524" s="836"/>
      <c r="D524" s="836"/>
      <c r="E524" s="837"/>
      <c r="F524" s="837"/>
      <c r="G524" s="838"/>
      <c r="H524" s="838"/>
      <c r="I524" s="839"/>
      <c r="J524" s="839"/>
      <c r="K524" s="840"/>
      <c r="L524" s="841"/>
      <c r="M524" s="841"/>
      <c r="N524" s="842"/>
      <c r="O524" s="842"/>
      <c r="P524" s="843"/>
      <c r="Q524" s="843"/>
      <c r="R524" s="843"/>
      <c r="S524" s="844">
        <f t="shared" si="93"/>
        <v>0</v>
      </c>
      <c r="T524" s="838"/>
      <c r="U524" s="842"/>
      <c r="V524" s="843"/>
      <c r="W524" s="843"/>
      <c r="X524" s="843"/>
      <c r="Y524" s="843"/>
      <c r="Z524" s="843"/>
      <c r="AA524" s="837"/>
      <c r="AB524" s="837"/>
      <c r="AC524" s="845">
        <f t="shared" si="94"/>
        <v>0</v>
      </c>
      <c r="AD524" s="846">
        <f t="shared" si="95"/>
        <v>0</v>
      </c>
      <c r="AE524" s="847">
        <f t="shared" si="96"/>
        <v>0</v>
      </c>
      <c r="AF524" s="855">
        <f t="shared" si="89"/>
        <v>0</v>
      </c>
      <c r="AG524" s="848">
        <f>IF('Input Sheet'!$C$15="Yes",'Input Sheet'!$F$8,0)</f>
        <v>0</v>
      </c>
      <c r="AH524" s="846">
        <f>IF('Input Sheet'!$C$15="Yes",Rates!$E$45,0)</f>
        <v>0</v>
      </c>
      <c r="AI524" s="849">
        <f>IF('Input Sheet'!$C$15="Yes",'Input Sheet'!$F$11,0)</f>
        <v>0</v>
      </c>
      <c r="AJ524" s="850">
        <f>IF('Input Sheet'!$C$15="Yes",'Input Sheet'!$F$7,0)</f>
        <v>0</v>
      </c>
      <c r="AK524" s="856">
        <f t="shared" si="90"/>
        <v>0</v>
      </c>
      <c r="AL524" s="856">
        <f t="shared" si="91"/>
        <v>0</v>
      </c>
      <c r="AM524" s="856">
        <f t="shared" si="97"/>
        <v>0</v>
      </c>
      <c r="AN524" s="856">
        <f t="shared" si="92"/>
        <v>0</v>
      </c>
      <c r="AO524" s="852">
        <f t="shared" si="98"/>
        <v>0</v>
      </c>
      <c r="AP524" s="853">
        <f t="shared" si="99"/>
        <v>0</v>
      </c>
      <c r="AQ524" s="854">
        <f>IFERROR(P524*'Input Sheet'!$F$8/(((AI524)*AK524*2)-AN524),0)</f>
        <v>0</v>
      </c>
      <c r="AR524" s="854">
        <f>IFERROR(($P524-$AF524)*'Input Sheet'!$F$8/(((AI524)*AK524*2)-AN524),0)</f>
        <v>0</v>
      </c>
    </row>
    <row r="525" spans="2:44" s="798" customFormat="1" ht="30" customHeight="1" thickBot="1" x14ac:dyDescent="0.3">
      <c r="B525" s="835"/>
      <c r="C525" s="836"/>
      <c r="D525" s="836"/>
      <c r="E525" s="837"/>
      <c r="F525" s="837"/>
      <c r="G525" s="838"/>
      <c r="H525" s="838"/>
      <c r="I525" s="839"/>
      <c r="J525" s="839"/>
      <c r="K525" s="840"/>
      <c r="L525" s="841"/>
      <c r="M525" s="841"/>
      <c r="N525" s="842"/>
      <c r="O525" s="842"/>
      <c r="P525" s="843"/>
      <c r="Q525" s="843"/>
      <c r="R525" s="843"/>
      <c r="S525" s="844">
        <f t="shared" si="93"/>
        <v>0</v>
      </c>
      <c r="T525" s="838"/>
      <c r="U525" s="842"/>
      <c r="V525" s="843"/>
      <c r="W525" s="843"/>
      <c r="X525" s="843"/>
      <c r="Y525" s="843"/>
      <c r="Z525" s="843"/>
      <c r="AA525" s="837"/>
      <c r="AB525" s="837"/>
      <c r="AC525" s="845">
        <f t="shared" si="94"/>
        <v>0</v>
      </c>
      <c r="AD525" s="846">
        <f t="shared" si="95"/>
        <v>0</v>
      </c>
      <c r="AE525" s="847">
        <f t="shared" si="96"/>
        <v>0</v>
      </c>
      <c r="AF525" s="855">
        <f t="shared" si="89"/>
        <v>0</v>
      </c>
      <c r="AG525" s="848">
        <f>IF('Input Sheet'!$C$15="Yes",'Input Sheet'!$F$8,0)</f>
        <v>0</v>
      </c>
      <c r="AH525" s="846">
        <f>IF('Input Sheet'!$C$15="Yes",Rates!$E$45,0)</f>
        <v>0</v>
      </c>
      <c r="AI525" s="849">
        <f>IF('Input Sheet'!$C$15="Yes",'Input Sheet'!$F$11,0)</f>
        <v>0</v>
      </c>
      <c r="AJ525" s="850">
        <f>IF('Input Sheet'!$C$15="Yes",'Input Sheet'!$F$7,0)</f>
        <v>0</v>
      </c>
      <c r="AK525" s="856">
        <f t="shared" si="90"/>
        <v>0</v>
      </c>
      <c r="AL525" s="856">
        <f t="shared" si="91"/>
        <v>0</v>
      </c>
      <c r="AM525" s="856">
        <f t="shared" si="97"/>
        <v>0</v>
      </c>
      <c r="AN525" s="856">
        <f t="shared" si="92"/>
        <v>0</v>
      </c>
      <c r="AO525" s="852">
        <f t="shared" si="98"/>
        <v>0</v>
      </c>
      <c r="AP525" s="853">
        <f t="shared" si="99"/>
        <v>0</v>
      </c>
      <c r="AQ525" s="854">
        <f>IFERROR(P525*'Input Sheet'!$F$8/(((AI525)*AK525*2)-AN525),0)</f>
        <v>0</v>
      </c>
      <c r="AR525" s="854">
        <f>IFERROR(($P525-$AF525)*'Input Sheet'!$F$8/(((AI525)*AK525*2)-AN525),0)</f>
        <v>0</v>
      </c>
    </row>
    <row r="526" spans="2:44" s="798" customFormat="1" ht="30" customHeight="1" thickBot="1" x14ac:dyDescent="0.3">
      <c r="B526" s="835"/>
      <c r="C526" s="836"/>
      <c r="D526" s="836"/>
      <c r="E526" s="837"/>
      <c r="F526" s="837"/>
      <c r="G526" s="838"/>
      <c r="H526" s="838"/>
      <c r="I526" s="839"/>
      <c r="J526" s="839"/>
      <c r="K526" s="840"/>
      <c r="L526" s="841"/>
      <c r="M526" s="841"/>
      <c r="N526" s="842"/>
      <c r="O526" s="842"/>
      <c r="P526" s="843"/>
      <c r="Q526" s="843"/>
      <c r="R526" s="843"/>
      <c r="S526" s="844">
        <f t="shared" si="93"/>
        <v>0</v>
      </c>
      <c r="T526" s="838"/>
      <c r="U526" s="842"/>
      <c r="V526" s="843"/>
      <c r="W526" s="843"/>
      <c r="X526" s="843"/>
      <c r="Y526" s="843"/>
      <c r="Z526" s="843"/>
      <c r="AA526" s="837"/>
      <c r="AB526" s="837"/>
      <c r="AC526" s="845">
        <f t="shared" si="94"/>
        <v>0</v>
      </c>
      <c r="AD526" s="846">
        <f t="shared" si="95"/>
        <v>0</v>
      </c>
      <c r="AE526" s="847">
        <f t="shared" si="96"/>
        <v>0</v>
      </c>
      <c r="AF526" s="855">
        <f t="shared" si="89"/>
        <v>0</v>
      </c>
      <c r="AG526" s="848">
        <f>IF('Input Sheet'!$C$15="Yes",'Input Sheet'!$F$8,0)</f>
        <v>0</v>
      </c>
      <c r="AH526" s="846">
        <f>IF('Input Sheet'!$C$15="Yes",Rates!$E$45,0)</f>
        <v>0</v>
      </c>
      <c r="AI526" s="849">
        <f>IF('Input Sheet'!$C$15="Yes",'Input Sheet'!$F$11,0)</f>
        <v>0</v>
      </c>
      <c r="AJ526" s="850">
        <f>IF('Input Sheet'!$C$15="Yes",'Input Sheet'!$F$7,0)</f>
        <v>0</v>
      </c>
      <c r="AK526" s="856">
        <f t="shared" si="90"/>
        <v>0</v>
      </c>
      <c r="AL526" s="856">
        <f t="shared" si="91"/>
        <v>0</v>
      </c>
      <c r="AM526" s="856">
        <f t="shared" si="97"/>
        <v>0</v>
      </c>
      <c r="AN526" s="856">
        <f t="shared" si="92"/>
        <v>0</v>
      </c>
      <c r="AO526" s="852">
        <f t="shared" si="98"/>
        <v>0</v>
      </c>
      <c r="AP526" s="853">
        <f t="shared" si="99"/>
        <v>0</v>
      </c>
      <c r="AQ526" s="854">
        <f>IFERROR(P526*'Input Sheet'!$F$8/(((AI526)*AK526*2)-AN526),0)</f>
        <v>0</v>
      </c>
      <c r="AR526" s="854">
        <f>IFERROR(($P526-$AF526)*'Input Sheet'!$F$8/(((AI526)*AK526*2)-AN526),0)</f>
        <v>0</v>
      </c>
    </row>
    <row r="527" spans="2:44" s="798" customFormat="1" ht="30" customHeight="1" thickBot="1" x14ac:dyDescent="0.3">
      <c r="B527" s="835"/>
      <c r="C527" s="836"/>
      <c r="D527" s="836"/>
      <c r="E527" s="837"/>
      <c r="F527" s="837"/>
      <c r="G527" s="838"/>
      <c r="H527" s="838"/>
      <c r="I527" s="839"/>
      <c r="J527" s="839"/>
      <c r="K527" s="840"/>
      <c r="L527" s="841"/>
      <c r="M527" s="841"/>
      <c r="N527" s="842"/>
      <c r="O527" s="842"/>
      <c r="P527" s="843"/>
      <c r="Q527" s="843"/>
      <c r="R527" s="843"/>
      <c r="S527" s="844">
        <f t="shared" si="93"/>
        <v>0</v>
      </c>
      <c r="T527" s="838"/>
      <c r="U527" s="842"/>
      <c r="V527" s="843"/>
      <c r="W527" s="843"/>
      <c r="X527" s="843"/>
      <c r="Y527" s="843"/>
      <c r="Z527" s="843"/>
      <c r="AA527" s="837"/>
      <c r="AB527" s="837"/>
      <c r="AC527" s="845">
        <f t="shared" si="94"/>
        <v>0</v>
      </c>
      <c r="AD527" s="846">
        <f t="shared" si="95"/>
        <v>0</v>
      </c>
      <c r="AE527" s="847">
        <f t="shared" si="96"/>
        <v>0</v>
      </c>
      <c r="AF527" s="855">
        <f t="shared" si="89"/>
        <v>0</v>
      </c>
      <c r="AG527" s="848">
        <f>IF('Input Sheet'!$C$15="Yes",'Input Sheet'!$F$8,0)</f>
        <v>0</v>
      </c>
      <c r="AH527" s="846">
        <f>IF('Input Sheet'!$C$15="Yes",Rates!$E$45,0)</f>
        <v>0</v>
      </c>
      <c r="AI527" s="849">
        <f>IF('Input Sheet'!$C$15="Yes",'Input Sheet'!$F$11,0)</f>
        <v>0</v>
      </c>
      <c r="AJ527" s="850">
        <f>IF('Input Sheet'!$C$15="Yes",'Input Sheet'!$F$7,0)</f>
        <v>0</v>
      </c>
      <c r="AK527" s="856">
        <f t="shared" si="90"/>
        <v>0</v>
      </c>
      <c r="AL527" s="856">
        <f t="shared" si="91"/>
        <v>0</v>
      </c>
      <c r="AM527" s="856">
        <f t="shared" si="97"/>
        <v>0</v>
      </c>
      <c r="AN527" s="856">
        <f t="shared" si="92"/>
        <v>0</v>
      </c>
      <c r="AO527" s="852">
        <f t="shared" si="98"/>
        <v>0</v>
      </c>
      <c r="AP527" s="853">
        <f t="shared" si="99"/>
        <v>0</v>
      </c>
      <c r="AQ527" s="854">
        <f>IFERROR(P527*'Input Sheet'!$F$8/(((AI527)*AK527*2)-AN527),0)</f>
        <v>0</v>
      </c>
      <c r="AR527" s="854">
        <f>IFERROR(($P527-$AF527)*'Input Sheet'!$F$8/(((AI527)*AK527*2)-AN527),0)</f>
        <v>0</v>
      </c>
    </row>
    <row r="528" spans="2:44" s="798" customFormat="1" ht="30" customHeight="1" thickBot="1" x14ac:dyDescent="0.3">
      <c r="B528" s="835"/>
      <c r="C528" s="836"/>
      <c r="D528" s="836"/>
      <c r="E528" s="837"/>
      <c r="F528" s="837"/>
      <c r="G528" s="838"/>
      <c r="H528" s="838"/>
      <c r="I528" s="839"/>
      <c r="J528" s="839"/>
      <c r="K528" s="840"/>
      <c r="L528" s="841"/>
      <c r="M528" s="841"/>
      <c r="N528" s="842"/>
      <c r="O528" s="842"/>
      <c r="P528" s="843"/>
      <c r="Q528" s="843"/>
      <c r="R528" s="843"/>
      <c r="S528" s="844">
        <f t="shared" si="93"/>
        <v>0</v>
      </c>
      <c r="T528" s="838"/>
      <c r="U528" s="842"/>
      <c r="V528" s="843"/>
      <c r="W528" s="843"/>
      <c r="X528" s="843"/>
      <c r="Y528" s="843"/>
      <c r="Z528" s="843"/>
      <c r="AA528" s="837"/>
      <c r="AB528" s="837"/>
      <c r="AC528" s="845">
        <f t="shared" si="94"/>
        <v>0</v>
      </c>
      <c r="AD528" s="846">
        <f t="shared" si="95"/>
        <v>0</v>
      </c>
      <c r="AE528" s="847">
        <f t="shared" si="96"/>
        <v>0</v>
      </c>
      <c r="AF528" s="855">
        <f t="shared" si="89"/>
        <v>0</v>
      </c>
      <c r="AG528" s="848">
        <f>IF('Input Sheet'!$C$15="Yes",'Input Sheet'!$F$8,0)</f>
        <v>0</v>
      </c>
      <c r="AH528" s="846">
        <f>IF('Input Sheet'!$C$15="Yes",Rates!$E$45,0)</f>
        <v>0</v>
      </c>
      <c r="AI528" s="849">
        <f>IF('Input Sheet'!$C$15="Yes",'Input Sheet'!$F$11,0)</f>
        <v>0</v>
      </c>
      <c r="AJ528" s="850">
        <f>IF('Input Sheet'!$C$15="Yes",'Input Sheet'!$F$7,0)</f>
        <v>0</v>
      </c>
      <c r="AK528" s="856">
        <f t="shared" si="90"/>
        <v>0</v>
      </c>
      <c r="AL528" s="856">
        <f t="shared" si="91"/>
        <v>0</v>
      </c>
      <c r="AM528" s="856">
        <f t="shared" si="97"/>
        <v>0</v>
      </c>
      <c r="AN528" s="856">
        <f t="shared" si="92"/>
        <v>0</v>
      </c>
      <c r="AO528" s="852">
        <f t="shared" si="98"/>
        <v>0</v>
      </c>
      <c r="AP528" s="853">
        <f t="shared" si="99"/>
        <v>0</v>
      </c>
      <c r="AQ528" s="854">
        <f>IFERROR(P528*'Input Sheet'!$F$8/(((AI528)*AK528*2)-AN528),0)</f>
        <v>0</v>
      </c>
      <c r="AR528" s="854">
        <f>IFERROR(($P528-$AF528)*'Input Sheet'!$F$8/(((AI528)*AK528*2)-AN528),0)</f>
        <v>0</v>
      </c>
    </row>
    <row r="529" spans="2:44" s="798" customFormat="1" ht="30" customHeight="1" thickBot="1" x14ac:dyDescent="0.3">
      <c r="B529" s="835"/>
      <c r="C529" s="836"/>
      <c r="D529" s="836"/>
      <c r="E529" s="837"/>
      <c r="F529" s="837"/>
      <c r="G529" s="838"/>
      <c r="H529" s="838"/>
      <c r="I529" s="839"/>
      <c r="J529" s="839"/>
      <c r="K529" s="840"/>
      <c r="L529" s="841"/>
      <c r="M529" s="841"/>
      <c r="N529" s="842"/>
      <c r="O529" s="842"/>
      <c r="P529" s="843"/>
      <c r="Q529" s="843"/>
      <c r="R529" s="843"/>
      <c r="S529" s="844">
        <f t="shared" si="93"/>
        <v>0</v>
      </c>
      <c r="T529" s="838"/>
      <c r="U529" s="842"/>
      <c r="V529" s="843"/>
      <c r="W529" s="843"/>
      <c r="X529" s="843"/>
      <c r="Y529" s="843"/>
      <c r="Z529" s="843"/>
      <c r="AA529" s="837"/>
      <c r="AB529" s="837"/>
      <c r="AC529" s="845">
        <f t="shared" si="94"/>
        <v>0</v>
      </c>
      <c r="AD529" s="846">
        <f t="shared" si="95"/>
        <v>0</v>
      </c>
      <c r="AE529" s="847">
        <f t="shared" si="96"/>
        <v>0</v>
      </c>
      <c r="AF529" s="855">
        <f t="shared" si="89"/>
        <v>0</v>
      </c>
      <c r="AG529" s="848">
        <f>IF('Input Sheet'!$C$15="Yes",'Input Sheet'!$F$8,0)</f>
        <v>0</v>
      </c>
      <c r="AH529" s="846">
        <f>IF('Input Sheet'!$C$15="Yes",Rates!$E$45,0)</f>
        <v>0</v>
      </c>
      <c r="AI529" s="849">
        <f>IF('Input Sheet'!$C$15="Yes",'Input Sheet'!$F$11,0)</f>
        <v>0</v>
      </c>
      <c r="AJ529" s="850">
        <f>IF('Input Sheet'!$C$15="Yes",'Input Sheet'!$F$7,0)</f>
        <v>0</v>
      </c>
      <c r="AK529" s="856">
        <f t="shared" si="90"/>
        <v>0</v>
      </c>
      <c r="AL529" s="856">
        <f t="shared" si="91"/>
        <v>0</v>
      </c>
      <c r="AM529" s="856">
        <f t="shared" si="97"/>
        <v>0</v>
      </c>
      <c r="AN529" s="856">
        <f t="shared" si="92"/>
        <v>0</v>
      </c>
      <c r="AO529" s="852">
        <f t="shared" si="98"/>
        <v>0</v>
      </c>
      <c r="AP529" s="853">
        <f t="shared" si="99"/>
        <v>0</v>
      </c>
      <c r="AQ529" s="854">
        <f>IFERROR(P529*'Input Sheet'!$F$8/(((AI529)*AK529*2)-AN529),0)</f>
        <v>0</v>
      </c>
      <c r="AR529" s="854">
        <f>IFERROR(($P529-$AF529)*'Input Sheet'!$F$8/(((AI529)*AK529*2)-AN529),0)</f>
        <v>0</v>
      </c>
    </row>
    <row r="530" spans="2:44" s="798" customFormat="1" ht="30" customHeight="1" thickBot="1" x14ac:dyDescent="0.3">
      <c r="B530" s="835"/>
      <c r="C530" s="836"/>
      <c r="D530" s="836"/>
      <c r="E530" s="837"/>
      <c r="F530" s="837"/>
      <c r="G530" s="838"/>
      <c r="H530" s="838"/>
      <c r="I530" s="839"/>
      <c r="J530" s="839"/>
      <c r="K530" s="840"/>
      <c r="L530" s="841"/>
      <c r="M530" s="841"/>
      <c r="N530" s="842"/>
      <c r="O530" s="842"/>
      <c r="P530" s="843"/>
      <c r="Q530" s="843"/>
      <c r="R530" s="843"/>
      <c r="S530" s="844">
        <f t="shared" si="93"/>
        <v>0</v>
      </c>
      <c r="T530" s="838"/>
      <c r="U530" s="842"/>
      <c r="V530" s="843"/>
      <c r="W530" s="843"/>
      <c r="X530" s="843"/>
      <c r="Y530" s="843"/>
      <c r="Z530" s="843"/>
      <c r="AA530" s="837"/>
      <c r="AB530" s="837"/>
      <c r="AC530" s="845">
        <f t="shared" si="94"/>
        <v>0</v>
      </c>
      <c r="AD530" s="846">
        <f t="shared" si="95"/>
        <v>0</v>
      </c>
      <c r="AE530" s="847">
        <f t="shared" si="96"/>
        <v>0</v>
      </c>
      <c r="AF530" s="855">
        <f t="shared" si="89"/>
        <v>0</v>
      </c>
      <c r="AG530" s="848">
        <f>IF('Input Sheet'!$C$15="Yes",'Input Sheet'!$F$8,0)</f>
        <v>0</v>
      </c>
      <c r="AH530" s="846">
        <f>IF('Input Sheet'!$C$15="Yes",Rates!$E$45,0)</f>
        <v>0</v>
      </c>
      <c r="AI530" s="849">
        <f>IF('Input Sheet'!$C$15="Yes",'Input Sheet'!$F$11,0)</f>
        <v>0</v>
      </c>
      <c r="AJ530" s="850">
        <f>IF('Input Sheet'!$C$15="Yes",'Input Sheet'!$F$7,0)</f>
        <v>0</v>
      </c>
      <c r="AK530" s="856">
        <f t="shared" si="90"/>
        <v>0</v>
      </c>
      <c r="AL530" s="856">
        <f t="shared" si="91"/>
        <v>0</v>
      </c>
      <c r="AM530" s="856">
        <f t="shared" si="97"/>
        <v>0</v>
      </c>
      <c r="AN530" s="856">
        <f t="shared" si="92"/>
        <v>0</v>
      </c>
      <c r="AO530" s="852">
        <f t="shared" si="98"/>
        <v>0</v>
      </c>
      <c r="AP530" s="853">
        <f t="shared" si="99"/>
        <v>0</v>
      </c>
      <c r="AQ530" s="854">
        <f>IFERROR(P530*'Input Sheet'!$F$8/(((AI530)*AK530*2)-AN530),0)</f>
        <v>0</v>
      </c>
      <c r="AR530" s="854">
        <f>IFERROR(($P530-$AF530)*'Input Sheet'!$F$8/(((AI530)*AK530*2)-AN530),0)</f>
        <v>0</v>
      </c>
    </row>
    <row r="531" spans="2:44" s="798" customFormat="1" ht="30" customHeight="1" thickBot="1" x14ac:dyDescent="0.3">
      <c r="B531" s="835"/>
      <c r="C531" s="836"/>
      <c r="D531" s="836"/>
      <c r="E531" s="837"/>
      <c r="F531" s="837"/>
      <c r="G531" s="838"/>
      <c r="H531" s="838"/>
      <c r="I531" s="839"/>
      <c r="J531" s="839"/>
      <c r="K531" s="840"/>
      <c r="L531" s="841"/>
      <c r="M531" s="841"/>
      <c r="N531" s="842"/>
      <c r="O531" s="842"/>
      <c r="P531" s="843"/>
      <c r="Q531" s="843"/>
      <c r="R531" s="843"/>
      <c r="S531" s="844">
        <f t="shared" si="93"/>
        <v>0</v>
      </c>
      <c r="T531" s="838"/>
      <c r="U531" s="842"/>
      <c r="V531" s="843"/>
      <c r="W531" s="843"/>
      <c r="X531" s="843"/>
      <c r="Y531" s="843"/>
      <c r="Z531" s="843"/>
      <c r="AA531" s="837"/>
      <c r="AB531" s="837"/>
      <c r="AC531" s="845">
        <f t="shared" si="94"/>
        <v>0</v>
      </c>
      <c r="AD531" s="846">
        <f t="shared" si="95"/>
        <v>0</v>
      </c>
      <c r="AE531" s="847">
        <f t="shared" si="96"/>
        <v>0</v>
      </c>
      <c r="AF531" s="855">
        <f t="shared" si="89"/>
        <v>0</v>
      </c>
      <c r="AG531" s="848">
        <f>IF('Input Sheet'!$C$15="Yes",'Input Sheet'!$F$8,0)</f>
        <v>0</v>
      </c>
      <c r="AH531" s="846">
        <f>IF('Input Sheet'!$C$15="Yes",Rates!$E$45,0)</f>
        <v>0</v>
      </c>
      <c r="AI531" s="849">
        <f>IF('Input Sheet'!$C$15="Yes",'Input Sheet'!$F$11,0)</f>
        <v>0</v>
      </c>
      <c r="AJ531" s="850">
        <f>IF('Input Sheet'!$C$15="Yes",'Input Sheet'!$F$7,0)</f>
        <v>0</v>
      </c>
      <c r="AK531" s="856">
        <f t="shared" si="90"/>
        <v>0</v>
      </c>
      <c r="AL531" s="856">
        <f t="shared" si="91"/>
        <v>0</v>
      </c>
      <c r="AM531" s="856">
        <f t="shared" si="97"/>
        <v>0</v>
      </c>
      <c r="AN531" s="856">
        <f t="shared" si="92"/>
        <v>0</v>
      </c>
      <c r="AO531" s="852">
        <f t="shared" si="98"/>
        <v>0</v>
      </c>
      <c r="AP531" s="853">
        <f t="shared" si="99"/>
        <v>0</v>
      </c>
      <c r="AQ531" s="854">
        <f>IFERROR(P531*'Input Sheet'!$F$8/(((AI531)*AK531*2)-AN531),0)</f>
        <v>0</v>
      </c>
      <c r="AR531" s="854">
        <f>IFERROR(($P531-$AF531)*'Input Sheet'!$F$8/(((AI531)*AK531*2)-AN531),0)</f>
        <v>0</v>
      </c>
    </row>
    <row r="532" spans="2:44" s="798" customFormat="1" ht="30" customHeight="1" thickBot="1" x14ac:dyDescent="0.3">
      <c r="B532" s="835"/>
      <c r="C532" s="836"/>
      <c r="D532" s="836"/>
      <c r="E532" s="837"/>
      <c r="F532" s="837"/>
      <c r="G532" s="838"/>
      <c r="H532" s="838"/>
      <c r="I532" s="839"/>
      <c r="J532" s="839"/>
      <c r="K532" s="840"/>
      <c r="L532" s="841"/>
      <c r="M532" s="841"/>
      <c r="N532" s="842"/>
      <c r="O532" s="842"/>
      <c r="P532" s="843"/>
      <c r="Q532" s="843"/>
      <c r="R532" s="843"/>
      <c r="S532" s="844">
        <f t="shared" si="93"/>
        <v>0</v>
      </c>
      <c r="T532" s="838"/>
      <c r="U532" s="842"/>
      <c r="V532" s="843"/>
      <c r="W532" s="843"/>
      <c r="X532" s="843"/>
      <c r="Y532" s="843"/>
      <c r="Z532" s="843"/>
      <c r="AA532" s="837"/>
      <c r="AB532" s="837"/>
      <c r="AC532" s="845">
        <f t="shared" si="94"/>
        <v>0</v>
      </c>
      <c r="AD532" s="846">
        <f t="shared" si="95"/>
        <v>0</v>
      </c>
      <c r="AE532" s="847">
        <f t="shared" si="96"/>
        <v>0</v>
      </c>
      <c r="AF532" s="855">
        <f t="shared" si="89"/>
        <v>0</v>
      </c>
      <c r="AG532" s="848">
        <f>IF('Input Sheet'!$C$15="Yes",'Input Sheet'!$F$8,0)</f>
        <v>0</v>
      </c>
      <c r="AH532" s="846">
        <f>IF('Input Sheet'!$C$15="Yes",Rates!$E$45,0)</f>
        <v>0</v>
      </c>
      <c r="AI532" s="849">
        <f>IF('Input Sheet'!$C$15="Yes",'Input Sheet'!$F$11,0)</f>
        <v>0</v>
      </c>
      <c r="AJ532" s="850">
        <f>IF('Input Sheet'!$C$15="Yes",'Input Sheet'!$F$7,0)</f>
        <v>0</v>
      </c>
      <c r="AK532" s="856">
        <f t="shared" si="90"/>
        <v>0</v>
      </c>
      <c r="AL532" s="856">
        <f t="shared" si="91"/>
        <v>0</v>
      </c>
      <c r="AM532" s="856">
        <f t="shared" si="97"/>
        <v>0</v>
      </c>
      <c r="AN532" s="856">
        <f t="shared" si="92"/>
        <v>0</v>
      </c>
      <c r="AO532" s="852">
        <f t="shared" si="98"/>
        <v>0</v>
      </c>
      <c r="AP532" s="853">
        <f t="shared" si="99"/>
        <v>0</v>
      </c>
      <c r="AQ532" s="854">
        <f>IFERROR(P532*'Input Sheet'!$F$8/(((AI532)*AK532*2)-AN532),0)</f>
        <v>0</v>
      </c>
      <c r="AR532" s="854">
        <f>IFERROR(($P532-$AF532)*'Input Sheet'!$F$8/(((AI532)*AK532*2)-AN532),0)</f>
        <v>0</v>
      </c>
    </row>
    <row r="533" spans="2:44" s="798" customFormat="1" ht="30" customHeight="1" thickBot="1" x14ac:dyDescent="0.3">
      <c r="B533" s="835"/>
      <c r="C533" s="836"/>
      <c r="D533" s="836"/>
      <c r="E533" s="837"/>
      <c r="F533" s="837"/>
      <c r="G533" s="838"/>
      <c r="H533" s="838"/>
      <c r="I533" s="839"/>
      <c r="J533" s="839"/>
      <c r="K533" s="840"/>
      <c r="L533" s="841"/>
      <c r="M533" s="841"/>
      <c r="N533" s="842"/>
      <c r="O533" s="842"/>
      <c r="P533" s="843"/>
      <c r="Q533" s="843"/>
      <c r="R533" s="843"/>
      <c r="S533" s="844">
        <f t="shared" si="93"/>
        <v>0</v>
      </c>
      <c r="T533" s="838"/>
      <c r="U533" s="842"/>
      <c r="V533" s="843"/>
      <c r="W533" s="843"/>
      <c r="X533" s="843"/>
      <c r="Y533" s="843"/>
      <c r="Z533" s="843"/>
      <c r="AA533" s="837"/>
      <c r="AB533" s="837"/>
      <c r="AC533" s="845">
        <f t="shared" si="94"/>
        <v>0</v>
      </c>
      <c r="AD533" s="846">
        <f t="shared" si="95"/>
        <v>0</v>
      </c>
      <c r="AE533" s="847">
        <f t="shared" si="96"/>
        <v>0</v>
      </c>
      <c r="AF533" s="855">
        <f t="shared" si="89"/>
        <v>0</v>
      </c>
      <c r="AG533" s="848">
        <f>IF('Input Sheet'!$C$15="Yes",'Input Sheet'!$F$8,0)</f>
        <v>0</v>
      </c>
      <c r="AH533" s="846">
        <f>IF('Input Sheet'!$C$15="Yes",Rates!$E$45,0)</f>
        <v>0</v>
      </c>
      <c r="AI533" s="849">
        <f>IF('Input Sheet'!$C$15="Yes",'Input Sheet'!$F$11,0)</f>
        <v>0</v>
      </c>
      <c r="AJ533" s="850">
        <f>IF('Input Sheet'!$C$15="Yes",'Input Sheet'!$F$7,0)</f>
        <v>0</v>
      </c>
      <c r="AK533" s="856">
        <f t="shared" si="90"/>
        <v>0</v>
      </c>
      <c r="AL533" s="856">
        <f t="shared" si="91"/>
        <v>0</v>
      </c>
      <c r="AM533" s="856">
        <f t="shared" si="97"/>
        <v>0</v>
      </c>
      <c r="AN533" s="856">
        <f t="shared" si="92"/>
        <v>0</v>
      </c>
      <c r="AO533" s="852">
        <f t="shared" si="98"/>
        <v>0</v>
      </c>
      <c r="AP533" s="853">
        <f t="shared" si="99"/>
        <v>0</v>
      </c>
      <c r="AQ533" s="854">
        <f>IFERROR(P533*'Input Sheet'!$F$8/(((AI533)*AK533*2)-AN533),0)</f>
        <v>0</v>
      </c>
      <c r="AR533" s="854">
        <f>IFERROR(($P533-$AF533)*'Input Sheet'!$F$8/(((AI533)*AK533*2)-AN533),0)</f>
        <v>0</v>
      </c>
    </row>
    <row r="534" spans="2:44" s="798" customFormat="1" ht="30" customHeight="1" thickBot="1" x14ac:dyDescent="0.3">
      <c r="B534" s="835"/>
      <c r="C534" s="836"/>
      <c r="D534" s="836"/>
      <c r="E534" s="837"/>
      <c r="F534" s="837"/>
      <c r="G534" s="838"/>
      <c r="H534" s="838"/>
      <c r="I534" s="839"/>
      <c r="J534" s="839"/>
      <c r="K534" s="840"/>
      <c r="L534" s="841"/>
      <c r="M534" s="841"/>
      <c r="N534" s="842"/>
      <c r="O534" s="842"/>
      <c r="P534" s="843"/>
      <c r="Q534" s="843"/>
      <c r="R534" s="843"/>
      <c r="S534" s="844">
        <f t="shared" si="93"/>
        <v>0</v>
      </c>
      <c r="T534" s="838"/>
      <c r="U534" s="842"/>
      <c r="V534" s="843"/>
      <c r="W534" s="843"/>
      <c r="X534" s="843"/>
      <c r="Y534" s="843"/>
      <c r="Z534" s="843"/>
      <c r="AA534" s="837"/>
      <c r="AB534" s="837"/>
      <c r="AC534" s="845">
        <f t="shared" si="94"/>
        <v>0</v>
      </c>
      <c r="AD534" s="846">
        <f t="shared" si="95"/>
        <v>0</v>
      </c>
      <c r="AE534" s="847">
        <f t="shared" si="96"/>
        <v>0</v>
      </c>
      <c r="AF534" s="855">
        <f t="shared" si="89"/>
        <v>0</v>
      </c>
      <c r="AG534" s="848">
        <f>IF('Input Sheet'!$C$15="Yes",'Input Sheet'!$F$8,0)</f>
        <v>0</v>
      </c>
      <c r="AH534" s="846">
        <f>IF('Input Sheet'!$C$15="Yes",Rates!$E$45,0)</f>
        <v>0</v>
      </c>
      <c r="AI534" s="849">
        <f>IF('Input Sheet'!$C$15="Yes",'Input Sheet'!$F$11,0)</f>
        <v>0</v>
      </c>
      <c r="AJ534" s="850">
        <f>IF('Input Sheet'!$C$15="Yes",'Input Sheet'!$F$7,0)</f>
        <v>0</v>
      </c>
      <c r="AK534" s="856">
        <f t="shared" si="90"/>
        <v>0</v>
      </c>
      <c r="AL534" s="856">
        <f t="shared" si="91"/>
        <v>0</v>
      </c>
      <c r="AM534" s="856">
        <f t="shared" si="97"/>
        <v>0</v>
      </c>
      <c r="AN534" s="856">
        <f t="shared" si="92"/>
        <v>0</v>
      </c>
      <c r="AO534" s="852">
        <f t="shared" si="98"/>
        <v>0</v>
      </c>
      <c r="AP534" s="853">
        <f t="shared" si="99"/>
        <v>0</v>
      </c>
      <c r="AQ534" s="854">
        <f>IFERROR(P534*'Input Sheet'!$F$8/(((AI534)*AK534*2)-AN534),0)</f>
        <v>0</v>
      </c>
      <c r="AR534" s="854">
        <f>IFERROR(($P534-$AF534)*'Input Sheet'!$F$8/(((AI534)*AK534*2)-AN534),0)</f>
        <v>0</v>
      </c>
    </row>
    <row r="535" spans="2:44" s="798" customFormat="1" ht="30" customHeight="1" thickBot="1" x14ac:dyDescent="0.3">
      <c r="B535" s="835"/>
      <c r="C535" s="836"/>
      <c r="D535" s="836"/>
      <c r="E535" s="837"/>
      <c r="F535" s="837"/>
      <c r="G535" s="838"/>
      <c r="H535" s="838"/>
      <c r="I535" s="839"/>
      <c r="J535" s="839"/>
      <c r="K535" s="840"/>
      <c r="L535" s="841"/>
      <c r="M535" s="841"/>
      <c r="N535" s="842"/>
      <c r="O535" s="842"/>
      <c r="P535" s="843"/>
      <c r="Q535" s="843"/>
      <c r="R535" s="843"/>
      <c r="S535" s="844">
        <f t="shared" si="93"/>
        <v>0</v>
      </c>
      <c r="T535" s="838"/>
      <c r="U535" s="842"/>
      <c r="V535" s="843"/>
      <c r="W535" s="843"/>
      <c r="X535" s="843"/>
      <c r="Y535" s="843"/>
      <c r="Z535" s="843"/>
      <c r="AA535" s="837"/>
      <c r="AB535" s="837"/>
      <c r="AC535" s="845">
        <f t="shared" si="94"/>
        <v>0</v>
      </c>
      <c r="AD535" s="846">
        <f t="shared" si="95"/>
        <v>0</v>
      </c>
      <c r="AE535" s="847">
        <f t="shared" si="96"/>
        <v>0</v>
      </c>
      <c r="AF535" s="855">
        <f t="shared" si="89"/>
        <v>0</v>
      </c>
      <c r="AG535" s="848">
        <f>IF('Input Sheet'!$C$15="Yes",'Input Sheet'!$F$8,0)</f>
        <v>0</v>
      </c>
      <c r="AH535" s="846">
        <f>IF('Input Sheet'!$C$15="Yes",Rates!$E$45,0)</f>
        <v>0</v>
      </c>
      <c r="AI535" s="849">
        <f>IF('Input Sheet'!$C$15="Yes",'Input Sheet'!$F$11,0)</f>
        <v>0</v>
      </c>
      <c r="AJ535" s="850">
        <f>IF('Input Sheet'!$C$15="Yes",'Input Sheet'!$F$7,0)</f>
        <v>0</v>
      </c>
      <c r="AK535" s="856">
        <f t="shared" si="90"/>
        <v>0</v>
      </c>
      <c r="AL535" s="856">
        <f t="shared" si="91"/>
        <v>0</v>
      </c>
      <c r="AM535" s="856">
        <f t="shared" si="97"/>
        <v>0</v>
      </c>
      <c r="AN535" s="856">
        <f t="shared" si="92"/>
        <v>0</v>
      </c>
      <c r="AO535" s="852">
        <f t="shared" si="98"/>
        <v>0</v>
      </c>
      <c r="AP535" s="853">
        <f t="shared" si="99"/>
        <v>0</v>
      </c>
      <c r="AQ535" s="854">
        <f>IFERROR(P535*'Input Sheet'!$F$8/(((AI535)*AK535*2)-AN535),0)</f>
        <v>0</v>
      </c>
      <c r="AR535" s="854">
        <f>IFERROR(($P535-$AF535)*'Input Sheet'!$F$8/(((AI535)*AK535*2)-AN535),0)</f>
        <v>0</v>
      </c>
    </row>
    <row r="536" spans="2:44" s="798" customFormat="1" ht="30" customHeight="1" thickBot="1" x14ac:dyDescent="0.3">
      <c r="B536" s="835"/>
      <c r="C536" s="836"/>
      <c r="D536" s="836"/>
      <c r="E536" s="837"/>
      <c r="F536" s="837"/>
      <c r="G536" s="838"/>
      <c r="H536" s="838"/>
      <c r="I536" s="839"/>
      <c r="J536" s="839"/>
      <c r="K536" s="840"/>
      <c r="L536" s="841"/>
      <c r="M536" s="841"/>
      <c r="N536" s="842"/>
      <c r="O536" s="842"/>
      <c r="P536" s="843"/>
      <c r="Q536" s="843"/>
      <c r="R536" s="843"/>
      <c r="S536" s="844">
        <f t="shared" si="93"/>
        <v>0</v>
      </c>
      <c r="T536" s="838"/>
      <c r="U536" s="842"/>
      <c r="V536" s="843"/>
      <c r="W536" s="843"/>
      <c r="X536" s="843"/>
      <c r="Y536" s="843"/>
      <c r="Z536" s="843"/>
      <c r="AA536" s="837"/>
      <c r="AB536" s="837"/>
      <c r="AC536" s="845">
        <f t="shared" si="94"/>
        <v>0</v>
      </c>
      <c r="AD536" s="846">
        <f t="shared" si="95"/>
        <v>0</v>
      </c>
      <c r="AE536" s="847">
        <f t="shared" si="96"/>
        <v>0</v>
      </c>
      <c r="AF536" s="855">
        <f t="shared" si="89"/>
        <v>0</v>
      </c>
      <c r="AG536" s="848">
        <f>IF('Input Sheet'!$C$15="Yes",'Input Sheet'!$F$8,0)</f>
        <v>0</v>
      </c>
      <c r="AH536" s="846">
        <f>IF('Input Sheet'!$C$15="Yes",Rates!$E$45,0)</f>
        <v>0</v>
      </c>
      <c r="AI536" s="849">
        <f>IF('Input Sheet'!$C$15="Yes",'Input Sheet'!$F$11,0)</f>
        <v>0</v>
      </c>
      <c r="AJ536" s="850">
        <f>IF('Input Sheet'!$C$15="Yes",'Input Sheet'!$F$7,0)</f>
        <v>0</v>
      </c>
      <c r="AK536" s="856">
        <f t="shared" si="90"/>
        <v>0</v>
      </c>
      <c r="AL536" s="856">
        <f t="shared" si="91"/>
        <v>0</v>
      </c>
      <c r="AM536" s="856">
        <f t="shared" si="97"/>
        <v>0</v>
      </c>
      <c r="AN536" s="856">
        <f t="shared" si="92"/>
        <v>0</v>
      </c>
      <c r="AO536" s="852">
        <f t="shared" si="98"/>
        <v>0</v>
      </c>
      <c r="AP536" s="853">
        <f t="shared" si="99"/>
        <v>0</v>
      </c>
      <c r="AQ536" s="854">
        <f>IFERROR(P536*'Input Sheet'!$F$8/(((AI536)*AK536*2)-AN536),0)</f>
        <v>0</v>
      </c>
      <c r="AR536" s="854">
        <f>IFERROR(($P536-$AF536)*'Input Sheet'!$F$8/(((AI536)*AK536*2)-AN536),0)</f>
        <v>0</v>
      </c>
    </row>
    <row r="537" spans="2:44" s="798" customFormat="1" ht="30" customHeight="1" thickBot="1" x14ac:dyDescent="0.3">
      <c r="B537" s="835"/>
      <c r="C537" s="836"/>
      <c r="D537" s="836"/>
      <c r="E537" s="837"/>
      <c r="F537" s="837"/>
      <c r="G537" s="838"/>
      <c r="H537" s="838"/>
      <c r="I537" s="839"/>
      <c r="J537" s="839"/>
      <c r="K537" s="840"/>
      <c r="L537" s="841"/>
      <c r="M537" s="841"/>
      <c r="N537" s="842"/>
      <c r="O537" s="842"/>
      <c r="P537" s="843"/>
      <c r="Q537" s="843"/>
      <c r="R537" s="843"/>
      <c r="S537" s="844">
        <f t="shared" si="93"/>
        <v>0</v>
      </c>
      <c r="T537" s="838"/>
      <c r="U537" s="842"/>
      <c r="V537" s="843"/>
      <c r="W537" s="843"/>
      <c r="X537" s="843"/>
      <c r="Y537" s="843"/>
      <c r="Z537" s="843"/>
      <c r="AA537" s="837"/>
      <c r="AB537" s="837"/>
      <c r="AC537" s="845">
        <f t="shared" si="94"/>
        <v>0</v>
      </c>
      <c r="AD537" s="846">
        <f t="shared" si="95"/>
        <v>0</v>
      </c>
      <c r="AE537" s="847">
        <f t="shared" si="96"/>
        <v>0</v>
      </c>
      <c r="AF537" s="855">
        <f t="shared" si="89"/>
        <v>0</v>
      </c>
      <c r="AG537" s="848">
        <f>IF('Input Sheet'!$C$15="Yes",'Input Sheet'!$F$8,0)</f>
        <v>0</v>
      </c>
      <c r="AH537" s="846">
        <f>IF('Input Sheet'!$C$15="Yes",Rates!$E$45,0)</f>
        <v>0</v>
      </c>
      <c r="AI537" s="849">
        <f>IF('Input Sheet'!$C$15="Yes",'Input Sheet'!$F$11,0)</f>
        <v>0</v>
      </c>
      <c r="AJ537" s="850">
        <f>IF('Input Sheet'!$C$15="Yes",'Input Sheet'!$F$7,0)</f>
        <v>0</v>
      </c>
      <c r="AK537" s="856">
        <f t="shared" si="90"/>
        <v>0</v>
      </c>
      <c r="AL537" s="856">
        <f t="shared" si="91"/>
        <v>0</v>
      </c>
      <c r="AM537" s="856">
        <f t="shared" si="97"/>
        <v>0</v>
      </c>
      <c r="AN537" s="856">
        <f t="shared" si="92"/>
        <v>0</v>
      </c>
      <c r="AO537" s="852">
        <f t="shared" si="98"/>
        <v>0</v>
      </c>
      <c r="AP537" s="853">
        <f t="shared" si="99"/>
        <v>0</v>
      </c>
      <c r="AQ537" s="854">
        <f>IFERROR(P537*'Input Sheet'!$F$8/(((AI537)*AK537*2)-AN537),0)</f>
        <v>0</v>
      </c>
      <c r="AR537" s="854">
        <f>IFERROR(($P537-$AF537)*'Input Sheet'!$F$8/(((AI537)*AK537*2)-AN537),0)</f>
        <v>0</v>
      </c>
    </row>
    <row r="538" spans="2:44" s="798" customFormat="1" ht="30" customHeight="1" thickBot="1" x14ac:dyDescent="0.3">
      <c r="B538" s="835"/>
      <c r="C538" s="836"/>
      <c r="D538" s="836"/>
      <c r="E538" s="837"/>
      <c r="F538" s="837"/>
      <c r="G538" s="838"/>
      <c r="H538" s="838"/>
      <c r="I538" s="839"/>
      <c r="J538" s="839"/>
      <c r="K538" s="840"/>
      <c r="L538" s="841"/>
      <c r="M538" s="841"/>
      <c r="N538" s="842"/>
      <c r="O538" s="842"/>
      <c r="P538" s="843"/>
      <c r="Q538" s="843"/>
      <c r="R538" s="843"/>
      <c r="S538" s="844">
        <f t="shared" si="93"/>
        <v>0</v>
      </c>
      <c r="T538" s="838"/>
      <c r="U538" s="842"/>
      <c r="V538" s="843"/>
      <c r="W538" s="843"/>
      <c r="X538" s="843"/>
      <c r="Y538" s="843"/>
      <c r="Z538" s="843"/>
      <c r="AA538" s="837"/>
      <c r="AB538" s="837"/>
      <c r="AC538" s="845">
        <f t="shared" si="94"/>
        <v>0</v>
      </c>
      <c r="AD538" s="846">
        <f t="shared" si="95"/>
        <v>0</v>
      </c>
      <c r="AE538" s="847">
        <f t="shared" si="96"/>
        <v>0</v>
      </c>
      <c r="AF538" s="855">
        <f t="shared" si="89"/>
        <v>0</v>
      </c>
      <c r="AG538" s="848">
        <f>IF('Input Sheet'!$C$15="Yes",'Input Sheet'!$F$8,0)</f>
        <v>0</v>
      </c>
      <c r="AH538" s="846">
        <f>IF('Input Sheet'!$C$15="Yes",Rates!$E$45,0)</f>
        <v>0</v>
      </c>
      <c r="AI538" s="849">
        <f>IF('Input Sheet'!$C$15="Yes",'Input Sheet'!$F$11,0)</f>
        <v>0</v>
      </c>
      <c r="AJ538" s="850">
        <f>IF('Input Sheet'!$C$15="Yes",'Input Sheet'!$F$7,0)</f>
        <v>0</v>
      </c>
      <c r="AK538" s="856">
        <f t="shared" si="90"/>
        <v>0</v>
      </c>
      <c r="AL538" s="856">
        <f t="shared" si="91"/>
        <v>0</v>
      </c>
      <c r="AM538" s="856">
        <f t="shared" si="97"/>
        <v>0</v>
      </c>
      <c r="AN538" s="856">
        <f t="shared" si="92"/>
        <v>0</v>
      </c>
      <c r="AO538" s="852">
        <f t="shared" si="98"/>
        <v>0</v>
      </c>
      <c r="AP538" s="853">
        <f t="shared" si="99"/>
        <v>0</v>
      </c>
      <c r="AQ538" s="854">
        <f>IFERROR(P538*'Input Sheet'!$F$8/(((AI538)*AK538*2)-AN538),0)</f>
        <v>0</v>
      </c>
      <c r="AR538" s="854">
        <f>IFERROR(($P538-$AF538)*'Input Sheet'!$F$8/(((AI538)*AK538*2)-AN538),0)</f>
        <v>0</v>
      </c>
    </row>
    <row r="539" spans="2:44" s="798" customFormat="1" ht="30" customHeight="1" thickBot="1" x14ac:dyDescent="0.3">
      <c r="B539" s="835"/>
      <c r="C539" s="836"/>
      <c r="D539" s="836"/>
      <c r="E539" s="837"/>
      <c r="F539" s="837"/>
      <c r="G539" s="838"/>
      <c r="H539" s="838"/>
      <c r="I539" s="839"/>
      <c r="J539" s="839"/>
      <c r="K539" s="840"/>
      <c r="L539" s="841"/>
      <c r="M539" s="841"/>
      <c r="N539" s="842"/>
      <c r="O539" s="842"/>
      <c r="P539" s="843"/>
      <c r="Q539" s="843"/>
      <c r="R539" s="843"/>
      <c r="S539" s="844">
        <f t="shared" si="93"/>
        <v>0</v>
      </c>
      <c r="T539" s="838"/>
      <c r="U539" s="842"/>
      <c r="V539" s="843"/>
      <c r="W539" s="843"/>
      <c r="X539" s="843"/>
      <c r="Y539" s="843"/>
      <c r="Z539" s="843"/>
      <c r="AA539" s="837"/>
      <c r="AB539" s="837"/>
      <c r="AC539" s="845">
        <f t="shared" si="94"/>
        <v>0</v>
      </c>
      <c r="AD539" s="846">
        <f t="shared" si="95"/>
        <v>0</v>
      </c>
      <c r="AE539" s="847">
        <f t="shared" si="96"/>
        <v>0</v>
      </c>
      <c r="AF539" s="855">
        <f t="shared" si="89"/>
        <v>0</v>
      </c>
      <c r="AG539" s="848">
        <f>IF('Input Sheet'!$C$15="Yes",'Input Sheet'!$F$8,0)</f>
        <v>0</v>
      </c>
      <c r="AH539" s="846">
        <f>IF('Input Sheet'!$C$15="Yes",Rates!$E$45,0)</f>
        <v>0</v>
      </c>
      <c r="AI539" s="849">
        <f>IF('Input Sheet'!$C$15="Yes",'Input Sheet'!$F$11,0)</f>
        <v>0</v>
      </c>
      <c r="AJ539" s="850">
        <f>IF('Input Sheet'!$C$15="Yes",'Input Sheet'!$F$7,0)</f>
        <v>0</v>
      </c>
      <c r="AK539" s="856">
        <f t="shared" si="90"/>
        <v>0</v>
      </c>
      <c r="AL539" s="856">
        <f t="shared" si="91"/>
        <v>0</v>
      </c>
      <c r="AM539" s="856">
        <f t="shared" si="97"/>
        <v>0</v>
      </c>
      <c r="AN539" s="856">
        <f t="shared" si="92"/>
        <v>0</v>
      </c>
      <c r="AO539" s="852">
        <f t="shared" si="98"/>
        <v>0</v>
      </c>
      <c r="AP539" s="853">
        <f t="shared" si="99"/>
        <v>0</v>
      </c>
      <c r="AQ539" s="854">
        <f>IFERROR(P539*'Input Sheet'!$F$8/(((AI539)*AK539*2)-AN539),0)</f>
        <v>0</v>
      </c>
      <c r="AR539" s="854">
        <f>IFERROR(($P539-$AF539)*'Input Sheet'!$F$8/(((AI539)*AK539*2)-AN539),0)</f>
        <v>0</v>
      </c>
    </row>
    <row r="540" spans="2:44" s="798" customFormat="1" ht="30" customHeight="1" thickBot="1" x14ac:dyDescent="0.3">
      <c r="B540" s="835"/>
      <c r="C540" s="836"/>
      <c r="D540" s="836"/>
      <c r="E540" s="837"/>
      <c r="F540" s="837"/>
      <c r="G540" s="838"/>
      <c r="H540" s="838"/>
      <c r="I540" s="839"/>
      <c r="J540" s="839"/>
      <c r="K540" s="840"/>
      <c r="L540" s="841"/>
      <c r="M540" s="841"/>
      <c r="N540" s="842"/>
      <c r="O540" s="842"/>
      <c r="P540" s="843"/>
      <c r="Q540" s="843"/>
      <c r="R540" s="843"/>
      <c r="S540" s="844">
        <f t="shared" si="93"/>
        <v>0</v>
      </c>
      <c r="T540" s="838"/>
      <c r="U540" s="842"/>
      <c r="V540" s="843"/>
      <c r="W540" s="843"/>
      <c r="X540" s="843"/>
      <c r="Y540" s="843"/>
      <c r="Z540" s="843"/>
      <c r="AA540" s="837"/>
      <c r="AB540" s="837"/>
      <c r="AC540" s="845">
        <f t="shared" si="94"/>
        <v>0</v>
      </c>
      <c r="AD540" s="846">
        <f t="shared" si="95"/>
        <v>0</v>
      </c>
      <c r="AE540" s="847">
        <f t="shared" si="96"/>
        <v>0</v>
      </c>
      <c r="AF540" s="855">
        <f t="shared" si="89"/>
        <v>0</v>
      </c>
      <c r="AG540" s="848">
        <f>IF('Input Sheet'!$C$15="Yes",'Input Sheet'!$F$8,0)</f>
        <v>0</v>
      </c>
      <c r="AH540" s="846">
        <f>IF('Input Sheet'!$C$15="Yes",Rates!$E$45,0)</f>
        <v>0</v>
      </c>
      <c r="AI540" s="849">
        <f>IF('Input Sheet'!$C$15="Yes",'Input Sheet'!$F$11,0)</f>
        <v>0</v>
      </c>
      <c r="AJ540" s="850">
        <f>IF('Input Sheet'!$C$15="Yes",'Input Sheet'!$F$7,0)</f>
        <v>0</v>
      </c>
      <c r="AK540" s="856">
        <f t="shared" si="90"/>
        <v>0</v>
      </c>
      <c r="AL540" s="856">
        <f t="shared" si="91"/>
        <v>0</v>
      </c>
      <c r="AM540" s="856">
        <f t="shared" si="97"/>
        <v>0</v>
      </c>
      <c r="AN540" s="856">
        <f t="shared" si="92"/>
        <v>0</v>
      </c>
      <c r="AO540" s="852">
        <f t="shared" si="98"/>
        <v>0</v>
      </c>
      <c r="AP540" s="853">
        <f t="shared" si="99"/>
        <v>0</v>
      </c>
      <c r="AQ540" s="854">
        <f>IFERROR(P540*'Input Sheet'!$F$8/(((AI540)*AK540*2)-AN540),0)</f>
        <v>0</v>
      </c>
      <c r="AR540" s="854">
        <f>IFERROR(($P540-$AF540)*'Input Sheet'!$F$8/(((AI540)*AK540*2)-AN540),0)</f>
        <v>0</v>
      </c>
    </row>
    <row r="541" spans="2:44" s="798" customFormat="1" ht="30" customHeight="1" thickBot="1" x14ac:dyDescent="0.3">
      <c r="B541" s="835"/>
      <c r="C541" s="836"/>
      <c r="D541" s="836"/>
      <c r="E541" s="837"/>
      <c r="F541" s="837"/>
      <c r="G541" s="838"/>
      <c r="H541" s="838"/>
      <c r="I541" s="839"/>
      <c r="J541" s="839"/>
      <c r="K541" s="840"/>
      <c r="L541" s="841"/>
      <c r="M541" s="841"/>
      <c r="N541" s="842"/>
      <c r="O541" s="842"/>
      <c r="P541" s="843"/>
      <c r="Q541" s="843"/>
      <c r="R541" s="843"/>
      <c r="S541" s="844">
        <f t="shared" si="93"/>
        <v>0</v>
      </c>
      <c r="T541" s="838"/>
      <c r="U541" s="842"/>
      <c r="V541" s="843"/>
      <c r="W541" s="843"/>
      <c r="X541" s="843"/>
      <c r="Y541" s="843"/>
      <c r="Z541" s="843"/>
      <c r="AA541" s="837"/>
      <c r="AB541" s="837"/>
      <c r="AC541" s="845">
        <f t="shared" si="94"/>
        <v>0</v>
      </c>
      <c r="AD541" s="846">
        <f t="shared" si="95"/>
        <v>0</v>
      </c>
      <c r="AE541" s="847">
        <f t="shared" si="96"/>
        <v>0</v>
      </c>
      <c r="AF541" s="855">
        <f t="shared" si="89"/>
        <v>0</v>
      </c>
      <c r="AG541" s="848">
        <f>IF('Input Sheet'!$C$15="Yes",'Input Sheet'!$F$8,0)</f>
        <v>0</v>
      </c>
      <c r="AH541" s="846">
        <f>IF('Input Sheet'!$C$15="Yes",Rates!$E$45,0)</f>
        <v>0</v>
      </c>
      <c r="AI541" s="849">
        <f>IF('Input Sheet'!$C$15="Yes",'Input Sheet'!$F$11,0)</f>
        <v>0</v>
      </c>
      <c r="AJ541" s="850">
        <f>IF('Input Sheet'!$C$15="Yes",'Input Sheet'!$F$7,0)</f>
        <v>0</v>
      </c>
      <c r="AK541" s="856">
        <f t="shared" si="90"/>
        <v>0</v>
      </c>
      <c r="AL541" s="856">
        <f t="shared" si="91"/>
        <v>0</v>
      </c>
      <c r="AM541" s="856">
        <f t="shared" si="97"/>
        <v>0</v>
      </c>
      <c r="AN541" s="856">
        <f t="shared" si="92"/>
        <v>0</v>
      </c>
      <c r="AO541" s="852">
        <f t="shared" si="98"/>
        <v>0</v>
      </c>
      <c r="AP541" s="853">
        <f t="shared" si="99"/>
        <v>0</v>
      </c>
      <c r="AQ541" s="854">
        <f>IFERROR(P541*'Input Sheet'!$F$8/(((AI541)*AK541*2)-AN541),0)</f>
        <v>0</v>
      </c>
      <c r="AR541" s="854">
        <f>IFERROR(($P541-$AF541)*'Input Sheet'!$F$8/(((AI541)*AK541*2)-AN541),0)</f>
        <v>0</v>
      </c>
    </row>
    <row r="542" spans="2:44" s="798" customFormat="1" ht="30" customHeight="1" thickBot="1" x14ac:dyDescent="0.3">
      <c r="B542" s="835"/>
      <c r="C542" s="836"/>
      <c r="D542" s="836"/>
      <c r="E542" s="837"/>
      <c r="F542" s="837"/>
      <c r="G542" s="838"/>
      <c r="H542" s="838"/>
      <c r="I542" s="839"/>
      <c r="J542" s="839"/>
      <c r="K542" s="840"/>
      <c r="L542" s="841"/>
      <c r="M542" s="841"/>
      <c r="N542" s="842"/>
      <c r="O542" s="842"/>
      <c r="P542" s="843"/>
      <c r="Q542" s="843"/>
      <c r="R542" s="843"/>
      <c r="S542" s="844">
        <f t="shared" si="93"/>
        <v>0</v>
      </c>
      <c r="T542" s="838"/>
      <c r="U542" s="842"/>
      <c r="V542" s="843"/>
      <c r="W542" s="843"/>
      <c r="X542" s="843"/>
      <c r="Y542" s="843"/>
      <c r="Z542" s="843"/>
      <c r="AA542" s="837"/>
      <c r="AB542" s="837"/>
      <c r="AC542" s="845">
        <f t="shared" si="94"/>
        <v>0</v>
      </c>
      <c r="AD542" s="846">
        <f t="shared" si="95"/>
        <v>0</v>
      </c>
      <c r="AE542" s="847">
        <f t="shared" si="96"/>
        <v>0</v>
      </c>
      <c r="AF542" s="855">
        <f t="shared" si="89"/>
        <v>0</v>
      </c>
      <c r="AG542" s="848">
        <f>IF('Input Sheet'!$C$15="Yes",'Input Sheet'!$F$8,0)</f>
        <v>0</v>
      </c>
      <c r="AH542" s="846">
        <f>IF('Input Sheet'!$C$15="Yes",Rates!$E$45,0)</f>
        <v>0</v>
      </c>
      <c r="AI542" s="849">
        <f>IF('Input Sheet'!$C$15="Yes",'Input Sheet'!$F$11,0)</f>
        <v>0</v>
      </c>
      <c r="AJ542" s="850">
        <f>IF('Input Sheet'!$C$15="Yes",'Input Sheet'!$F$7,0)</f>
        <v>0</v>
      </c>
      <c r="AK542" s="856">
        <f t="shared" si="90"/>
        <v>0</v>
      </c>
      <c r="AL542" s="856">
        <f t="shared" si="91"/>
        <v>0</v>
      </c>
      <c r="AM542" s="856">
        <f t="shared" si="97"/>
        <v>0</v>
      </c>
      <c r="AN542" s="856">
        <f t="shared" si="92"/>
        <v>0</v>
      </c>
      <c r="AO542" s="852">
        <f t="shared" si="98"/>
        <v>0</v>
      </c>
      <c r="AP542" s="853">
        <f t="shared" si="99"/>
        <v>0</v>
      </c>
      <c r="AQ542" s="854">
        <f>IFERROR(P542*'Input Sheet'!$F$8/(((AI542)*AK542*2)-AN542),0)</f>
        <v>0</v>
      </c>
      <c r="AR542" s="854">
        <f>IFERROR(($P542-$AF542)*'Input Sheet'!$F$8/(((AI542)*AK542*2)-AN542),0)</f>
        <v>0</v>
      </c>
    </row>
    <row r="543" spans="2:44" s="798" customFormat="1" ht="30" customHeight="1" thickBot="1" x14ac:dyDescent="0.3">
      <c r="B543" s="835"/>
      <c r="C543" s="836"/>
      <c r="D543" s="836"/>
      <c r="E543" s="837"/>
      <c r="F543" s="837"/>
      <c r="G543" s="838"/>
      <c r="H543" s="838"/>
      <c r="I543" s="839"/>
      <c r="J543" s="839"/>
      <c r="K543" s="840"/>
      <c r="L543" s="841"/>
      <c r="M543" s="841"/>
      <c r="N543" s="842"/>
      <c r="O543" s="842"/>
      <c r="P543" s="843"/>
      <c r="Q543" s="843"/>
      <c r="R543" s="843"/>
      <c r="S543" s="844">
        <f t="shared" si="93"/>
        <v>0</v>
      </c>
      <c r="T543" s="838"/>
      <c r="U543" s="842"/>
      <c r="V543" s="843"/>
      <c r="W543" s="843"/>
      <c r="X543" s="843"/>
      <c r="Y543" s="843"/>
      <c r="Z543" s="843"/>
      <c r="AA543" s="837"/>
      <c r="AB543" s="837"/>
      <c r="AC543" s="845">
        <f t="shared" si="94"/>
        <v>0</v>
      </c>
      <c r="AD543" s="846">
        <f t="shared" si="95"/>
        <v>0</v>
      </c>
      <c r="AE543" s="847">
        <f t="shared" si="96"/>
        <v>0</v>
      </c>
      <c r="AF543" s="855">
        <f t="shared" si="89"/>
        <v>0</v>
      </c>
      <c r="AG543" s="848">
        <f>IF('Input Sheet'!$C$15="Yes",'Input Sheet'!$F$8,0)</f>
        <v>0</v>
      </c>
      <c r="AH543" s="846">
        <f>IF('Input Sheet'!$C$15="Yes",Rates!$E$45,0)</f>
        <v>0</v>
      </c>
      <c r="AI543" s="849">
        <f>IF('Input Sheet'!$C$15="Yes",'Input Sheet'!$F$11,0)</f>
        <v>0</v>
      </c>
      <c r="AJ543" s="850">
        <f>IF('Input Sheet'!$C$15="Yes",'Input Sheet'!$F$7,0)</f>
        <v>0</v>
      </c>
      <c r="AK543" s="856">
        <f t="shared" si="90"/>
        <v>0</v>
      </c>
      <c r="AL543" s="856">
        <f t="shared" si="91"/>
        <v>0</v>
      </c>
      <c r="AM543" s="856">
        <f t="shared" si="97"/>
        <v>0</v>
      </c>
      <c r="AN543" s="856">
        <f t="shared" si="92"/>
        <v>0</v>
      </c>
      <c r="AO543" s="852">
        <f t="shared" si="98"/>
        <v>0</v>
      </c>
      <c r="AP543" s="853">
        <f t="shared" si="99"/>
        <v>0</v>
      </c>
      <c r="AQ543" s="854">
        <f>IFERROR(P543*'Input Sheet'!$F$8/(((AI543)*AK543*2)-AN543),0)</f>
        <v>0</v>
      </c>
      <c r="AR543" s="854">
        <f>IFERROR(($P543-$AF543)*'Input Sheet'!$F$8/(((AI543)*AK543*2)-AN543),0)</f>
        <v>0</v>
      </c>
    </row>
    <row r="544" spans="2:44" s="798" customFormat="1" ht="30" customHeight="1" thickBot="1" x14ac:dyDescent="0.3">
      <c r="B544" s="835"/>
      <c r="C544" s="836"/>
      <c r="D544" s="836"/>
      <c r="E544" s="837"/>
      <c r="F544" s="837"/>
      <c r="G544" s="838"/>
      <c r="H544" s="838"/>
      <c r="I544" s="839"/>
      <c r="J544" s="839"/>
      <c r="K544" s="840"/>
      <c r="L544" s="841"/>
      <c r="M544" s="841"/>
      <c r="N544" s="842"/>
      <c r="O544" s="842"/>
      <c r="P544" s="843"/>
      <c r="Q544" s="843"/>
      <c r="R544" s="843"/>
      <c r="S544" s="844">
        <f t="shared" si="93"/>
        <v>0</v>
      </c>
      <c r="T544" s="838"/>
      <c r="U544" s="842"/>
      <c r="V544" s="843"/>
      <c r="W544" s="843"/>
      <c r="X544" s="843"/>
      <c r="Y544" s="843"/>
      <c r="Z544" s="843"/>
      <c r="AA544" s="837"/>
      <c r="AB544" s="837"/>
      <c r="AC544" s="845">
        <f t="shared" si="94"/>
        <v>0</v>
      </c>
      <c r="AD544" s="846">
        <f t="shared" si="95"/>
        <v>0</v>
      </c>
      <c r="AE544" s="847">
        <f t="shared" si="96"/>
        <v>0</v>
      </c>
      <c r="AF544" s="855">
        <f t="shared" si="89"/>
        <v>0</v>
      </c>
      <c r="AG544" s="848">
        <f>IF('Input Sheet'!$C$15="Yes",'Input Sheet'!$F$8,0)</f>
        <v>0</v>
      </c>
      <c r="AH544" s="846">
        <f>IF('Input Sheet'!$C$15="Yes",Rates!$E$45,0)</f>
        <v>0</v>
      </c>
      <c r="AI544" s="849">
        <f>IF('Input Sheet'!$C$15="Yes",'Input Sheet'!$F$11,0)</f>
        <v>0</v>
      </c>
      <c r="AJ544" s="850">
        <f>IF('Input Sheet'!$C$15="Yes",'Input Sheet'!$F$7,0)</f>
        <v>0</v>
      </c>
      <c r="AK544" s="856">
        <f t="shared" si="90"/>
        <v>0</v>
      </c>
      <c r="AL544" s="856">
        <f t="shared" si="91"/>
        <v>0</v>
      </c>
      <c r="AM544" s="856">
        <f t="shared" si="97"/>
        <v>0</v>
      </c>
      <c r="AN544" s="856">
        <f t="shared" si="92"/>
        <v>0</v>
      </c>
      <c r="AO544" s="852">
        <f t="shared" si="98"/>
        <v>0</v>
      </c>
      <c r="AP544" s="853">
        <f t="shared" si="99"/>
        <v>0</v>
      </c>
      <c r="AQ544" s="854">
        <f>IFERROR(P544*'Input Sheet'!$F$8/(((AI544)*AK544*2)-AN544),0)</f>
        <v>0</v>
      </c>
      <c r="AR544" s="854">
        <f>IFERROR(($P544-$AF544)*'Input Sheet'!$F$8/(((AI544)*AK544*2)-AN544),0)</f>
        <v>0</v>
      </c>
    </row>
    <row r="545" spans="2:44" s="798" customFormat="1" ht="30" customHeight="1" thickBot="1" x14ac:dyDescent="0.3">
      <c r="B545" s="835"/>
      <c r="C545" s="836"/>
      <c r="D545" s="836"/>
      <c r="E545" s="837"/>
      <c r="F545" s="837"/>
      <c r="G545" s="838"/>
      <c r="H545" s="838"/>
      <c r="I545" s="839"/>
      <c r="J545" s="839"/>
      <c r="K545" s="840"/>
      <c r="L545" s="841"/>
      <c r="M545" s="841"/>
      <c r="N545" s="842"/>
      <c r="O545" s="842"/>
      <c r="P545" s="843"/>
      <c r="Q545" s="843"/>
      <c r="R545" s="843"/>
      <c r="S545" s="844">
        <f t="shared" si="93"/>
        <v>0</v>
      </c>
      <c r="T545" s="838"/>
      <c r="U545" s="842"/>
      <c r="V545" s="843"/>
      <c r="W545" s="843"/>
      <c r="X545" s="843"/>
      <c r="Y545" s="843"/>
      <c r="Z545" s="843"/>
      <c r="AA545" s="837"/>
      <c r="AB545" s="837"/>
      <c r="AC545" s="845">
        <f t="shared" si="94"/>
        <v>0</v>
      </c>
      <c r="AD545" s="846">
        <f t="shared" si="95"/>
        <v>0</v>
      </c>
      <c r="AE545" s="847">
        <f t="shared" si="96"/>
        <v>0</v>
      </c>
      <c r="AF545" s="855">
        <f t="shared" si="89"/>
        <v>0</v>
      </c>
      <c r="AG545" s="848">
        <f>IF('Input Sheet'!$C$15="Yes",'Input Sheet'!$F$8,0)</f>
        <v>0</v>
      </c>
      <c r="AH545" s="846">
        <f>IF('Input Sheet'!$C$15="Yes",Rates!$E$45,0)</f>
        <v>0</v>
      </c>
      <c r="AI545" s="849">
        <f>IF('Input Sheet'!$C$15="Yes",'Input Sheet'!$F$11,0)</f>
        <v>0</v>
      </c>
      <c r="AJ545" s="850">
        <f>IF('Input Sheet'!$C$15="Yes",'Input Sheet'!$F$7,0)</f>
        <v>0</v>
      </c>
      <c r="AK545" s="856">
        <f t="shared" si="90"/>
        <v>0</v>
      </c>
      <c r="AL545" s="856">
        <f t="shared" si="91"/>
        <v>0</v>
      </c>
      <c r="AM545" s="856">
        <f t="shared" si="97"/>
        <v>0</v>
      </c>
      <c r="AN545" s="856">
        <f t="shared" si="92"/>
        <v>0</v>
      </c>
      <c r="AO545" s="852">
        <f t="shared" si="98"/>
        <v>0</v>
      </c>
      <c r="AP545" s="853">
        <f t="shared" si="99"/>
        <v>0</v>
      </c>
      <c r="AQ545" s="854">
        <f>IFERROR(P545*'Input Sheet'!$F$8/(((AI545)*AK545*2)-AN545),0)</f>
        <v>0</v>
      </c>
      <c r="AR545" s="854">
        <f>IFERROR(($P545-$AF545)*'Input Sheet'!$F$8/(((AI545)*AK545*2)-AN545),0)</f>
        <v>0</v>
      </c>
    </row>
    <row r="546" spans="2:44" s="798" customFormat="1" ht="30" customHeight="1" thickBot="1" x14ac:dyDescent="0.3">
      <c r="B546" s="835"/>
      <c r="C546" s="836"/>
      <c r="D546" s="836"/>
      <c r="E546" s="837"/>
      <c r="F546" s="837"/>
      <c r="G546" s="838"/>
      <c r="H546" s="838"/>
      <c r="I546" s="839"/>
      <c r="J546" s="839"/>
      <c r="K546" s="840"/>
      <c r="L546" s="841"/>
      <c r="M546" s="841"/>
      <c r="N546" s="842"/>
      <c r="O546" s="842"/>
      <c r="P546" s="843"/>
      <c r="Q546" s="843"/>
      <c r="R546" s="843"/>
      <c r="S546" s="844">
        <f t="shared" si="93"/>
        <v>0</v>
      </c>
      <c r="T546" s="838"/>
      <c r="U546" s="842"/>
      <c r="V546" s="843"/>
      <c r="W546" s="843"/>
      <c r="X546" s="843"/>
      <c r="Y546" s="843"/>
      <c r="Z546" s="843"/>
      <c r="AA546" s="837"/>
      <c r="AB546" s="837"/>
      <c r="AC546" s="845">
        <f t="shared" si="94"/>
        <v>0</v>
      </c>
      <c r="AD546" s="846">
        <f t="shared" si="95"/>
        <v>0</v>
      </c>
      <c r="AE546" s="847">
        <f t="shared" si="96"/>
        <v>0</v>
      </c>
      <c r="AF546" s="855">
        <f t="shared" si="89"/>
        <v>0</v>
      </c>
      <c r="AG546" s="848">
        <f>IF('Input Sheet'!$C$15="Yes",'Input Sheet'!$F$8,0)</f>
        <v>0</v>
      </c>
      <c r="AH546" s="846">
        <f>IF('Input Sheet'!$C$15="Yes",Rates!$E$45,0)</f>
        <v>0</v>
      </c>
      <c r="AI546" s="849">
        <f>IF('Input Sheet'!$C$15="Yes",'Input Sheet'!$F$11,0)</f>
        <v>0</v>
      </c>
      <c r="AJ546" s="850">
        <f>IF('Input Sheet'!$C$15="Yes",'Input Sheet'!$F$7,0)</f>
        <v>0</v>
      </c>
      <c r="AK546" s="856">
        <f t="shared" si="90"/>
        <v>0</v>
      </c>
      <c r="AL546" s="856">
        <f t="shared" si="91"/>
        <v>0</v>
      </c>
      <c r="AM546" s="856">
        <f t="shared" si="97"/>
        <v>0</v>
      </c>
      <c r="AN546" s="856">
        <f t="shared" si="92"/>
        <v>0</v>
      </c>
      <c r="AO546" s="852">
        <f t="shared" si="98"/>
        <v>0</v>
      </c>
      <c r="AP546" s="853">
        <f t="shared" si="99"/>
        <v>0</v>
      </c>
      <c r="AQ546" s="854">
        <f>IFERROR(P546*'Input Sheet'!$F$8/(((AI546)*AK546*2)-AN546),0)</f>
        <v>0</v>
      </c>
      <c r="AR546" s="854">
        <f>IFERROR(($P546-$AF546)*'Input Sheet'!$F$8/(((AI546)*AK546*2)-AN546),0)</f>
        <v>0</v>
      </c>
    </row>
    <row r="547" spans="2:44" s="798" customFormat="1" ht="30" customHeight="1" thickBot="1" x14ac:dyDescent="0.3">
      <c r="B547" s="835"/>
      <c r="C547" s="836"/>
      <c r="D547" s="836"/>
      <c r="E547" s="837"/>
      <c r="F547" s="837"/>
      <c r="G547" s="838"/>
      <c r="H547" s="838"/>
      <c r="I547" s="839"/>
      <c r="J547" s="839"/>
      <c r="K547" s="840"/>
      <c r="L547" s="841"/>
      <c r="M547" s="841"/>
      <c r="N547" s="842"/>
      <c r="O547" s="842"/>
      <c r="P547" s="843"/>
      <c r="Q547" s="843"/>
      <c r="R547" s="843"/>
      <c r="S547" s="844">
        <f t="shared" si="93"/>
        <v>0</v>
      </c>
      <c r="T547" s="838"/>
      <c r="U547" s="842"/>
      <c r="V547" s="843"/>
      <c r="W547" s="843"/>
      <c r="X547" s="843"/>
      <c r="Y547" s="843"/>
      <c r="Z547" s="843"/>
      <c r="AA547" s="837"/>
      <c r="AB547" s="837"/>
      <c r="AC547" s="845">
        <f t="shared" si="94"/>
        <v>0</v>
      </c>
      <c r="AD547" s="846">
        <f t="shared" si="95"/>
        <v>0</v>
      </c>
      <c r="AE547" s="847">
        <f t="shared" si="96"/>
        <v>0</v>
      </c>
      <c r="AF547" s="855">
        <f t="shared" si="89"/>
        <v>0</v>
      </c>
      <c r="AG547" s="848">
        <f>IF('Input Sheet'!$C$15="Yes",'Input Sheet'!$F$8,0)</f>
        <v>0</v>
      </c>
      <c r="AH547" s="846">
        <f>IF('Input Sheet'!$C$15="Yes",Rates!$E$45,0)</f>
        <v>0</v>
      </c>
      <c r="AI547" s="849">
        <f>IF('Input Sheet'!$C$15="Yes",'Input Sheet'!$F$11,0)</f>
        <v>0</v>
      </c>
      <c r="AJ547" s="850">
        <f>IF('Input Sheet'!$C$15="Yes",'Input Sheet'!$F$7,0)</f>
        <v>0</v>
      </c>
      <c r="AK547" s="856">
        <f t="shared" si="90"/>
        <v>0</v>
      </c>
      <c r="AL547" s="856">
        <f t="shared" si="91"/>
        <v>0</v>
      </c>
      <c r="AM547" s="856">
        <f t="shared" si="97"/>
        <v>0</v>
      </c>
      <c r="AN547" s="856">
        <f t="shared" si="92"/>
        <v>0</v>
      </c>
      <c r="AO547" s="852">
        <f t="shared" si="98"/>
        <v>0</v>
      </c>
      <c r="AP547" s="853">
        <f t="shared" si="99"/>
        <v>0</v>
      </c>
      <c r="AQ547" s="854">
        <f>IFERROR(P547*'Input Sheet'!$F$8/(((AI547)*AK547*2)-AN547),0)</f>
        <v>0</v>
      </c>
      <c r="AR547" s="854">
        <f>IFERROR(($P547-$AF547)*'Input Sheet'!$F$8/(((AI547)*AK547*2)-AN547),0)</f>
        <v>0</v>
      </c>
    </row>
    <row r="548" spans="2:44" s="798" customFormat="1" ht="30" customHeight="1" thickBot="1" x14ac:dyDescent="0.3">
      <c r="B548" s="835"/>
      <c r="C548" s="836"/>
      <c r="D548" s="836"/>
      <c r="E548" s="837"/>
      <c r="F548" s="837"/>
      <c r="G548" s="838"/>
      <c r="H548" s="838"/>
      <c r="I548" s="839"/>
      <c r="J548" s="839"/>
      <c r="K548" s="840"/>
      <c r="L548" s="841"/>
      <c r="M548" s="841"/>
      <c r="N548" s="842"/>
      <c r="O548" s="842"/>
      <c r="P548" s="843"/>
      <c r="Q548" s="843"/>
      <c r="R548" s="843"/>
      <c r="S548" s="844">
        <f t="shared" si="93"/>
        <v>0</v>
      </c>
      <c r="T548" s="838"/>
      <c r="U548" s="842"/>
      <c r="V548" s="843"/>
      <c r="W548" s="843"/>
      <c r="X548" s="843"/>
      <c r="Y548" s="843"/>
      <c r="Z548" s="843"/>
      <c r="AA548" s="837"/>
      <c r="AB548" s="837"/>
      <c r="AC548" s="845">
        <f t="shared" si="94"/>
        <v>0</v>
      </c>
      <c r="AD548" s="846">
        <f t="shared" si="95"/>
        <v>0</v>
      </c>
      <c r="AE548" s="847">
        <f t="shared" si="96"/>
        <v>0</v>
      </c>
      <c r="AF548" s="855">
        <f t="shared" si="89"/>
        <v>0</v>
      </c>
      <c r="AG548" s="848">
        <f>IF('Input Sheet'!$C$15="Yes",'Input Sheet'!$F$8,0)</f>
        <v>0</v>
      </c>
      <c r="AH548" s="846">
        <f>IF('Input Sheet'!$C$15="Yes",Rates!$E$45,0)</f>
        <v>0</v>
      </c>
      <c r="AI548" s="849">
        <f>IF('Input Sheet'!$C$15="Yes",'Input Sheet'!$F$11,0)</f>
        <v>0</v>
      </c>
      <c r="AJ548" s="850">
        <f>IF('Input Sheet'!$C$15="Yes",'Input Sheet'!$F$7,0)</f>
        <v>0</v>
      </c>
      <c r="AK548" s="856">
        <f t="shared" si="90"/>
        <v>0</v>
      </c>
      <c r="AL548" s="856">
        <f t="shared" si="91"/>
        <v>0</v>
      </c>
      <c r="AM548" s="856">
        <f t="shared" si="97"/>
        <v>0</v>
      </c>
      <c r="AN548" s="856">
        <f t="shared" si="92"/>
        <v>0</v>
      </c>
      <c r="AO548" s="852">
        <f t="shared" si="98"/>
        <v>0</v>
      </c>
      <c r="AP548" s="853">
        <f t="shared" si="99"/>
        <v>0</v>
      </c>
      <c r="AQ548" s="854">
        <f>IFERROR(P548*'Input Sheet'!$F$8/(((AI548)*AK548*2)-AN548),0)</f>
        <v>0</v>
      </c>
      <c r="AR548" s="854">
        <f>IFERROR(($P548-$AF548)*'Input Sheet'!$F$8/(((AI548)*AK548*2)-AN548),0)</f>
        <v>0</v>
      </c>
    </row>
    <row r="549" spans="2:44" s="798" customFormat="1" ht="30" customHeight="1" thickBot="1" x14ac:dyDescent="0.3">
      <c r="B549" s="835"/>
      <c r="C549" s="836"/>
      <c r="D549" s="836"/>
      <c r="E549" s="837"/>
      <c r="F549" s="837"/>
      <c r="G549" s="838"/>
      <c r="H549" s="838"/>
      <c r="I549" s="839"/>
      <c r="J549" s="839"/>
      <c r="K549" s="840"/>
      <c r="L549" s="841"/>
      <c r="M549" s="841"/>
      <c r="N549" s="842"/>
      <c r="O549" s="842"/>
      <c r="P549" s="843"/>
      <c r="Q549" s="843"/>
      <c r="R549" s="843"/>
      <c r="S549" s="844">
        <f t="shared" si="93"/>
        <v>0</v>
      </c>
      <c r="T549" s="838"/>
      <c r="U549" s="842"/>
      <c r="V549" s="843"/>
      <c r="W549" s="843"/>
      <c r="X549" s="843"/>
      <c r="Y549" s="843"/>
      <c r="Z549" s="843"/>
      <c r="AA549" s="837"/>
      <c r="AB549" s="837"/>
      <c r="AC549" s="845">
        <f t="shared" si="94"/>
        <v>0</v>
      </c>
      <c r="AD549" s="846">
        <f t="shared" si="95"/>
        <v>0</v>
      </c>
      <c r="AE549" s="847">
        <f t="shared" si="96"/>
        <v>0</v>
      </c>
      <c r="AF549" s="855">
        <f t="shared" si="89"/>
        <v>0</v>
      </c>
      <c r="AG549" s="848">
        <f>IF('Input Sheet'!$C$15="Yes",'Input Sheet'!$F$8,0)</f>
        <v>0</v>
      </c>
      <c r="AH549" s="846">
        <f>IF('Input Sheet'!$C$15="Yes",Rates!$E$45,0)</f>
        <v>0</v>
      </c>
      <c r="AI549" s="849">
        <f>IF('Input Sheet'!$C$15="Yes",'Input Sheet'!$F$11,0)</f>
        <v>0</v>
      </c>
      <c r="AJ549" s="850">
        <f>IF('Input Sheet'!$C$15="Yes",'Input Sheet'!$F$7,0)</f>
        <v>0</v>
      </c>
      <c r="AK549" s="856">
        <f t="shared" si="90"/>
        <v>0</v>
      </c>
      <c r="AL549" s="856">
        <f t="shared" si="91"/>
        <v>0</v>
      </c>
      <c r="AM549" s="856">
        <f t="shared" si="97"/>
        <v>0</v>
      </c>
      <c r="AN549" s="856">
        <f t="shared" si="92"/>
        <v>0</v>
      </c>
      <c r="AO549" s="852">
        <f t="shared" si="98"/>
        <v>0</v>
      </c>
      <c r="AP549" s="853">
        <f t="shared" si="99"/>
        <v>0</v>
      </c>
      <c r="AQ549" s="854">
        <f>IFERROR(P549*'Input Sheet'!$F$8/(((AI549)*AK549*2)-AN549),0)</f>
        <v>0</v>
      </c>
      <c r="AR549" s="854">
        <f>IFERROR(($P549-$AF549)*'Input Sheet'!$F$8/(((AI549)*AK549*2)-AN549),0)</f>
        <v>0</v>
      </c>
    </row>
    <row r="550" spans="2:44" s="798" customFormat="1" ht="30" customHeight="1" thickBot="1" x14ac:dyDescent="0.3">
      <c r="B550" s="835"/>
      <c r="C550" s="836"/>
      <c r="D550" s="836"/>
      <c r="E550" s="837"/>
      <c r="F550" s="837"/>
      <c r="G550" s="838"/>
      <c r="H550" s="838"/>
      <c r="I550" s="839"/>
      <c r="J550" s="839"/>
      <c r="K550" s="840"/>
      <c r="L550" s="841"/>
      <c r="M550" s="841"/>
      <c r="N550" s="842"/>
      <c r="O550" s="842"/>
      <c r="P550" s="843"/>
      <c r="Q550" s="843"/>
      <c r="R550" s="843"/>
      <c r="S550" s="844">
        <f t="shared" si="93"/>
        <v>0</v>
      </c>
      <c r="T550" s="838"/>
      <c r="U550" s="842"/>
      <c r="V550" s="843"/>
      <c r="W550" s="843"/>
      <c r="X550" s="843"/>
      <c r="Y550" s="843"/>
      <c r="Z550" s="843"/>
      <c r="AA550" s="837"/>
      <c r="AB550" s="837"/>
      <c r="AC550" s="845">
        <f t="shared" si="94"/>
        <v>0</v>
      </c>
      <c r="AD550" s="846">
        <f t="shared" si="95"/>
        <v>0</v>
      </c>
      <c r="AE550" s="847">
        <f t="shared" si="96"/>
        <v>0</v>
      </c>
      <c r="AF550" s="855">
        <f t="shared" si="89"/>
        <v>0</v>
      </c>
      <c r="AG550" s="848">
        <f>IF('Input Sheet'!$C$15="Yes",'Input Sheet'!$F$8,0)</f>
        <v>0</v>
      </c>
      <c r="AH550" s="846">
        <f>IF('Input Sheet'!$C$15="Yes",Rates!$E$45,0)</f>
        <v>0</v>
      </c>
      <c r="AI550" s="849">
        <f>IF('Input Sheet'!$C$15="Yes",'Input Sheet'!$F$11,0)</f>
        <v>0</v>
      </c>
      <c r="AJ550" s="850">
        <f>IF('Input Sheet'!$C$15="Yes",'Input Sheet'!$F$7,0)</f>
        <v>0</v>
      </c>
      <c r="AK550" s="856">
        <f t="shared" si="90"/>
        <v>0</v>
      </c>
      <c r="AL550" s="856">
        <f t="shared" si="91"/>
        <v>0</v>
      </c>
      <c r="AM550" s="856">
        <f t="shared" si="97"/>
        <v>0</v>
      </c>
      <c r="AN550" s="856">
        <f t="shared" si="92"/>
        <v>0</v>
      </c>
      <c r="AO550" s="852">
        <f t="shared" si="98"/>
        <v>0</v>
      </c>
      <c r="AP550" s="853">
        <f t="shared" si="99"/>
        <v>0</v>
      </c>
      <c r="AQ550" s="854">
        <f>IFERROR(P550*'Input Sheet'!$F$8/(((AI550)*AK550*2)-AN550),0)</f>
        <v>0</v>
      </c>
      <c r="AR550" s="854">
        <f>IFERROR(($P550-$AF550)*'Input Sheet'!$F$8/(((AI550)*AK550*2)-AN550),0)</f>
        <v>0</v>
      </c>
    </row>
    <row r="551" spans="2:44" s="798" customFormat="1" ht="30" customHeight="1" thickBot="1" x14ac:dyDescent="0.3">
      <c r="B551" s="835"/>
      <c r="C551" s="836"/>
      <c r="D551" s="836"/>
      <c r="E551" s="837"/>
      <c r="F551" s="837"/>
      <c r="G551" s="838"/>
      <c r="H551" s="838"/>
      <c r="I551" s="839"/>
      <c r="J551" s="839"/>
      <c r="K551" s="840"/>
      <c r="L551" s="841"/>
      <c r="M551" s="841"/>
      <c r="N551" s="842"/>
      <c r="O551" s="842"/>
      <c r="P551" s="843"/>
      <c r="Q551" s="843"/>
      <c r="R551" s="843"/>
      <c r="S551" s="844">
        <f t="shared" si="93"/>
        <v>0</v>
      </c>
      <c r="T551" s="838"/>
      <c r="U551" s="842"/>
      <c r="V551" s="843"/>
      <c r="W551" s="843"/>
      <c r="X551" s="843"/>
      <c r="Y551" s="843"/>
      <c r="Z551" s="843"/>
      <c r="AA551" s="837"/>
      <c r="AB551" s="837"/>
      <c r="AC551" s="845">
        <f t="shared" si="94"/>
        <v>0</v>
      </c>
      <c r="AD551" s="846">
        <f t="shared" si="95"/>
        <v>0</v>
      </c>
      <c r="AE551" s="847">
        <f t="shared" si="96"/>
        <v>0</v>
      </c>
      <c r="AF551" s="855">
        <f t="shared" si="89"/>
        <v>0</v>
      </c>
      <c r="AG551" s="848">
        <f>IF('Input Sheet'!$C$15="Yes",'Input Sheet'!$F$8,0)</f>
        <v>0</v>
      </c>
      <c r="AH551" s="846">
        <f>IF('Input Sheet'!$C$15="Yes",Rates!$E$45,0)</f>
        <v>0</v>
      </c>
      <c r="AI551" s="849">
        <f>IF('Input Sheet'!$C$15="Yes",'Input Sheet'!$F$11,0)</f>
        <v>0</v>
      </c>
      <c r="AJ551" s="850">
        <f>IF('Input Sheet'!$C$15="Yes",'Input Sheet'!$F$7,0)</f>
        <v>0</v>
      </c>
      <c r="AK551" s="856">
        <f t="shared" si="90"/>
        <v>0</v>
      </c>
      <c r="AL551" s="856">
        <f t="shared" si="91"/>
        <v>0</v>
      </c>
      <c r="AM551" s="856">
        <f t="shared" si="97"/>
        <v>0</v>
      </c>
      <c r="AN551" s="856">
        <f t="shared" si="92"/>
        <v>0</v>
      </c>
      <c r="AO551" s="852">
        <f t="shared" si="98"/>
        <v>0</v>
      </c>
      <c r="AP551" s="853">
        <f t="shared" si="99"/>
        <v>0</v>
      </c>
      <c r="AQ551" s="854">
        <f>IFERROR(P551*'Input Sheet'!$F$8/(((AI551)*AK551*2)-AN551),0)</f>
        <v>0</v>
      </c>
      <c r="AR551" s="854">
        <f>IFERROR(($P551-$AF551)*'Input Sheet'!$F$8/(((AI551)*AK551*2)-AN551),0)</f>
        <v>0</v>
      </c>
    </row>
    <row r="552" spans="2:44" s="798" customFormat="1" ht="30" customHeight="1" thickBot="1" x14ac:dyDescent="0.3">
      <c r="B552" s="835"/>
      <c r="C552" s="836"/>
      <c r="D552" s="836"/>
      <c r="E552" s="837"/>
      <c r="F552" s="837"/>
      <c r="G552" s="838"/>
      <c r="H552" s="838"/>
      <c r="I552" s="839"/>
      <c r="J552" s="839"/>
      <c r="K552" s="840"/>
      <c r="L552" s="841"/>
      <c r="M552" s="841"/>
      <c r="N552" s="842"/>
      <c r="O552" s="842"/>
      <c r="P552" s="843"/>
      <c r="Q552" s="843"/>
      <c r="R552" s="843"/>
      <c r="S552" s="844">
        <f t="shared" si="93"/>
        <v>0</v>
      </c>
      <c r="T552" s="838"/>
      <c r="U552" s="842"/>
      <c r="V552" s="843"/>
      <c r="W552" s="843"/>
      <c r="X552" s="843"/>
      <c r="Y552" s="843"/>
      <c r="Z552" s="843"/>
      <c r="AA552" s="837"/>
      <c r="AB552" s="837"/>
      <c r="AC552" s="845">
        <f t="shared" si="94"/>
        <v>0</v>
      </c>
      <c r="AD552" s="846">
        <f t="shared" si="95"/>
        <v>0</v>
      </c>
      <c r="AE552" s="847">
        <f t="shared" si="96"/>
        <v>0</v>
      </c>
      <c r="AF552" s="855">
        <f t="shared" si="89"/>
        <v>0</v>
      </c>
      <c r="AG552" s="848">
        <f>IF('Input Sheet'!$C$15="Yes",'Input Sheet'!$F$8,0)</f>
        <v>0</v>
      </c>
      <c r="AH552" s="846">
        <f>IF('Input Sheet'!$C$15="Yes",Rates!$E$45,0)</f>
        <v>0</v>
      </c>
      <c r="AI552" s="849">
        <f>IF('Input Sheet'!$C$15="Yes",'Input Sheet'!$F$11,0)</f>
        <v>0</v>
      </c>
      <c r="AJ552" s="850">
        <f>IF('Input Sheet'!$C$15="Yes",'Input Sheet'!$F$7,0)</f>
        <v>0</v>
      </c>
      <c r="AK552" s="856">
        <f t="shared" si="90"/>
        <v>0</v>
      </c>
      <c r="AL552" s="856">
        <f t="shared" si="91"/>
        <v>0</v>
      </c>
      <c r="AM552" s="856">
        <f t="shared" si="97"/>
        <v>0</v>
      </c>
      <c r="AN552" s="856">
        <f t="shared" si="92"/>
        <v>0</v>
      </c>
      <c r="AO552" s="852">
        <f t="shared" si="98"/>
        <v>0</v>
      </c>
      <c r="AP552" s="853">
        <f t="shared" si="99"/>
        <v>0</v>
      </c>
      <c r="AQ552" s="854">
        <f>IFERROR(P552*'Input Sheet'!$F$8/(((AI552)*AK552*2)-AN552),0)</f>
        <v>0</v>
      </c>
      <c r="AR552" s="854">
        <f>IFERROR(($P552-$AF552)*'Input Sheet'!$F$8/(((AI552)*AK552*2)-AN552),0)</f>
        <v>0</v>
      </c>
    </row>
    <row r="553" spans="2:44" s="798" customFormat="1" ht="30" customHeight="1" thickBot="1" x14ac:dyDescent="0.3">
      <c r="B553" s="835"/>
      <c r="C553" s="836"/>
      <c r="D553" s="836"/>
      <c r="E553" s="837"/>
      <c r="F553" s="837"/>
      <c r="G553" s="838"/>
      <c r="H553" s="838"/>
      <c r="I553" s="839"/>
      <c r="J553" s="839"/>
      <c r="K553" s="840"/>
      <c r="L553" s="841"/>
      <c r="M553" s="841"/>
      <c r="N553" s="842"/>
      <c r="O553" s="842"/>
      <c r="P553" s="843"/>
      <c r="Q553" s="843"/>
      <c r="R553" s="843"/>
      <c r="S553" s="844">
        <f t="shared" si="93"/>
        <v>0</v>
      </c>
      <c r="T553" s="838"/>
      <c r="U553" s="842"/>
      <c r="V553" s="843"/>
      <c r="W553" s="843"/>
      <c r="X553" s="843"/>
      <c r="Y553" s="843"/>
      <c r="Z553" s="843"/>
      <c r="AA553" s="837"/>
      <c r="AB553" s="837"/>
      <c r="AC553" s="845">
        <f t="shared" si="94"/>
        <v>0</v>
      </c>
      <c r="AD553" s="846">
        <f t="shared" si="95"/>
        <v>0</v>
      </c>
      <c r="AE553" s="847">
        <f t="shared" si="96"/>
        <v>0</v>
      </c>
      <c r="AF553" s="855">
        <f t="shared" si="89"/>
        <v>0</v>
      </c>
      <c r="AG553" s="848">
        <f>IF('Input Sheet'!$C$15="Yes",'Input Sheet'!$F$8,0)</f>
        <v>0</v>
      </c>
      <c r="AH553" s="846">
        <f>IF('Input Sheet'!$C$15="Yes",Rates!$E$45,0)</f>
        <v>0</v>
      </c>
      <c r="AI553" s="849">
        <f>IF('Input Sheet'!$C$15="Yes",'Input Sheet'!$F$11,0)</f>
        <v>0</v>
      </c>
      <c r="AJ553" s="850">
        <f>IF('Input Sheet'!$C$15="Yes",'Input Sheet'!$F$7,0)</f>
        <v>0</v>
      </c>
      <c r="AK553" s="856">
        <f t="shared" si="90"/>
        <v>0</v>
      </c>
      <c r="AL553" s="856">
        <f t="shared" si="91"/>
        <v>0</v>
      </c>
      <c r="AM553" s="856">
        <f t="shared" si="97"/>
        <v>0</v>
      </c>
      <c r="AN553" s="856">
        <f t="shared" si="92"/>
        <v>0</v>
      </c>
      <c r="AO553" s="852">
        <f t="shared" si="98"/>
        <v>0</v>
      </c>
      <c r="AP553" s="853">
        <f t="shared" si="99"/>
        <v>0</v>
      </c>
      <c r="AQ553" s="854">
        <f>IFERROR(P553*'Input Sheet'!$F$8/(((AI553)*AK553*2)-AN553),0)</f>
        <v>0</v>
      </c>
      <c r="AR553" s="854">
        <f>IFERROR(($P553-$AF553)*'Input Sheet'!$F$8/(((AI553)*AK553*2)-AN553),0)</f>
        <v>0</v>
      </c>
    </row>
    <row r="554" spans="2:44" s="798" customFormat="1" ht="30" customHeight="1" thickBot="1" x14ac:dyDescent="0.3">
      <c r="B554" s="835"/>
      <c r="C554" s="836"/>
      <c r="D554" s="836"/>
      <c r="E554" s="837"/>
      <c r="F554" s="837"/>
      <c r="G554" s="838"/>
      <c r="H554" s="838"/>
      <c r="I554" s="839"/>
      <c r="J554" s="839"/>
      <c r="K554" s="840"/>
      <c r="L554" s="841"/>
      <c r="M554" s="841"/>
      <c r="N554" s="842"/>
      <c r="O554" s="842"/>
      <c r="P554" s="843"/>
      <c r="Q554" s="843"/>
      <c r="R554" s="843"/>
      <c r="S554" s="844">
        <f t="shared" si="93"/>
        <v>0</v>
      </c>
      <c r="T554" s="838"/>
      <c r="U554" s="842"/>
      <c r="V554" s="843"/>
      <c r="W554" s="843"/>
      <c r="X554" s="843"/>
      <c r="Y554" s="843"/>
      <c r="Z554" s="843"/>
      <c r="AA554" s="837"/>
      <c r="AB554" s="837"/>
      <c r="AC554" s="845">
        <f t="shared" si="94"/>
        <v>0</v>
      </c>
      <c r="AD554" s="846">
        <f t="shared" si="95"/>
        <v>0</v>
      </c>
      <c r="AE554" s="847">
        <f t="shared" si="96"/>
        <v>0</v>
      </c>
      <c r="AF554" s="855">
        <f t="shared" si="89"/>
        <v>0</v>
      </c>
      <c r="AG554" s="848">
        <f>IF('Input Sheet'!$C$15="Yes",'Input Sheet'!$F$8,0)</f>
        <v>0</v>
      </c>
      <c r="AH554" s="846">
        <f>IF('Input Sheet'!$C$15="Yes",Rates!$E$45,0)</f>
        <v>0</v>
      </c>
      <c r="AI554" s="849">
        <f>IF('Input Sheet'!$C$15="Yes",'Input Sheet'!$F$11,0)</f>
        <v>0</v>
      </c>
      <c r="AJ554" s="850">
        <f>IF('Input Sheet'!$C$15="Yes",'Input Sheet'!$F$7,0)</f>
        <v>0</v>
      </c>
      <c r="AK554" s="856">
        <f t="shared" si="90"/>
        <v>0</v>
      </c>
      <c r="AL554" s="856">
        <f t="shared" si="91"/>
        <v>0</v>
      </c>
      <c r="AM554" s="856">
        <f t="shared" si="97"/>
        <v>0</v>
      </c>
      <c r="AN554" s="856">
        <f t="shared" si="92"/>
        <v>0</v>
      </c>
      <c r="AO554" s="852">
        <f t="shared" si="98"/>
        <v>0</v>
      </c>
      <c r="AP554" s="853">
        <f t="shared" si="99"/>
        <v>0</v>
      </c>
      <c r="AQ554" s="854">
        <f>IFERROR(P554*'Input Sheet'!$F$8/(((AI554)*AK554*2)-AN554),0)</f>
        <v>0</v>
      </c>
      <c r="AR554" s="854">
        <f>IFERROR(($P554-$AF554)*'Input Sheet'!$F$8/(((AI554)*AK554*2)-AN554),0)</f>
        <v>0</v>
      </c>
    </row>
    <row r="555" spans="2:44" s="798" customFormat="1" ht="30" customHeight="1" thickBot="1" x14ac:dyDescent="0.3">
      <c r="B555" s="835"/>
      <c r="C555" s="836"/>
      <c r="D555" s="836"/>
      <c r="E555" s="837"/>
      <c r="F555" s="837"/>
      <c r="G555" s="838"/>
      <c r="H555" s="838"/>
      <c r="I555" s="839"/>
      <c r="J555" s="839"/>
      <c r="K555" s="840"/>
      <c r="L555" s="841"/>
      <c r="M555" s="841"/>
      <c r="N555" s="842"/>
      <c r="O555" s="842"/>
      <c r="P555" s="843"/>
      <c r="Q555" s="843"/>
      <c r="R555" s="843"/>
      <c r="S555" s="844">
        <f t="shared" si="93"/>
        <v>0</v>
      </c>
      <c r="T555" s="838"/>
      <c r="U555" s="842"/>
      <c r="V555" s="843"/>
      <c r="W555" s="843"/>
      <c r="X555" s="843"/>
      <c r="Y555" s="843"/>
      <c r="Z555" s="843"/>
      <c r="AA555" s="837"/>
      <c r="AB555" s="837"/>
      <c r="AC555" s="845">
        <f t="shared" si="94"/>
        <v>0</v>
      </c>
      <c r="AD555" s="846">
        <f t="shared" si="95"/>
        <v>0</v>
      </c>
      <c r="AE555" s="847">
        <f t="shared" si="96"/>
        <v>0</v>
      </c>
      <c r="AF555" s="855">
        <f t="shared" si="89"/>
        <v>0</v>
      </c>
      <c r="AG555" s="848">
        <f>IF('Input Sheet'!$C$15="Yes",'Input Sheet'!$F$8,0)</f>
        <v>0</v>
      </c>
      <c r="AH555" s="846">
        <f>IF('Input Sheet'!$C$15="Yes",Rates!$E$45,0)</f>
        <v>0</v>
      </c>
      <c r="AI555" s="849">
        <f>IF('Input Sheet'!$C$15="Yes",'Input Sheet'!$F$11,0)</f>
        <v>0</v>
      </c>
      <c r="AJ555" s="850">
        <f>IF('Input Sheet'!$C$15="Yes",'Input Sheet'!$F$7,0)</f>
        <v>0</v>
      </c>
      <c r="AK555" s="856">
        <f t="shared" si="90"/>
        <v>0</v>
      </c>
      <c r="AL555" s="856">
        <f t="shared" si="91"/>
        <v>0</v>
      </c>
      <c r="AM555" s="856">
        <f t="shared" si="97"/>
        <v>0</v>
      </c>
      <c r="AN555" s="856">
        <f t="shared" si="92"/>
        <v>0</v>
      </c>
      <c r="AO555" s="852">
        <f t="shared" si="98"/>
        <v>0</v>
      </c>
      <c r="AP555" s="853">
        <f t="shared" si="99"/>
        <v>0</v>
      </c>
      <c r="AQ555" s="854">
        <f>IFERROR(P555*'Input Sheet'!$F$8/(((AI555)*AK555*2)-AN555),0)</f>
        <v>0</v>
      </c>
      <c r="AR555" s="854">
        <f>IFERROR(($P555-$AF555)*'Input Sheet'!$F$8/(((AI555)*AK555*2)-AN555),0)</f>
        <v>0</v>
      </c>
    </row>
    <row r="556" spans="2:44" s="798" customFormat="1" ht="30" customHeight="1" thickBot="1" x14ac:dyDescent="0.3">
      <c r="B556" s="835"/>
      <c r="C556" s="836"/>
      <c r="D556" s="836"/>
      <c r="E556" s="837"/>
      <c r="F556" s="837"/>
      <c r="G556" s="838"/>
      <c r="H556" s="838"/>
      <c r="I556" s="839"/>
      <c r="J556" s="839"/>
      <c r="K556" s="840"/>
      <c r="L556" s="841"/>
      <c r="M556" s="841"/>
      <c r="N556" s="842"/>
      <c r="O556" s="842"/>
      <c r="P556" s="843"/>
      <c r="Q556" s="843"/>
      <c r="R556" s="843"/>
      <c r="S556" s="844">
        <f t="shared" si="93"/>
        <v>0</v>
      </c>
      <c r="T556" s="838"/>
      <c r="U556" s="842"/>
      <c r="V556" s="843"/>
      <c r="W556" s="843"/>
      <c r="X556" s="843"/>
      <c r="Y556" s="843"/>
      <c r="Z556" s="843"/>
      <c r="AA556" s="837"/>
      <c r="AB556" s="837"/>
      <c r="AC556" s="845">
        <f t="shared" si="94"/>
        <v>0</v>
      </c>
      <c r="AD556" s="846">
        <f t="shared" si="95"/>
        <v>0</v>
      </c>
      <c r="AE556" s="847">
        <f t="shared" si="96"/>
        <v>0</v>
      </c>
      <c r="AF556" s="855">
        <f t="shared" si="89"/>
        <v>0</v>
      </c>
      <c r="AG556" s="848">
        <f>IF('Input Sheet'!$C$15="Yes",'Input Sheet'!$F$8,0)</f>
        <v>0</v>
      </c>
      <c r="AH556" s="846">
        <f>IF('Input Sheet'!$C$15="Yes",Rates!$E$45,0)</f>
        <v>0</v>
      </c>
      <c r="AI556" s="849">
        <f>IF('Input Sheet'!$C$15="Yes",'Input Sheet'!$F$11,0)</f>
        <v>0</v>
      </c>
      <c r="AJ556" s="850">
        <f>IF('Input Sheet'!$C$15="Yes",'Input Sheet'!$F$7,0)</f>
        <v>0</v>
      </c>
      <c r="AK556" s="856">
        <f t="shared" si="90"/>
        <v>0</v>
      </c>
      <c r="AL556" s="856">
        <f t="shared" si="91"/>
        <v>0</v>
      </c>
      <c r="AM556" s="856">
        <f t="shared" si="97"/>
        <v>0</v>
      </c>
      <c r="AN556" s="856">
        <f t="shared" si="92"/>
        <v>0</v>
      </c>
      <c r="AO556" s="852">
        <f t="shared" si="98"/>
        <v>0</v>
      </c>
      <c r="AP556" s="853">
        <f t="shared" si="99"/>
        <v>0</v>
      </c>
      <c r="AQ556" s="854">
        <f>IFERROR(P556*'Input Sheet'!$F$8/(((AI556)*AK556*2)-AN556),0)</f>
        <v>0</v>
      </c>
      <c r="AR556" s="854">
        <f>IFERROR(($P556-$AF556)*'Input Sheet'!$F$8/(((AI556)*AK556*2)-AN556),0)</f>
        <v>0</v>
      </c>
    </row>
    <row r="557" spans="2:44" s="798" customFormat="1" ht="30" customHeight="1" thickBot="1" x14ac:dyDescent="0.3">
      <c r="B557" s="835"/>
      <c r="C557" s="836"/>
      <c r="D557" s="836"/>
      <c r="E557" s="837"/>
      <c r="F557" s="837"/>
      <c r="G557" s="838"/>
      <c r="H557" s="838"/>
      <c r="I557" s="839"/>
      <c r="J557" s="839"/>
      <c r="K557" s="840"/>
      <c r="L557" s="841"/>
      <c r="M557" s="841"/>
      <c r="N557" s="842"/>
      <c r="O557" s="842"/>
      <c r="P557" s="843"/>
      <c r="Q557" s="843"/>
      <c r="R557" s="843"/>
      <c r="S557" s="844">
        <f t="shared" si="93"/>
        <v>0</v>
      </c>
      <c r="T557" s="838"/>
      <c r="U557" s="842"/>
      <c r="V557" s="843"/>
      <c r="W557" s="843"/>
      <c r="X557" s="843"/>
      <c r="Y557" s="843"/>
      <c r="Z557" s="843"/>
      <c r="AA557" s="837"/>
      <c r="AB557" s="837"/>
      <c r="AC557" s="845">
        <f t="shared" si="94"/>
        <v>0</v>
      </c>
      <c r="AD557" s="846">
        <f t="shared" si="95"/>
        <v>0</v>
      </c>
      <c r="AE557" s="847">
        <f t="shared" si="96"/>
        <v>0</v>
      </c>
      <c r="AF557" s="855">
        <f t="shared" si="89"/>
        <v>0</v>
      </c>
      <c r="AG557" s="848">
        <f>IF('Input Sheet'!$C$15="Yes",'Input Sheet'!$F$8,0)</f>
        <v>0</v>
      </c>
      <c r="AH557" s="846">
        <f>IF('Input Sheet'!$C$15="Yes",Rates!$E$45,0)</f>
        <v>0</v>
      </c>
      <c r="AI557" s="849">
        <f>IF('Input Sheet'!$C$15="Yes",'Input Sheet'!$F$11,0)</f>
        <v>0</v>
      </c>
      <c r="AJ557" s="850">
        <f>IF('Input Sheet'!$C$15="Yes",'Input Sheet'!$F$7,0)</f>
        <v>0</v>
      </c>
      <c r="AK557" s="856">
        <f t="shared" si="90"/>
        <v>0</v>
      </c>
      <c r="AL557" s="856">
        <f t="shared" si="91"/>
        <v>0</v>
      </c>
      <c r="AM557" s="856">
        <f t="shared" si="97"/>
        <v>0</v>
      </c>
      <c r="AN557" s="856">
        <f t="shared" si="92"/>
        <v>0</v>
      </c>
      <c r="AO557" s="852">
        <f t="shared" si="98"/>
        <v>0</v>
      </c>
      <c r="AP557" s="853">
        <f t="shared" si="99"/>
        <v>0</v>
      </c>
      <c r="AQ557" s="854">
        <f>IFERROR(P557*'Input Sheet'!$F$8/(((AI557)*AK557*2)-AN557),0)</f>
        <v>0</v>
      </c>
      <c r="AR557" s="854">
        <f>IFERROR(($P557-$AF557)*'Input Sheet'!$F$8/(((AI557)*AK557*2)-AN557),0)</f>
        <v>0</v>
      </c>
    </row>
    <row r="558" spans="2:44" s="798" customFormat="1" ht="30" customHeight="1" thickBot="1" x14ac:dyDescent="0.3">
      <c r="B558" s="835"/>
      <c r="C558" s="836"/>
      <c r="D558" s="836"/>
      <c r="E558" s="837"/>
      <c r="F558" s="837"/>
      <c r="G558" s="838"/>
      <c r="H558" s="838"/>
      <c r="I558" s="839"/>
      <c r="J558" s="839"/>
      <c r="K558" s="840"/>
      <c r="L558" s="841"/>
      <c r="M558" s="841"/>
      <c r="N558" s="842"/>
      <c r="O558" s="842"/>
      <c r="P558" s="843"/>
      <c r="Q558" s="843"/>
      <c r="R558" s="843"/>
      <c r="S558" s="844">
        <f t="shared" si="93"/>
        <v>0</v>
      </c>
      <c r="T558" s="838"/>
      <c r="U558" s="842"/>
      <c r="V558" s="843"/>
      <c r="W558" s="843"/>
      <c r="X558" s="843"/>
      <c r="Y558" s="843"/>
      <c r="Z558" s="843"/>
      <c r="AA558" s="837"/>
      <c r="AB558" s="837"/>
      <c r="AC558" s="845">
        <f t="shared" si="94"/>
        <v>0</v>
      </c>
      <c r="AD558" s="846">
        <f t="shared" si="95"/>
        <v>0</v>
      </c>
      <c r="AE558" s="847">
        <f t="shared" si="96"/>
        <v>0</v>
      </c>
      <c r="AF558" s="855">
        <f t="shared" si="89"/>
        <v>0</v>
      </c>
      <c r="AG558" s="848">
        <f>IF('Input Sheet'!$C$15="Yes",'Input Sheet'!$F$8,0)</f>
        <v>0</v>
      </c>
      <c r="AH558" s="846">
        <f>IF('Input Sheet'!$C$15="Yes",Rates!$E$45,0)</f>
        <v>0</v>
      </c>
      <c r="AI558" s="849">
        <f>IF('Input Sheet'!$C$15="Yes",'Input Sheet'!$F$11,0)</f>
        <v>0</v>
      </c>
      <c r="AJ558" s="850">
        <f>IF('Input Sheet'!$C$15="Yes",'Input Sheet'!$F$7,0)</f>
        <v>0</v>
      </c>
      <c r="AK558" s="856">
        <f t="shared" si="90"/>
        <v>0</v>
      </c>
      <c r="AL558" s="856">
        <f t="shared" si="91"/>
        <v>0</v>
      </c>
      <c r="AM558" s="856">
        <f t="shared" si="97"/>
        <v>0</v>
      </c>
      <c r="AN558" s="856">
        <f t="shared" si="92"/>
        <v>0</v>
      </c>
      <c r="AO558" s="852">
        <f t="shared" si="98"/>
        <v>0</v>
      </c>
      <c r="AP558" s="853">
        <f t="shared" si="99"/>
        <v>0</v>
      </c>
      <c r="AQ558" s="854">
        <f>IFERROR(P558*'Input Sheet'!$F$8/(((AI558)*AK558*2)-AN558),0)</f>
        <v>0</v>
      </c>
      <c r="AR558" s="854">
        <f>IFERROR(($P558-$AF558)*'Input Sheet'!$F$8/(((AI558)*AK558*2)-AN558),0)</f>
        <v>0</v>
      </c>
    </row>
    <row r="559" spans="2:44" s="798" customFormat="1" ht="30" customHeight="1" thickBot="1" x14ac:dyDescent="0.3">
      <c r="B559" s="835"/>
      <c r="C559" s="836"/>
      <c r="D559" s="836"/>
      <c r="E559" s="837"/>
      <c r="F559" s="837"/>
      <c r="G559" s="838"/>
      <c r="H559" s="838"/>
      <c r="I559" s="839"/>
      <c r="J559" s="839"/>
      <c r="K559" s="840"/>
      <c r="L559" s="841"/>
      <c r="M559" s="841"/>
      <c r="N559" s="842"/>
      <c r="O559" s="842"/>
      <c r="P559" s="843"/>
      <c r="Q559" s="843"/>
      <c r="R559" s="843"/>
      <c r="S559" s="844">
        <f t="shared" si="93"/>
        <v>0</v>
      </c>
      <c r="T559" s="838"/>
      <c r="U559" s="842"/>
      <c r="V559" s="843"/>
      <c r="W559" s="843"/>
      <c r="X559" s="843"/>
      <c r="Y559" s="843"/>
      <c r="Z559" s="843"/>
      <c r="AA559" s="837"/>
      <c r="AB559" s="837"/>
      <c r="AC559" s="845">
        <f t="shared" si="94"/>
        <v>0</v>
      </c>
      <c r="AD559" s="846">
        <f t="shared" si="95"/>
        <v>0</v>
      </c>
      <c r="AE559" s="847">
        <f t="shared" si="96"/>
        <v>0</v>
      </c>
      <c r="AF559" s="855">
        <f t="shared" si="89"/>
        <v>0</v>
      </c>
      <c r="AG559" s="848">
        <f>IF('Input Sheet'!$C$15="Yes",'Input Sheet'!$F$8,0)</f>
        <v>0</v>
      </c>
      <c r="AH559" s="846">
        <f>IF('Input Sheet'!$C$15="Yes",Rates!$E$45,0)</f>
        <v>0</v>
      </c>
      <c r="AI559" s="849">
        <f>IF('Input Sheet'!$C$15="Yes",'Input Sheet'!$F$11,0)</f>
        <v>0</v>
      </c>
      <c r="AJ559" s="850">
        <f>IF('Input Sheet'!$C$15="Yes",'Input Sheet'!$F$7,0)</f>
        <v>0</v>
      </c>
      <c r="AK559" s="856">
        <f t="shared" si="90"/>
        <v>0</v>
      </c>
      <c r="AL559" s="856">
        <f t="shared" si="91"/>
        <v>0</v>
      </c>
      <c r="AM559" s="856">
        <f t="shared" si="97"/>
        <v>0</v>
      </c>
      <c r="AN559" s="856">
        <f t="shared" si="92"/>
        <v>0</v>
      </c>
      <c r="AO559" s="852">
        <f t="shared" si="98"/>
        <v>0</v>
      </c>
      <c r="AP559" s="853">
        <f t="shared" si="99"/>
        <v>0</v>
      </c>
      <c r="AQ559" s="854">
        <f>IFERROR(P559*'Input Sheet'!$F$8/(((AI559)*AK559*2)-AN559),0)</f>
        <v>0</v>
      </c>
      <c r="AR559" s="854">
        <f>IFERROR(($P559-$AF559)*'Input Sheet'!$F$8/(((AI559)*AK559*2)-AN559),0)</f>
        <v>0</v>
      </c>
    </row>
    <row r="560" spans="2:44" s="798" customFormat="1" ht="30" customHeight="1" thickBot="1" x14ac:dyDescent="0.3">
      <c r="B560" s="835"/>
      <c r="C560" s="836"/>
      <c r="D560" s="836"/>
      <c r="E560" s="837"/>
      <c r="F560" s="837"/>
      <c r="G560" s="838"/>
      <c r="H560" s="838"/>
      <c r="I560" s="839"/>
      <c r="J560" s="839"/>
      <c r="K560" s="840"/>
      <c r="L560" s="841"/>
      <c r="M560" s="841"/>
      <c r="N560" s="842"/>
      <c r="O560" s="842"/>
      <c r="P560" s="843"/>
      <c r="Q560" s="843"/>
      <c r="R560" s="843"/>
      <c r="S560" s="844">
        <f t="shared" si="93"/>
        <v>0</v>
      </c>
      <c r="T560" s="838"/>
      <c r="U560" s="842"/>
      <c r="V560" s="843"/>
      <c r="W560" s="843"/>
      <c r="X560" s="843"/>
      <c r="Y560" s="843"/>
      <c r="Z560" s="843"/>
      <c r="AA560" s="837"/>
      <c r="AB560" s="837"/>
      <c r="AC560" s="845">
        <f t="shared" si="94"/>
        <v>0</v>
      </c>
      <c r="AD560" s="846">
        <f t="shared" si="95"/>
        <v>0</v>
      </c>
      <c r="AE560" s="847">
        <f t="shared" si="96"/>
        <v>0</v>
      </c>
      <c r="AF560" s="855">
        <f t="shared" si="89"/>
        <v>0</v>
      </c>
      <c r="AG560" s="848">
        <f>IF('Input Sheet'!$C$15="Yes",'Input Sheet'!$F$8,0)</f>
        <v>0</v>
      </c>
      <c r="AH560" s="846">
        <f>IF('Input Sheet'!$C$15="Yes",Rates!$E$45,0)</f>
        <v>0</v>
      </c>
      <c r="AI560" s="849">
        <f>IF('Input Sheet'!$C$15="Yes",'Input Sheet'!$F$11,0)</f>
        <v>0</v>
      </c>
      <c r="AJ560" s="850">
        <f>IF('Input Sheet'!$C$15="Yes",'Input Sheet'!$F$7,0)</f>
        <v>0</v>
      </c>
      <c r="AK560" s="856">
        <f t="shared" si="90"/>
        <v>0</v>
      </c>
      <c r="AL560" s="856">
        <f t="shared" si="91"/>
        <v>0</v>
      </c>
      <c r="AM560" s="856">
        <f t="shared" si="97"/>
        <v>0</v>
      </c>
      <c r="AN560" s="856">
        <f t="shared" si="92"/>
        <v>0</v>
      </c>
      <c r="AO560" s="852">
        <f t="shared" si="98"/>
        <v>0</v>
      </c>
      <c r="AP560" s="853">
        <f t="shared" si="99"/>
        <v>0</v>
      </c>
      <c r="AQ560" s="854">
        <f>IFERROR(P560*'Input Sheet'!$F$8/(((AI560)*AK560*2)-AN560),0)</f>
        <v>0</v>
      </c>
      <c r="AR560" s="854">
        <f>IFERROR(($P560-$AF560)*'Input Sheet'!$F$8/(((AI560)*AK560*2)-AN560),0)</f>
        <v>0</v>
      </c>
    </row>
    <row r="561" spans="2:44" s="798" customFormat="1" ht="30" customHeight="1" thickBot="1" x14ac:dyDescent="0.3">
      <c r="B561" s="835"/>
      <c r="C561" s="836"/>
      <c r="D561" s="836"/>
      <c r="E561" s="837"/>
      <c r="F561" s="837"/>
      <c r="G561" s="838"/>
      <c r="H561" s="838"/>
      <c r="I561" s="839"/>
      <c r="J561" s="839"/>
      <c r="K561" s="840"/>
      <c r="L561" s="841"/>
      <c r="M561" s="841"/>
      <c r="N561" s="842"/>
      <c r="O561" s="842"/>
      <c r="P561" s="843"/>
      <c r="Q561" s="843"/>
      <c r="R561" s="843"/>
      <c r="S561" s="844">
        <f t="shared" si="93"/>
        <v>0</v>
      </c>
      <c r="T561" s="838"/>
      <c r="U561" s="842"/>
      <c r="V561" s="843"/>
      <c r="W561" s="843"/>
      <c r="X561" s="843"/>
      <c r="Y561" s="843"/>
      <c r="Z561" s="843"/>
      <c r="AA561" s="837"/>
      <c r="AB561" s="837"/>
      <c r="AC561" s="845">
        <f t="shared" si="94"/>
        <v>0</v>
      </c>
      <c r="AD561" s="846">
        <f t="shared" si="95"/>
        <v>0</v>
      </c>
      <c r="AE561" s="847">
        <f t="shared" si="96"/>
        <v>0</v>
      </c>
      <c r="AF561" s="855">
        <f t="shared" si="89"/>
        <v>0</v>
      </c>
      <c r="AG561" s="848">
        <f>IF('Input Sheet'!$C$15="Yes",'Input Sheet'!$F$8,0)</f>
        <v>0</v>
      </c>
      <c r="AH561" s="846">
        <f>IF('Input Sheet'!$C$15="Yes",Rates!$E$45,0)</f>
        <v>0</v>
      </c>
      <c r="AI561" s="849">
        <f>IF('Input Sheet'!$C$15="Yes",'Input Sheet'!$F$11,0)</f>
        <v>0</v>
      </c>
      <c r="AJ561" s="850">
        <f>IF('Input Sheet'!$C$15="Yes",'Input Sheet'!$F$7,0)</f>
        <v>0</v>
      </c>
      <c r="AK561" s="856">
        <f t="shared" si="90"/>
        <v>0</v>
      </c>
      <c r="AL561" s="856">
        <f t="shared" si="91"/>
        <v>0</v>
      </c>
      <c r="AM561" s="856">
        <f t="shared" si="97"/>
        <v>0</v>
      </c>
      <c r="AN561" s="856">
        <f t="shared" si="92"/>
        <v>0</v>
      </c>
      <c r="AO561" s="852">
        <f t="shared" si="98"/>
        <v>0</v>
      </c>
      <c r="AP561" s="853">
        <f t="shared" si="99"/>
        <v>0</v>
      </c>
      <c r="AQ561" s="854">
        <f>IFERROR(P561*'Input Sheet'!$F$8/(((AI561)*AK561*2)-AN561),0)</f>
        <v>0</v>
      </c>
      <c r="AR561" s="854">
        <f>IFERROR(($P561-$AF561)*'Input Sheet'!$F$8/(((AI561)*AK561*2)-AN561),0)</f>
        <v>0</v>
      </c>
    </row>
    <row r="562" spans="2:44" s="798" customFormat="1" ht="30" customHeight="1" thickBot="1" x14ac:dyDescent="0.3">
      <c r="B562" s="835"/>
      <c r="C562" s="836"/>
      <c r="D562" s="836"/>
      <c r="E562" s="837"/>
      <c r="F562" s="837"/>
      <c r="G562" s="838"/>
      <c r="H562" s="838"/>
      <c r="I562" s="839"/>
      <c r="J562" s="839"/>
      <c r="K562" s="840"/>
      <c r="L562" s="841"/>
      <c r="M562" s="841"/>
      <c r="N562" s="842"/>
      <c r="O562" s="842"/>
      <c r="P562" s="843"/>
      <c r="Q562" s="843"/>
      <c r="R562" s="843"/>
      <c r="S562" s="844">
        <f t="shared" si="93"/>
        <v>0</v>
      </c>
      <c r="T562" s="838"/>
      <c r="U562" s="842"/>
      <c r="V562" s="843"/>
      <c r="W562" s="843"/>
      <c r="X562" s="843"/>
      <c r="Y562" s="843"/>
      <c r="Z562" s="843"/>
      <c r="AA562" s="837"/>
      <c r="AB562" s="837"/>
      <c r="AC562" s="845">
        <f t="shared" si="94"/>
        <v>0</v>
      </c>
      <c r="AD562" s="846">
        <f t="shared" si="95"/>
        <v>0</v>
      </c>
      <c r="AE562" s="847">
        <f t="shared" si="96"/>
        <v>0</v>
      </c>
      <c r="AF562" s="855">
        <f t="shared" si="89"/>
        <v>0</v>
      </c>
      <c r="AG562" s="848">
        <f>IF('Input Sheet'!$C$15="Yes",'Input Sheet'!$F$8,0)</f>
        <v>0</v>
      </c>
      <c r="AH562" s="846">
        <f>IF('Input Sheet'!$C$15="Yes",Rates!$E$45,0)</f>
        <v>0</v>
      </c>
      <c r="AI562" s="849">
        <f>IF('Input Sheet'!$C$15="Yes",'Input Sheet'!$F$11,0)</f>
        <v>0</v>
      </c>
      <c r="AJ562" s="850">
        <f>IF('Input Sheet'!$C$15="Yes",'Input Sheet'!$F$7,0)</f>
        <v>0</v>
      </c>
      <c r="AK562" s="856">
        <f t="shared" si="90"/>
        <v>0</v>
      </c>
      <c r="AL562" s="856">
        <f t="shared" si="91"/>
        <v>0</v>
      </c>
      <c r="AM562" s="856">
        <f t="shared" si="97"/>
        <v>0</v>
      </c>
      <c r="AN562" s="856">
        <f t="shared" si="92"/>
        <v>0</v>
      </c>
      <c r="AO562" s="852">
        <f t="shared" si="98"/>
        <v>0</v>
      </c>
      <c r="AP562" s="853">
        <f t="shared" si="99"/>
        <v>0</v>
      </c>
      <c r="AQ562" s="854">
        <f>IFERROR(P562*'Input Sheet'!$F$8/(((AI562)*AK562*2)-AN562),0)</f>
        <v>0</v>
      </c>
      <c r="AR562" s="854">
        <f>IFERROR(($P562-$AF562)*'Input Sheet'!$F$8/(((AI562)*AK562*2)-AN562),0)</f>
        <v>0</v>
      </c>
    </row>
    <row r="563" spans="2:44" s="798" customFormat="1" ht="30" customHeight="1" thickBot="1" x14ac:dyDescent="0.3">
      <c r="B563" s="835"/>
      <c r="C563" s="836"/>
      <c r="D563" s="836"/>
      <c r="E563" s="837"/>
      <c r="F563" s="837"/>
      <c r="G563" s="838"/>
      <c r="H563" s="838"/>
      <c r="I563" s="839"/>
      <c r="J563" s="839"/>
      <c r="K563" s="840"/>
      <c r="L563" s="841"/>
      <c r="M563" s="841"/>
      <c r="N563" s="842"/>
      <c r="O563" s="842"/>
      <c r="P563" s="843"/>
      <c r="Q563" s="843"/>
      <c r="R563" s="843"/>
      <c r="S563" s="844">
        <f t="shared" si="93"/>
        <v>0</v>
      </c>
      <c r="T563" s="838"/>
      <c r="U563" s="842"/>
      <c r="V563" s="843"/>
      <c r="W563" s="843"/>
      <c r="X563" s="843"/>
      <c r="Y563" s="843"/>
      <c r="Z563" s="843"/>
      <c r="AA563" s="837"/>
      <c r="AB563" s="837"/>
      <c r="AC563" s="845">
        <f t="shared" si="94"/>
        <v>0</v>
      </c>
      <c r="AD563" s="846">
        <f t="shared" si="95"/>
        <v>0</v>
      </c>
      <c r="AE563" s="847">
        <f t="shared" si="96"/>
        <v>0</v>
      </c>
      <c r="AF563" s="855">
        <f t="shared" si="89"/>
        <v>0</v>
      </c>
      <c r="AG563" s="848">
        <f>IF('Input Sheet'!$C$15="Yes",'Input Sheet'!$F$8,0)</f>
        <v>0</v>
      </c>
      <c r="AH563" s="846">
        <f>IF('Input Sheet'!$C$15="Yes",Rates!$E$45,0)</f>
        <v>0</v>
      </c>
      <c r="AI563" s="849">
        <f>IF('Input Sheet'!$C$15="Yes",'Input Sheet'!$F$11,0)</f>
        <v>0</v>
      </c>
      <c r="AJ563" s="850">
        <f>IF('Input Sheet'!$C$15="Yes",'Input Sheet'!$F$7,0)</f>
        <v>0</v>
      </c>
      <c r="AK563" s="856">
        <f t="shared" si="90"/>
        <v>0</v>
      </c>
      <c r="AL563" s="856">
        <f t="shared" si="91"/>
        <v>0</v>
      </c>
      <c r="AM563" s="856">
        <f t="shared" si="97"/>
        <v>0</v>
      </c>
      <c r="AN563" s="856">
        <f t="shared" si="92"/>
        <v>0</v>
      </c>
      <c r="AO563" s="852">
        <f t="shared" si="98"/>
        <v>0</v>
      </c>
      <c r="AP563" s="853">
        <f t="shared" si="99"/>
        <v>0</v>
      </c>
      <c r="AQ563" s="854">
        <f>IFERROR(P563*'Input Sheet'!$F$8/(((AI563)*AK563*2)-AN563),0)</f>
        <v>0</v>
      </c>
      <c r="AR563" s="854">
        <f>IFERROR(($P563-$AF563)*'Input Sheet'!$F$8/(((AI563)*AK563*2)-AN563),0)</f>
        <v>0</v>
      </c>
    </row>
    <row r="564" spans="2:44" s="798" customFormat="1" ht="30" customHeight="1" thickBot="1" x14ac:dyDescent="0.3">
      <c r="B564" s="835"/>
      <c r="C564" s="836"/>
      <c r="D564" s="836"/>
      <c r="E564" s="837"/>
      <c r="F564" s="837"/>
      <c r="G564" s="838"/>
      <c r="H564" s="838"/>
      <c r="I564" s="839"/>
      <c r="J564" s="839"/>
      <c r="K564" s="840"/>
      <c r="L564" s="841"/>
      <c r="M564" s="841"/>
      <c r="N564" s="842"/>
      <c r="O564" s="842"/>
      <c r="P564" s="843"/>
      <c r="Q564" s="843"/>
      <c r="R564" s="843"/>
      <c r="S564" s="844">
        <f t="shared" si="93"/>
        <v>0</v>
      </c>
      <c r="T564" s="838"/>
      <c r="U564" s="842"/>
      <c r="V564" s="843"/>
      <c r="W564" s="843"/>
      <c r="X564" s="843"/>
      <c r="Y564" s="843"/>
      <c r="Z564" s="843"/>
      <c r="AA564" s="837"/>
      <c r="AB564" s="837"/>
      <c r="AC564" s="845">
        <f t="shared" si="94"/>
        <v>0</v>
      </c>
      <c r="AD564" s="846">
        <f t="shared" si="95"/>
        <v>0</v>
      </c>
      <c r="AE564" s="847">
        <f t="shared" si="96"/>
        <v>0</v>
      </c>
      <c r="AF564" s="855">
        <f t="shared" si="89"/>
        <v>0</v>
      </c>
      <c r="AG564" s="848">
        <f>IF('Input Sheet'!$C$15="Yes",'Input Sheet'!$F$8,0)</f>
        <v>0</v>
      </c>
      <c r="AH564" s="846">
        <f>IF('Input Sheet'!$C$15="Yes",Rates!$E$45,0)</f>
        <v>0</v>
      </c>
      <c r="AI564" s="849">
        <f>IF('Input Sheet'!$C$15="Yes",'Input Sheet'!$F$11,0)</f>
        <v>0</v>
      </c>
      <c r="AJ564" s="850">
        <f>IF('Input Sheet'!$C$15="Yes",'Input Sheet'!$F$7,0)</f>
        <v>0</v>
      </c>
      <c r="AK564" s="856">
        <f t="shared" si="90"/>
        <v>0</v>
      </c>
      <c r="AL564" s="856">
        <f t="shared" si="91"/>
        <v>0</v>
      </c>
      <c r="AM564" s="856">
        <f t="shared" si="97"/>
        <v>0</v>
      </c>
      <c r="AN564" s="856">
        <f t="shared" si="92"/>
        <v>0</v>
      </c>
      <c r="AO564" s="852">
        <f t="shared" si="98"/>
        <v>0</v>
      </c>
      <c r="AP564" s="853">
        <f t="shared" si="99"/>
        <v>0</v>
      </c>
      <c r="AQ564" s="854">
        <f>IFERROR(P564*'Input Sheet'!$F$8/(((AI564)*AK564*2)-AN564),0)</f>
        <v>0</v>
      </c>
      <c r="AR564" s="854">
        <f>IFERROR(($P564-$AF564)*'Input Sheet'!$F$8/(((AI564)*AK564*2)-AN564),0)</f>
        <v>0</v>
      </c>
    </row>
    <row r="565" spans="2:44" s="798" customFormat="1" ht="30" customHeight="1" thickBot="1" x14ac:dyDescent="0.3">
      <c r="B565" s="835"/>
      <c r="C565" s="836"/>
      <c r="D565" s="836"/>
      <c r="E565" s="837"/>
      <c r="F565" s="837"/>
      <c r="G565" s="838"/>
      <c r="H565" s="838"/>
      <c r="I565" s="839"/>
      <c r="J565" s="839"/>
      <c r="K565" s="840"/>
      <c r="L565" s="841"/>
      <c r="M565" s="841"/>
      <c r="N565" s="842"/>
      <c r="O565" s="842"/>
      <c r="P565" s="843"/>
      <c r="Q565" s="843"/>
      <c r="R565" s="843"/>
      <c r="S565" s="844">
        <f t="shared" si="93"/>
        <v>0</v>
      </c>
      <c r="T565" s="838"/>
      <c r="U565" s="842"/>
      <c r="V565" s="843"/>
      <c r="W565" s="843"/>
      <c r="X565" s="843"/>
      <c r="Y565" s="843"/>
      <c r="Z565" s="843"/>
      <c r="AA565" s="837"/>
      <c r="AB565" s="837"/>
      <c r="AC565" s="845">
        <f t="shared" si="94"/>
        <v>0</v>
      </c>
      <c r="AD565" s="846">
        <f t="shared" si="95"/>
        <v>0</v>
      </c>
      <c r="AE565" s="847">
        <f t="shared" si="96"/>
        <v>0</v>
      </c>
      <c r="AF565" s="855">
        <f t="shared" si="89"/>
        <v>0</v>
      </c>
      <c r="AG565" s="848">
        <f>IF('Input Sheet'!$C$15="Yes",'Input Sheet'!$F$8,0)</f>
        <v>0</v>
      </c>
      <c r="AH565" s="846">
        <f>IF('Input Sheet'!$C$15="Yes",Rates!$E$45,0)</f>
        <v>0</v>
      </c>
      <c r="AI565" s="849">
        <f>IF('Input Sheet'!$C$15="Yes",'Input Sheet'!$F$11,0)</f>
        <v>0</v>
      </c>
      <c r="AJ565" s="850">
        <f>IF('Input Sheet'!$C$15="Yes",'Input Sheet'!$F$7,0)</f>
        <v>0</v>
      </c>
      <c r="AK565" s="856">
        <f t="shared" si="90"/>
        <v>0</v>
      </c>
      <c r="AL565" s="856">
        <f t="shared" si="91"/>
        <v>0</v>
      </c>
      <c r="AM565" s="856">
        <f t="shared" si="97"/>
        <v>0</v>
      </c>
      <c r="AN565" s="856">
        <f t="shared" si="92"/>
        <v>0</v>
      </c>
      <c r="AO565" s="852">
        <f t="shared" si="98"/>
        <v>0</v>
      </c>
      <c r="AP565" s="853">
        <f t="shared" si="99"/>
        <v>0</v>
      </c>
      <c r="AQ565" s="854">
        <f>IFERROR(P565*'Input Sheet'!$F$8/(((AI565)*AK565*2)-AN565),0)</f>
        <v>0</v>
      </c>
      <c r="AR565" s="854">
        <f>IFERROR(($P565-$AF565)*'Input Sheet'!$F$8/(((AI565)*AK565*2)-AN565),0)</f>
        <v>0</v>
      </c>
    </row>
    <row r="566" spans="2:44" s="798" customFormat="1" ht="30" customHeight="1" thickBot="1" x14ac:dyDescent="0.3">
      <c r="B566" s="835"/>
      <c r="C566" s="836"/>
      <c r="D566" s="836"/>
      <c r="E566" s="837"/>
      <c r="F566" s="837"/>
      <c r="G566" s="838"/>
      <c r="H566" s="838"/>
      <c r="I566" s="839"/>
      <c r="J566" s="839"/>
      <c r="K566" s="840"/>
      <c r="L566" s="841"/>
      <c r="M566" s="841"/>
      <c r="N566" s="842"/>
      <c r="O566" s="842"/>
      <c r="P566" s="843"/>
      <c r="Q566" s="843"/>
      <c r="R566" s="843"/>
      <c r="S566" s="844">
        <f t="shared" si="93"/>
        <v>0</v>
      </c>
      <c r="T566" s="838"/>
      <c r="U566" s="842"/>
      <c r="V566" s="843"/>
      <c r="W566" s="843"/>
      <c r="X566" s="843"/>
      <c r="Y566" s="843"/>
      <c r="Z566" s="843"/>
      <c r="AA566" s="837"/>
      <c r="AB566" s="837"/>
      <c r="AC566" s="845">
        <f t="shared" si="94"/>
        <v>0</v>
      </c>
      <c r="AD566" s="846">
        <f t="shared" si="95"/>
        <v>0</v>
      </c>
      <c r="AE566" s="847">
        <f t="shared" si="96"/>
        <v>0</v>
      </c>
      <c r="AF566" s="855">
        <f t="shared" si="89"/>
        <v>0</v>
      </c>
      <c r="AG566" s="848">
        <f>IF('Input Sheet'!$C$15="Yes",'Input Sheet'!$F$8,0)</f>
        <v>0</v>
      </c>
      <c r="AH566" s="846">
        <f>IF('Input Sheet'!$C$15="Yes",Rates!$E$45,0)</f>
        <v>0</v>
      </c>
      <c r="AI566" s="849">
        <f>IF('Input Sheet'!$C$15="Yes",'Input Sheet'!$F$11,0)</f>
        <v>0</v>
      </c>
      <c r="AJ566" s="850">
        <f>IF('Input Sheet'!$C$15="Yes",'Input Sheet'!$F$7,0)</f>
        <v>0</v>
      </c>
      <c r="AK566" s="856">
        <f t="shared" si="90"/>
        <v>0</v>
      </c>
      <c r="AL566" s="856">
        <f t="shared" si="91"/>
        <v>0</v>
      </c>
      <c r="AM566" s="856">
        <f t="shared" si="97"/>
        <v>0</v>
      </c>
      <c r="AN566" s="856">
        <f t="shared" si="92"/>
        <v>0</v>
      </c>
      <c r="AO566" s="852">
        <f t="shared" si="98"/>
        <v>0</v>
      </c>
      <c r="AP566" s="853">
        <f t="shared" si="99"/>
        <v>0</v>
      </c>
      <c r="AQ566" s="854">
        <f>IFERROR(P566*'Input Sheet'!$F$8/(((AI566)*AK566*2)-AN566),0)</f>
        <v>0</v>
      </c>
      <c r="AR566" s="854">
        <f>IFERROR(($P566-$AF566)*'Input Sheet'!$F$8/(((AI566)*AK566*2)-AN566),0)</f>
        <v>0</v>
      </c>
    </row>
    <row r="567" spans="2:44" s="798" customFormat="1" ht="30" customHeight="1" thickBot="1" x14ac:dyDescent="0.3">
      <c r="B567" s="835"/>
      <c r="C567" s="836"/>
      <c r="D567" s="836"/>
      <c r="E567" s="837"/>
      <c r="F567" s="837"/>
      <c r="G567" s="838"/>
      <c r="H567" s="838"/>
      <c r="I567" s="839"/>
      <c r="J567" s="839"/>
      <c r="K567" s="840"/>
      <c r="L567" s="841"/>
      <c r="M567" s="841"/>
      <c r="N567" s="842"/>
      <c r="O567" s="842"/>
      <c r="P567" s="843"/>
      <c r="Q567" s="843"/>
      <c r="R567" s="843"/>
      <c r="S567" s="844">
        <f t="shared" si="93"/>
        <v>0</v>
      </c>
      <c r="T567" s="838"/>
      <c r="U567" s="842"/>
      <c r="V567" s="843"/>
      <c r="W567" s="843"/>
      <c r="X567" s="843"/>
      <c r="Y567" s="843"/>
      <c r="Z567" s="843"/>
      <c r="AA567" s="837"/>
      <c r="AB567" s="837"/>
      <c r="AC567" s="845">
        <f t="shared" si="94"/>
        <v>0</v>
      </c>
      <c r="AD567" s="846">
        <f t="shared" si="95"/>
        <v>0</v>
      </c>
      <c r="AE567" s="847">
        <f t="shared" si="96"/>
        <v>0</v>
      </c>
      <c r="AF567" s="855">
        <f t="shared" si="89"/>
        <v>0</v>
      </c>
      <c r="AG567" s="848">
        <f>IF('Input Sheet'!$C$15="Yes",'Input Sheet'!$F$8,0)</f>
        <v>0</v>
      </c>
      <c r="AH567" s="846">
        <f>IF('Input Sheet'!$C$15="Yes",Rates!$E$45,0)</f>
        <v>0</v>
      </c>
      <c r="AI567" s="849">
        <f>IF('Input Sheet'!$C$15="Yes",'Input Sheet'!$F$11,0)</f>
        <v>0</v>
      </c>
      <c r="AJ567" s="850">
        <f>IF('Input Sheet'!$C$15="Yes",'Input Sheet'!$F$7,0)</f>
        <v>0</v>
      </c>
      <c r="AK567" s="856">
        <f t="shared" si="90"/>
        <v>0</v>
      </c>
      <c r="AL567" s="856">
        <f t="shared" si="91"/>
        <v>0</v>
      </c>
      <c r="AM567" s="856">
        <f t="shared" si="97"/>
        <v>0</v>
      </c>
      <c r="AN567" s="856">
        <f t="shared" si="92"/>
        <v>0</v>
      </c>
      <c r="AO567" s="852">
        <f t="shared" si="98"/>
        <v>0</v>
      </c>
      <c r="AP567" s="853">
        <f t="shared" si="99"/>
        <v>0</v>
      </c>
      <c r="AQ567" s="854">
        <f>IFERROR(P567*'Input Sheet'!$F$8/(((AI567)*AK567*2)-AN567),0)</f>
        <v>0</v>
      </c>
      <c r="AR567" s="854">
        <f>IFERROR(($P567-$AF567)*'Input Sheet'!$F$8/(((AI567)*AK567*2)-AN567),0)</f>
        <v>0</v>
      </c>
    </row>
    <row r="568" spans="2:44" s="798" customFormat="1" ht="30" customHeight="1" thickBot="1" x14ac:dyDescent="0.3">
      <c r="B568" s="835"/>
      <c r="C568" s="836"/>
      <c r="D568" s="836"/>
      <c r="E568" s="837"/>
      <c r="F568" s="837"/>
      <c r="G568" s="838"/>
      <c r="H568" s="838"/>
      <c r="I568" s="839"/>
      <c r="J568" s="839"/>
      <c r="K568" s="840"/>
      <c r="L568" s="841"/>
      <c r="M568" s="841"/>
      <c r="N568" s="842"/>
      <c r="O568" s="842"/>
      <c r="P568" s="843"/>
      <c r="Q568" s="843"/>
      <c r="R568" s="843"/>
      <c r="S568" s="844">
        <f t="shared" si="93"/>
        <v>0</v>
      </c>
      <c r="T568" s="838"/>
      <c r="U568" s="842"/>
      <c r="V568" s="843"/>
      <c r="W568" s="843"/>
      <c r="X568" s="843"/>
      <c r="Y568" s="843"/>
      <c r="Z568" s="843"/>
      <c r="AA568" s="837"/>
      <c r="AB568" s="837"/>
      <c r="AC568" s="845">
        <f t="shared" si="94"/>
        <v>0</v>
      </c>
      <c r="AD568" s="846">
        <f t="shared" si="95"/>
        <v>0</v>
      </c>
      <c r="AE568" s="847">
        <f t="shared" si="96"/>
        <v>0</v>
      </c>
      <c r="AF568" s="855">
        <f t="shared" si="89"/>
        <v>0</v>
      </c>
      <c r="AG568" s="848">
        <f>IF('Input Sheet'!$C$15="Yes",'Input Sheet'!$F$8,0)</f>
        <v>0</v>
      </c>
      <c r="AH568" s="846">
        <f>IF('Input Sheet'!$C$15="Yes",Rates!$E$45,0)</f>
        <v>0</v>
      </c>
      <c r="AI568" s="849">
        <f>IF('Input Sheet'!$C$15="Yes",'Input Sheet'!$F$11,0)</f>
        <v>0</v>
      </c>
      <c r="AJ568" s="850">
        <f>IF('Input Sheet'!$C$15="Yes",'Input Sheet'!$F$7,0)</f>
        <v>0</v>
      </c>
      <c r="AK568" s="856">
        <f t="shared" si="90"/>
        <v>0</v>
      </c>
      <c r="AL568" s="856">
        <f t="shared" si="91"/>
        <v>0</v>
      </c>
      <c r="AM568" s="856">
        <f t="shared" si="97"/>
        <v>0</v>
      </c>
      <c r="AN568" s="856">
        <f t="shared" si="92"/>
        <v>0</v>
      </c>
      <c r="AO568" s="852">
        <f t="shared" si="98"/>
        <v>0</v>
      </c>
      <c r="AP568" s="853">
        <f t="shared" si="99"/>
        <v>0</v>
      </c>
      <c r="AQ568" s="854">
        <f>IFERROR(P568*'Input Sheet'!$F$8/(((AI568)*AK568*2)-AN568),0)</f>
        <v>0</v>
      </c>
      <c r="AR568" s="854">
        <f>IFERROR(($P568-$AF568)*'Input Sheet'!$F$8/(((AI568)*AK568*2)-AN568),0)</f>
        <v>0</v>
      </c>
    </row>
    <row r="569" spans="2:44" s="798" customFormat="1" ht="30" customHeight="1" thickBot="1" x14ac:dyDescent="0.3">
      <c r="B569" s="835"/>
      <c r="C569" s="836"/>
      <c r="D569" s="836"/>
      <c r="E569" s="837"/>
      <c r="F569" s="837"/>
      <c r="G569" s="838"/>
      <c r="H569" s="838"/>
      <c r="I569" s="839"/>
      <c r="J569" s="839"/>
      <c r="K569" s="840"/>
      <c r="L569" s="841"/>
      <c r="M569" s="841"/>
      <c r="N569" s="842"/>
      <c r="O569" s="842"/>
      <c r="P569" s="843"/>
      <c r="Q569" s="843"/>
      <c r="R569" s="843"/>
      <c r="S569" s="844">
        <f t="shared" si="93"/>
        <v>0</v>
      </c>
      <c r="T569" s="838"/>
      <c r="U569" s="842"/>
      <c r="V569" s="843"/>
      <c r="W569" s="843"/>
      <c r="X569" s="843"/>
      <c r="Y569" s="843"/>
      <c r="Z569" s="843"/>
      <c r="AA569" s="837"/>
      <c r="AB569" s="837"/>
      <c r="AC569" s="845">
        <f t="shared" si="94"/>
        <v>0</v>
      </c>
      <c r="AD569" s="846">
        <f t="shared" si="95"/>
        <v>0</v>
      </c>
      <c r="AE569" s="847">
        <f t="shared" si="96"/>
        <v>0</v>
      </c>
      <c r="AF569" s="855">
        <f t="shared" si="89"/>
        <v>0</v>
      </c>
      <c r="AG569" s="848">
        <f>IF('Input Sheet'!$C$15="Yes",'Input Sheet'!$F$8,0)</f>
        <v>0</v>
      </c>
      <c r="AH569" s="846">
        <f>IF('Input Sheet'!$C$15="Yes",Rates!$E$45,0)</f>
        <v>0</v>
      </c>
      <c r="AI569" s="849">
        <f>IF('Input Sheet'!$C$15="Yes",'Input Sheet'!$F$11,0)</f>
        <v>0</v>
      </c>
      <c r="AJ569" s="850">
        <f>IF('Input Sheet'!$C$15="Yes",'Input Sheet'!$F$7,0)</f>
        <v>0</v>
      </c>
      <c r="AK569" s="856">
        <f t="shared" si="90"/>
        <v>0</v>
      </c>
      <c r="AL569" s="856">
        <f t="shared" si="91"/>
        <v>0</v>
      </c>
      <c r="AM569" s="856">
        <f t="shared" si="97"/>
        <v>0</v>
      </c>
      <c r="AN569" s="856">
        <f t="shared" si="92"/>
        <v>0</v>
      </c>
      <c r="AO569" s="852">
        <f t="shared" si="98"/>
        <v>0</v>
      </c>
      <c r="AP569" s="853">
        <f t="shared" si="99"/>
        <v>0</v>
      </c>
      <c r="AQ569" s="854">
        <f>IFERROR(P569*'Input Sheet'!$F$8/(((AI569)*AK569*2)-AN569),0)</f>
        <v>0</v>
      </c>
      <c r="AR569" s="854">
        <f>IFERROR(($P569-$AF569)*'Input Sheet'!$F$8/(((AI569)*AK569*2)-AN569),0)</f>
        <v>0</v>
      </c>
    </row>
    <row r="570" spans="2:44" s="798" customFormat="1" ht="30" customHeight="1" thickBot="1" x14ac:dyDescent="0.3">
      <c r="B570" s="835"/>
      <c r="C570" s="836"/>
      <c r="D570" s="836"/>
      <c r="E570" s="837"/>
      <c r="F570" s="837"/>
      <c r="G570" s="838"/>
      <c r="H570" s="838"/>
      <c r="I570" s="839"/>
      <c r="J570" s="839"/>
      <c r="K570" s="840"/>
      <c r="L570" s="841"/>
      <c r="M570" s="841"/>
      <c r="N570" s="842"/>
      <c r="O570" s="842"/>
      <c r="P570" s="843"/>
      <c r="Q570" s="843"/>
      <c r="R570" s="843"/>
      <c r="S570" s="844">
        <f t="shared" si="93"/>
        <v>0</v>
      </c>
      <c r="T570" s="838"/>
      <c r="U570" s="842"/>
      <c r="V570" s="843"/>
      <c r="W570" s="843"/>
      <c r="X570" s="843"/>
      <c r="Y570" s="843"/>
      <c r="Z570" s="843"/>
      <c r="AA570" s="837"/>
      <c r="AB570" s="837"/>
      <c r="AC570" s="845">
        <f t="shared" si="94"/>
        <v>0</v>
      </c>
      <c r="AD570" s="846">
        <f t="shared" si="95"/>
        <v>0</v>
      </c>
      <c r="AE570" s="847">
        <f t="shared" si="96"/>
        <v>0</v>
      </c>
      <c r="AF570" s="855">
        <f t="shared" si="89"/>
        <v>0</v>
      </c>
      <c r="AG570" s="848">
        <f>IF('Input Sheet'!$C$15="Yes",'Input Sheet'!$F$8,0)</f>
        <v>0</v>
      </c>
      <c r="AH570" s="846">
        <f>IF('Input Sheet'!$C$15="Yes",Rates!$E$45,0)</f>
        <v>0</v>
      </c>
      <c r="AI570" s="849">
        <f>IF('Input Sheet'!$C$15="Yes",'Input Sheet'!$F$11,0)</f>
        <v>0</v>
      </c>
      <c r="AJ570" s="850">
        <f>IF('Input Sheet'!$C$15="Yes",'Input Sheet'!$F$7,0)</f>
        <v>0</v>
      </c>
      <c r="AK570" s="856">
        <f t="shared" si="90"/>
        <v>0</v>
      </c>
      <c r="AL570" s="856">
        <f t="shared" si="91"/>
        <v>0</v>
      </c>
      <c r="AM570" s="856">
        <f t="shared" si="97"/>
        <v>0</v>
      </c>
      <c r="AN570" s="856">
        <f t="shared" si="92"/>
        <v>0</v>
      </c>
      <c r="AO570" s="852">
        <f t="shared" si="98"/>
        <v>0</v>
      </c>
      <c r="AP570" s="853">
        <f t="shared" si="99"/>
        <v>0</v>
      </c>
      <c r="AQ570" s="854">
        <f>IFERROR(P570*'Input Sheet'!$F$8/(((AI570)*AK570*2)-AN570),0)</f>
        <v>0</v>
      </c>
      <c r="AR570" s="854">
        <f>IFERROR(($P570-$AF570)*'Input Sheet'!$F$8/(((AI570)*AK570*2)-AN570),0)</f>
        <v>0</v>
      </c>
    </row>
    <row r="571" spans="2:44" s="798" customFormat="1" ht="30" customHeight="1" thickBot="1" x14ac:dyDescent="0.3">
      <c r="B571" s="835"/>
      <c r="C571" s="836"/>
      <c r="D571" s="836"/>
      <c r="E571" s="837"/>
      <c r="F571" s="837"/>
      <c r="G571" s="838"/>
      <c r="H571" s="838"/>
      <c r="I571" s="839"/>
      <c r="J571" s="839"/>
      <c r="K571" s="840"/>
      <c r="L571" s="841"/>
      <c r="M571" s="841"/>
      <c r="N571" s="842"/>
      <c r="O571" s="842"/>
      <c r="P571" s="843"/>
      <c r="Q571" s="843"/>
      <c r="R571" s="843"/>
      <c r="S571" s="844">
        <f t="shared" si="93"/>
        <v>0</v>
      </c>
      <c r="T571" s="838"/>
      <c r="U571" s="842"/>
      <c r="V571" s="843"/>
      <c r="W571" s="843"/>
      <c r="X571" s="843"/>
      <c r="Y571" s="843"/>
      <c r="Z571" s="843"/>
      <c r="AA571" s="837"/>
      <c r="AB571" s="837"/>
      <c r="AC571" s="845">
        <f t="shared" si="94"/>
        <v>0</v>
      </c>
      <c r="AD571" s="846">
        <f t="shared" si="95"/>
        <v>0</v>
      </c>
      <c r="AE571" s="847">
        <f t="shared" si="96"/>
        <v>0</v>
      </c>
      <c r="AF571" s="855">
        <f t="shared" si="89"/>
        <v>0</v>
      </c>
      <c r="AG571" s="848">
        <f>IF('Input Sheet'!$C$15="Yes",'Input Sheet'!$F$8,0)</f>
        <v>0</v>
      </c>
      <c r="AH571" s="846">
        <f>IF('Input Sheet'!$C$15="Yes",Rates!$E$45,0)</f>
        <v>0</v>
      </c>
      <c r="AI571" s="849">
        <f>IF('Input Sheet'!$C$15="Yes",'Input Sheet'!$F$11,0)</f>
        <v>0</v>
      </c>
      <c r="AJ571" s="850">
        <f>IF('Input Sheet'!$C$15="Yes",'Input Sheet'!$F$7,0)</f>
        <v>0</v>
      </c>
      <c r="AK571" s="856">
        <f t="shared" si="90"/>
        <v>0</v>
      </c>
      <c r="AL571" s="856">
        <f t="shared" si="91"/>
        <v>0</v>
      </c>
      <c r="AM571" s="856">
        <f t="shared" si="97"/>
        <v>0</v>
      </c>
      <c r="AN571" s="856">
        <f t="shared" si="92"/>
        <v>0</v>
      </c>
      <c r="AO571" s="852">
        <f t="shared" si="98"/>
        <v>0</v>
      </c>
      <c r="AP571" s="853">
        <f t="shared" si="99"/>
        <v>0</v>
      </c>
      <c r="AQ571" s="854">
        <f>IFERROR(P571*'Input Sheet'!$F$8/(((AI571)*AK571*2)-AN571),0)</f>
        <v>0</v>
      </c>
      <c r="AR571" s="854">
        <f>IFERROR(($P571-$AF571)*'Input Sheet'!$F$8/(((AI571)*AK571*2)-AN571),0)</f>
        <v>0</v>
      </c>
    </row>
    <row r="572" spans="2:44" s="798" customFormat="1" ht="30" customHeight="1" thickBot="1" x14ac:dyDescent="0.3">
      <c r="B572" s="835"/>
      <c r="C572" s="836"/>
      <c r="D572" s="836"/>
      <c r="E572" s="837"/>
      <c r="F572" s="837"/>
      <c r="G572" s="838"/>
      <c r="H572" s="838"/>
      <c r="I572" s="839"/>
      <c r="J572" s="839"/>
      <c r="K572" s="840"/>
      <c r="L572" s="841"/>
      <c r="M572" s="841"/>
      <c r="N572" s="842"/>
      <c r="O572" s="842"/>
      <c r="P572" s="843"/>
      <c r="Q572" s="843"/>
      <c r="R572" s="843"/>
      <c r="S572" s="844">
        <f t="shared" si="93"/>
        <v>0</v>
      </c>
      <c r="T572" s="838"/>
      <c r="U572" s="842"/>
      <c r="V572" s="843"/>
      <c r="W572" s="843"/>
      <c r="X572" s="843"/>
      <c r="Y572" s="843"/>
      <c r="Z572" s="843"/>
      <c r="AA572" s="837"/>
      <c r="AB572" s="837"/>
      <c r="AC572" s="845">
        <f t="shared" si="94"/>
        <v>0</v>
      </c>
      <c r="AD572" s="846">
        <f t="shared" si="95"/>
        <v>0</v>
      </c>
      <c r="AE572" s="847">
        <f t="shared" si="96"/>
        <v>0</v>
      </c>
      <c r="AF572" s="855">
        <f t="shared" si="89"/>
        <v>0</v>
      </c>
      <c r="AG572" s="848">
        <f>IF('Input Sheet'!$C$15="Yes",'Input Sheet'!$F$8,0)</f>
        <v>0</v>
      </c>
      <c r="AH572" s="846">
        <f>IF('Input Sheet'!$C$15="Yes",Rates!$E$45,0)</f>
        <v>0</v>
      </c>
      <c r="AI572" s="849">
        <f>IF('Input Sheet'!$C$15="Yes",'Input Sheet'!$F$11,0)</f>
        <v>0</v>
      </c>
      <c r="AJ572" s="850">
        <f>IF('Input Sheet'!$C$15="Yes",'Input Sheet'!$F$7,0)</f>
        <v>0</v>
      </c>
      <c r="AK572" s="856">
        <f t="shared" si="90"/>
        <v>0</v>
      </c>
      <c r="AL572" s="856">
        <f t="shared" si="91"/>
        <v>0</v>
      </c>
      <c r="AM572" s="856">
        <f t="shared" si="97"/>
        <v>0</v>
      </c>
      <c r="AN572" s="856">
        <f t="shared" si="92"/>
        <v>0</v>
      </c>
      <c r="AO572" s="852">
        <f t="shared" si="98"/>
        <v>0</v>
      </c>
      <c r="AP572" s="853">
        <f t="shared" si="99"/>
        <v>0</v>
      </c>
      <c r="AQ572" s="854">
        <f>IFERROR(P572*'Input Sheet'!$F$8/(((AI572)*AK572*2)-AN572),0)</f>
        <v>0</v>
      </c>
      <c r="AR572" s="854">
        <f>IFERROR(($P572-$AF572)*'Input Sheet'!$F$8/(((AI572)*AK572*2)-AN572),0)</f>
        <v>0</v>
      </c>
    </row>
    <row r="573" spans="2:44" s="798" customFormat="1" ht="30" customHeight="1" thickBot="1" x14ac:dyDescent="0.3">
      <c r="B573" s="835"/>
      <c r="C573" s="836"/>
      <c r="D573" s="836"/>
      <c r="E573" s="837"/>
      <c r="F573" s="837"/>
      <c r="G573" s="838"/>
      <c r="H573" s="838"/>
      <c r="I573" s="839"/>
      <c r="J573" s="839"/>
      <c r="K573" s="840"/>
      <c r="L573" s="841"/>
      <c r="M573" s="841"/>
      <c r="N573" s="842"/>
      <c r="O573" s="842"/>
      <c r="P573" s="843"/>
      <c r="Q573" s="843"/>
      <c r="R573" s="843"/>
      <c r="S573" s="844">
        <f t="shared" si="93"/>
        <v>0</v>
      </c>
      <c r="T573" s="838"/>
      <c r="U573" s="842"/>
      <c r="V573" s="843"/>
      <c r="W573" s="843"/>
      <c r="X573" s="843"/>
      <c r="Y573" s="843"/>
      <c r="Z573" s="843"/>
      <c r="AA573" s="837"/>
      <c r="AB573" s="837"/>
      <c r="AC573" s="845">
        <f t="shared" si="94"/>
        <v>0</v>
      </c>
      <c r="AD573" s="846">
        <f t="shared" si="95"/>
        <v>0</v>
      </c>
      <c r="AE573" s="847">
        <f t="shared" si="96"/>
        <v>0</v>
      </c>
      <c r="AF573" s="855">
        <f t="shared" si="89"/>
        <v>0</v>
      </c>
      <c r="AG573" s="848">
        <f>IF('Input Sheet'!$C$15="Yes",'Input Sheet'!$F$8,0)</f>
        <v>0</v>
      </c>
      <c r="AH573" s="846">
        <f>IF('Input Sheet'!$C$15="Yes",Rates!$E$45,0)</f>
        <v>0</v>
      </c>
      <c r="AI573" s="849">
        <f>IF('Input Sheet'!$C$15="Yes",'Input Sheet'!$F$11,0)</f>
        <v>0</v>
      </c>
      <c r="AJ573" s="850">
        <f>IF('Input Sheet'!$C$15="Yes",'Input Sheet'!$F$7,0)</f>
        <v>0</v>
      </c>
      <c r="AK573" s="856">
        <f t="shared" si="90"/>
        <v>0</v>
      </c>
      <c r="AL573" s="856">
        <f t="shared" si="91"/>
        <v>0</v>
      </c>
      <c r="AM573" s="856">
        <f t="shared" si="97"/>
        <v>0</v>
      </c>
      <c r="AN573" s="856">
        <f t="shared" si="92"/>
        <v>0</v>
      </c>
      <c r="AO573" s="852">
        <f t="shared" si="98"/>
        <v>0</v>
      </c>
      <c r="AP573" s="853">
        <f t="shared" si="99"/>
        <v>0</v>
      </c>
      <c r="AQ573" s="854">
        <f>IFERROR(P573*'Input Sheet'!$F$8/(((AI573)*AK573*2)-AN573),0)</f>
        <v>0</v>
      </c>
      <c r="AR573" s="854">
        <f>IFERROR(($P573-$AF573)*'Input Sheet'!$F$8/(((AI573)*AK573*2)-AN573),0)</f>
        <v>0</v>
      </c>
    </row>
    <row r="574" spans="2:44" s="798" customFormat="1" ht="30" customHeight="1" thickBot="1" x14ac:dyDescent="0.3">
      <c r="B574" s="835"/>
      <c r="C574" s="836"/>
      <c r="D574" s="836"/>
      <c r="E574" s="837"/>
      <c r="F574" s="837"/>
      <c r="G574" s="838"/>
      <c r="H574" s="838"/>
      <c r="I574" s="839"/>
      <c r="J574" s="839"/>
      <c r="K574" s="840"/>
      <c r="L574" s="841"/>
      <c r="M574" s="841"/>
      <c r="N574" s="842"/>
      <c r="O574" s="842"/>
      <c r="P574" s="843"/>
      <c r="Q574" s="843"/>
      <c r="R574" s="843"/>
      <c r="S574" s="844">
        <f t="shared" si="93"/>
        <v>0</v>
      </c>
      <c r="T574" s="838"/>
      <c r="U574" s="842"/>
      <c r="V574" s="843"/>
      <c r="W574" s="843"/>
      <c r="X574" s="843"/>
      <c r="Y574" s="843"/>
      <c r="Z574" s="843"/>
      <c r="AA574" s="837"/>
      <c r="AB574" s="837"/>
      <c r="AC574" s="845">
        <f t="shared" si="94"/>
        <v>0</v>
      </c>
      <c r="AD574" s="846">
        <f t="shared" si="95"/>
        <v>0</v>
      </c>
      <c r="AE574" s="847">
        <f t="shared" si="96"/>
        <v>0</v>
      </c>
      <c r="AF574" s="855">
        <f t="shared" si="89"/>
        <v>0</v>
      </c>
      <c r="AG574" s="848">
        <f>IF('Input Sheet'!$C$15="Yes",'Input Sheet'!$F$8,0)</f>
        <v>0</v>
      </c>
      <c r="AH574" s="846">
        <f>IF('Input Sheet'!$C$15="Yes",Rates!$E$45,0)</f>
        <v>0</v>
      </c>
      <c r="AI574" s="849">
        <f>IF('Input Sheet'!$C$15="Yes",'Input Sheet'!$F$11,0)</f>
        <v>0</v>
      </c>
      <c r="AJ574" s="850">
        <f>IF('Input Sheet'!$C$15="Yes",'Input Sheet'!$F$7,0)</f>
        <v>0</v>
      </c>
      <c r="AK574" s="856">
        <f t="shared" si="90"/>
        <v>0</v>
      </c>
      <c r="AL574" s="856">
        <f t="shared" si="91"/>
        <v>0</v>
      </c>
      <c r="AM574" s="856">
        <f t="shared" si="97"/>
        <v>0</v>
      </c>
      <c r="AN574" s="856">
        <f t="shared" si="92"/>
        <v>0</v>
      </c>
      <c r="AO574" s="852">
        <f t="shared" si="98"/>
        <v>0</v>
      </c>
      <c r="AP574" s="853">
        <f t="shared" si="99"/>
        <v>0</v>
      </c>
      <c r="AQ574" s="854">
        <f>IFERROR(P574*'Input Sheet'!$F$8/(((AI574)*AK574*2)-AN574),0)</f>
        <v>0</v>
      </c>
      <c r="AR574" s="854">
        <f>IFERROR(($P574-$AF574)*'Input Sheet'!$F$8/(((AI574)*AK574*2)-AN574),0)</f>
        <v>0</v>
      </c>
    </row>
    <row r="575" spans="2:44" s="798" customFormat="1" ht="30" customHeight="1" thickBot="1" x14ac:dyDescent="0.3">
      <c r="B575" s="835"/>
      <c r="C575" s="836"/>
      <c r="D575" s="836"/>
      <c r="E575" s="837"/>
      <c r="F575" s="837"/>
      <c r="G575" s="838"/>
      <c r="H575" s="838"/>
      <c r="I575" s="839"/>
      <c r="J575" s="839"/>
      <c r="K575" s="840"/>
      <c r="L575" s="841"/>
      <c r="M575" s="841"/>
      <c r="N575" s="842"/>
      <c r="O575" s="842"/>
      <c r="P575" s="843"/>
      <c r="Q575" s="843"/>
      <c r="R575" s="843"/>
      <c r="S575" s="844">
        <f t="shared" si="93"/>
        <v>0</v>
      </c>
      <c r="T575" s="838"/>
      <c r="U575" s="842"/>
      <c r="V575" s="843"/>
      <c r="W575" s="843"/>
      <c r="X575" s="843"/>
      <c r="Y575" s="843"/>
      <c r="Z575" s="843"/>
      <c r="AA575" s="837"/>
      <c r="AB575" s="837"/>
      <c r="AC575" s="845">
        <f t="shared" si="94"/>
        <v>0</v>
      </c>
      <c r="AD575" s="846">
        <f t="shared" si="95"/>
        <v>0</v>
      </c>
      <c r="AE575" s="847">
        <f t="shared" si="96"/>
        <v>0</v>
      </c>
      <c r="AF575" s="855">
        <f t="shared" si="89"/>
        <v>0</v>
      </c>
      <c r="AG575" s="848">
        <f>IF('Input Sheet'!$C$15="Yes",'Input Sheet'!$F$8,0)</f>
        <v>0</v>
      </c>
      <c r="AH575" s="846">
        <f>IF('Input Sheet'!$C$15="Yes",Rates!$E$45,0)</f>
        <v>0</v>
      </c>
      <c r="AI575" s="849">
        <f>IF('Input Sheet'!$C$15="Yes",'Input Sheet'!$F$11,0)</f>
        <v>0</v>
      </c>
      <c r="AJ575" s="850">
        <f>IF('Input Sheet'!$C$15="Yes",'Input Sheet'!$F$7,0)</f>
        <v>0</v>
      </c>
      <c r="AK575" s="856">
        <f t="shared" si="90"/>
        <v>0</v>
      </c>
      <c r="AL575" s="856">
        <f t="shared" si="91"/>
        <v>0</v>
      </c>
      <c r="AM575" s="856">
        <f t="shared" si="97"/>
        <v>0</v>
      </c>
      <c r="AN575" s="856">
        <f t="shared" si="92"/>
        <v>0</v>
      </c>
      <c r="AO575" s="852">
        <f t="shared" si="98"/>
        <v>0</v>
      </c>
      <c r="AP575" s="853">
        <f t="shared" si="99"/>
        <v>0</v>
      </c>
      <c r="AQ575" s="854">
        <f>IFERROR(P575*'Input Sheet'!$F$8/(((AI575)*AK575*2)-AN575),0)</f>
        <v>0</v>
      </c>
      <c r="AR575" s="854">
        <f>IFERROR(($P575-$AF575)*'Input Sheet'!$F$8/(((AI575)*AK575*2)-AN575),0)</f>
        <v>0</v>
      </c>
    </row>
    <row r="576" spans="2:44" s="798" customFormat="1" ht="30" customHeight="1" thickBot="1" x14ac:dyDescent="0.3">
      <c r="B576" s="835"/>
      <c r="C576" s="836"/>
      <c r="D576" s="836"/>
      <c r="E576" s="837"/>
      <c r="F576" s="837"/>
      <c r="G576" s="838"/>
      <c r="H576" s="838"/>
      <c r="I576" s="839"/>
      <c r="J576" s="839"/>
      <c r="K576" s="840"/>
      <c r="L576" s="841"/>
      <c r="M576" s="841"/>
      <c r="N576" s="842"/>
      <c r="O576" s="842"/>
      <c r="P576" s="843"/>
      <c r="Q576" s="843"/>
      <c r="R576" s="843"/>
      <c r="S576" s="844">
        <f t="shared" si="93"/>
        <v>0</v>
      </c>
      <c r="T576" s="838"/>
      <c r="U576" s="842"/>
      <c r="V576" s="843"/>
      <c r="W576" s="843"/>
      <c r="X576" s="843"/>
      <c r="Y576" s="843"/>
      <c r="Z576" s="843"/>
      <c r="AA576" s="837"/>
      <c r="AB576" s="837"/>
      <c r="AC576" s="845">
        <f t="shared" si="94"/>
        <v>0</v>
      </c>
      <c r="AD576" s="846">
        <f t="shared" si="95"/>
        <v>0</v>
      </c>
      <c r="AE576" s="847">
        <f t="shared" si="96"/>
        <v>0</v>
      </c>
      <c r="AF576" s="855">
        <f t="shared" si="89"/>
        <v>0</v>
      </c>
      <c r="AG576" s="848">
        <f>IF('Input Sheet'!$C$15="Yes",'Input Sheet'!$F$8,0)</f>
        <v>0</v>
      </c>
      <c r="AH576" s="846">
        <f>IF('Input Sheet'!$C$15="Yes",Rates!$E$45,0)</f>
        <v>0</v>
      </c>
      <c r="AI576" s="849">
        <f>IF('Input Sheet'!$C$15="Yes",'Input Sheet'!$F$11,0)</f>
        <v>0</v>
      </c>
      <c r="AJ576" s="850">
        <f>IF('Input Sheet'!$C$15="Yes",'Input Sheet'!$F$7,0)</f>
        <v>0</v>
      </c>
      <c r="AK576" s="856">
        <f t="shared" si="90"/>
        <v>0</v>
      </c>
      <c r="AL576" s="856">
        <f t="shared" si="91"/>
        <v>0</v>
      </c>
      <c r="AM576" s="856">
        <f t="shared" si="97"/>
        <v>0</v>
      </c>
      <c r="AN576" s="856">
        <f t="shared" si="92"/>
        <v>0</v>
      </c>
      <c r="AO576" s="852">
        <f t="shared" si="98"/>
        <v>0</v>
      </c>
      <c r="AP576" s="853">
        <f t="shared" si="99"/>
        <v>0</v>
      </c>
      <c r="AQ576" s="854">
        <f>IFERROR(P576*'Input Sheet'!$F$8/(((AI576)*AK576*2)-AN576),0)</f>
        <v>0</v>
      </c>
      <c r="AR576" s="854">
        <f>IFERROR(($P576-$AF576)*'Input Sheet'!$F$8/(((AI576)*AK576*2)-AN576),0)</f>
        <v>0</v>
      </c>
    </row>
    <row r="577" spans="2:44" s="798" customFormat="1" ht="30" customHeight="1" thickBot="1" x14ac:dyDescent="0.3">
      <c r="B577" s="835"/>
      <c r="C577" s="836"/>
      <c r="D577" s="836"/>
      <c r="E577" s="837"/>
      <c r="F577" s="837"/>
      <c r="G577" s="838"/>
      <c r="H577" s="838"/>
      <c r="I577" s="839"/>
      <c r="J577" s="839"/>
      <c r="K577" s="840"/>
      <c r="L577" s="841"/>
      <c r="M577" s="841"/>
      <c r="N577" s="842"/>
      <c r="O577" s="842"/>
      <c r="P577" s="843"/>
      <c r="Q577" s="843"/>
      <c r="R577" s="843"/>
      <c r="S577" s="844">
        <f t="shared" si="93"/>
        <v>0</v>
      </c>
      <c r="T577" s="838"/>
      <c r="U577" s="842"/>
      <c r="V577" s="843"/>
      <c r="W577" s="843"/>
      <c r="X577" s="843"/>
      <c r="Y577" s="843"/>
      <c r="Z577" s="843"/>
      <c r="AA577" s="837"/>
      <c r="AB577" s="837"/>
      <c r="AC577" s="845">
        <f t="shared" si="94"/>
        <v>0</v>
      </c>
      <c r="AD577" s="846">
        <f t="shared" si="95"/>
        <v>0</v>
      </c>
      <c r="AE577" s="847">
        <f t="shared" si="96"/>
        <v>0</v>
      </c>
      <c r="AF577" s="855">
        <f t="shared" si="89"/>
        <v>0</v>
      </c>
      <c r="AG577" s="848">
        <f>IF('Input Sheet'!$C$15="Yes",'Input Sheet'!$F$8,0)</f>
        <v>0</v>
      </c>
      <c r="AH577" s="846">
        <f>IF('Input Sheet'!$C$15="Yes",Rates!$E$45,0)</f>
        <v>0</v>
      </c>
      <c r="AI577" s="849">
        <f>IF('Input Sheet'!$C$15="Yes",'Input Sheet'!$F$11,0)</f>
        <v>0</v>
      </c>
      <c r="AJ577" s="850">
        <f>IF('Input Sheet'!$C$15="Yes",'Input Sheet'!$F$7,0)</f>
        <v>0</v>
      </c>
      <c r="AK577" s="856">
        <f t="shared" si="90"/>
        <v>0</v>
      </c>
      <c r="AL577" s="856">
        <f t="shared" si="91"/>
        <v>0</v>
      </c>
      <c r="AM577" s="856">
        <f t="shared" si="97"/>
        <v>0</v>
      </c>
      <c r="AN577" s="856">
        <f t="shared" si="92"/>
        <v>0</v>
      </c>
      <c r="AO577" s="852">
        <f t="shared" si="98"/>
        <v>0</v>
      </c>
      <c r="AP577" s="853">
        <f t="shared" si="99"/>
        <v>0</v>
      </c>
      <c r="AQ577" s="854">
        <f>IFERROR(P577*'Input Sheet'!$F$8/(((AI577)*AK577*2)-AN577),0)</f>
        <v>0</v>
      </c>
      <c r="AR577" s="854">
        <f>IFERROR(($P577-$AF577)*'Input Sheet'!$F$8/(((AI577)*AK577*2)-AN577),0)</f>
        <v>0</v>
      </c>
    </row>
    <row r="578" spans="2:44" s="798" customFormat="1" ht="30" customHeight="1" thickBot="1" x14ac:dyDescent="0.3">
      <c r="B578" s="835"/>
      <c r="C578" s="836"/>
      <c r="D578" s="836"/>
      <c r="E578" s="837"/>
      <c r="F578" s="837"/>
      <c r="G578" s="838"/>
      <c r="H578" s="838"/>
      <c r="I578" s="839"/>
      <c r="J578" s="839"/>
      <c r="K578" s="840"/>
      <c r="L578" s="841"/>
      <c r="M578" s="841"/>
      <c r="N578" s="842"/>
      <c r="O578" s="842"/>
      <c r="P578" s="843"/>
      <c r="Q578" s="843"/>
      <c r="R578" s="843"/>
      <c r="S578" s="844">
        <f t="shared" si="93"/>
        <v>0</v>
      </c>
      <c r="T578" s="838"/>
      <c r="U578" s="842"/>
      <c r="V578" s="843"/>
      <c r="W578" s="843"/>
      <c r="X578" s="843"/>
      <c r="Y578" s="843"/>
      <c r="Z578" s="843"/>
      <c r="AA578" s="837"/>
      <c r="AB578" s="837"/>
      <c r="AC578" s="845">
        <f t="shared" si="94"/>
        <v>0</v>
      </c>
      <c r="AD578" s="846">
        <f t="shared" si="95"/>
        <v>0</v>
      </c>
      <c r="AE578" s="847">
        <f t="shared" si="96"/>
        <v>0</v>
      </c>
      <c r="AF578" s="855">
        <f t="shared" si="89"/>
        <v>0</v>
      </c>
      <c r="AG578" s="848">
        <f>IF('Input Sheet'!$C$15="Yes",'Input Sheet'!$F$8,0)</f>
        <v>0</v>
      </c>
      <c r="AH578" s="846">
        <f>IF('Input Sheet'!$C$15="Yes",Rates!$E$45,0)</f>
        <v>0</v>
      </c>
      <c r="AI578" s="849">
        <f>IF('Input Sheet'!$C$15="Yes",'Input Sheet'!$F$11,0)</f>
        <v>0</v>
      </c>
      <c r="AJ578" s="850">
        <f>IF('Input Sheet'!$C$15="Yes",'Input Sheet'!$F$7,0)</f>
        <v>0</v>
      </c>
      <c r="AK578" s="856">
        <f t="shared" si="90"/>
        <v>0</v>
      </c>
      <c r="AL578" s="856">
        <f t="shared" si="91"/>
        <v>0</v>
      </c>
      <c r="AM578" s="856">
        <f t="shared" si="97"/>
        <v>0</v>
      </c>
      <c r="AN578" s="856">
        <f t="shared" si="92"/>
        <v>0</v>
      </c>
      <c r="AO578" s="852">
        <f t="shared" si="98"/>
        <v>0</v>
      </c>
      <c r="AP578" s="853">
        <f t="shared" si="99"/>
        <v>0</v>
      </c>
      <c r="AQ578" s="854">
        <f>IFERROR(P578*'Input Sheet'!$F$8/(((AI578)*AK578*2)-AN578),0)</f>
        <v>0</v>
      </c>
      <c r="AR578" s="854">
        <f>IFERROR(($P578-$AF578)*'Input Sheet'!$F$8/(((AI578)*AK578*2)-AN578),0)</f>
        <v>0</v>
      </c>
    </row>
    <row r="579" spans="2:44" s="798" customFormat="1" ht="30" customHeight="1" thickBot="1" x14ac:dyDescent="0.3">
      <c r="B579" s="835"/>
      <c r="C579" s="836"/>
      <c r="D579" s="836"/>
      <c r="E579" s="837"/>
      <c r="F579" s="837"/>
      <c r="G579" s="838"/>
      <c r="H579" s="838"/>
      <c r="I579" s="839"/>
      <c r="J579" s="839"/>
      <c r="K579" s="840"/>
      <c r="L579" s="841"/>
      <c r="M579" s="841"/>
      <c r="N579" s="842"/>
      <c r="O579" s="842"/>
      <c r="P579" s="843"/>
      <c r="Q579" s="843"/>
      <c r="R579" s="843"/>
      <c r="S579" s="844">
        <f t="shared" si="93"/>
        <v>0</v>
      </c>
      <c r="T579" s="838"/>
      <c r="U579" s="842"/>
      <c r="V579" s="843"/>
      <c r="W579" s="843"/>
      <c r="X579" s="843"/>
      <c r="Y579" s="843"/>
      <c r="Z579" s="843"/>
      <c r="AA579" s="837"/>
      <c r="AB579" s="837"/>
      <c r="AC579" s="845">
        <f t="shared" si="94"/>
        <v>0</v>
      </c>
      <c r="AD579" s="846">
        <f t="shared" si="95"/>
        <v>0</v>
      </c>
      <c r="AE579" s="847">
        <f t="shared" si="96"/>
        <v>0</v>
      </c>
      <c r="AF579" s="855">
        <f t="shared" si="89"/>
        <v>0</v>
      </c>
      <c r="AG579" s="848">
        <f>IF('Input Sheet'!$C$15="Yes",'Input Sheet'!$F$8,0)</f>
        <v>0</v>
      </c>
      <c r="AH579" s="846">
        <f>IF('Input Sheet'!$C$15="Yes",Rates!$E$45,0)</f>
        <v>0</v>
      </c>
      <c r="AI579" s="849">
        <f>IF('Input Sheet'!$C$15="Yes",'Input Sheet'!$F$11,0)</f>
        <v>0</v>
      </c>
      <c r="AJ579" s="850">
        <f>IF('Input Sheet'!$C$15="Yes",'Input Sheet'!$F$7,0)</f>
        <v>0</v>
      </c>
      <c r="AK579" s="856">
        <f t="shared" si="90"/>
        <v>0</v>
      </c>
      <c r="AL579" s="856">
        <f t="shared" si="91"/>
        <v>0</v>
      </c>
      <c r="AM579" s="856">
        <f t="shared" si="97"/>
        <v>0</v>
      </c>
      <c r="AN579" s="856">
        <f t="shared" si="92"/>
        <v>0</v>
      </c>
      <c r="AO579" s="852">
        <f t="shared" si="98"/>
        <v>0</v>
      </c>
      <c r="AP579" s="853">
        <f t="shared" si="99"/>
        <v>0</v>
      </c>
      <c r="AQ579" s="854">
        <f>IFERROR(P579*'Input Sheet'!$F$8/(((AI579)*AK579*2)-AN579),0)</f>
        <v>0</v>
      </c>
      <c r="AR579" s="854">
        <f>IFERROR(($P579-$AF579)*'Input Sheet'!$F$8/(((AI579)*AK579*2)-AN579),0)</f>
        <v>0</v>
      </c>
    </row>
    <row r="580" spans="2:44" s="798" customFormat="1" ht="30" customHeight="1" thickBot="1" x14ac:dyDescent="0.3">
      <c r="B580" s="835"/>
      <c r="C580" s="836"/>
      <c r="D580" s="836"/>
      <c r="E580" s="837"/>
      <c r="F580" s="837"/>
      <c r="G580" s="838"/>
      <c r="H580" s="838"/>
      <c r="I580" s="839"/>
      <c r="J580" s="839"/>
      <c r="K580" s="840"/>
      <c r="L580" s="841"/>
      <c r="M580" s="841"/>
      <c r="N580" s="842"/>
      <c r="O580" s="842"/>
      <c r="P580" s="843"/>
      <c r="Q580" s="843"/>
      <c r="R580" s="843"/>
      <c r="S580" s="844">
        <f t="shared" si="93"/>
        <v>0</v>
      </c>
      <c r="T580" s="838"/>
      <c r="U580" s="842"/>
      <c r="V580" s="843"/>
      <c r="W580" s="843"/>
      <c r="X580" s="843"/>
      <c r="Y580" s="843"/>
      <c r="Z580" s="843"/>
      <c r="AA580" s="837"/>
      <c r="AB580" s="837"/>
      <c r="AC580" s="845">
        <f t="shared" si="94"/>
        <v>0</v>
      </c>
      <c r="AD580" s="846">
        <f t="shared" si="95"/>
        <v>0</v>
      </c>
      <c r="AE580" s="847">
        <f t="shared" si="96"/>
        <v>0</v>
      </c>
      <c r="AF580" s="855">
        <f t="shared" si="89"/>
        <v>0</v>
      </c>
      <c r="AG580" s="848">
        <f>IF('Input Sheet'!$C$15="Yes",'Input Sheet'!$F$8,0)</f>
        <v>0</v>
      </c>
      <c r="AH580" s="846">
        <f>IF('Input Sheet'!$C$15="Yes",Rates!$E$45,0)</f>
        <v>0</v>
      </c>
      <c r="AI580" s="849">
        <f>IF('Input Sheet'!$C$15="Yes",'Input Sheet'!$F$11,0)</f>
        <v>0</v>
      </c>
      <c r="AJ580" s="850">
        <f>IF('Input Sheet'!$C$15="Yes",'Input Sheet'!$F$7,0)</f>
        <v>0</v>
      </c>
      <c r="AK580" s="856">
        <f t="shared" si="90"/>
        <v>0</v>
      </c>
      <c r="AL580" s="856">
        <f t="shared" si="91"/>
        <v>0</v>
      </c>
      <c r="AM580" s="856">
        <f t="shared" si="97"/>
        <v>0</v>
      </c>
      <c r="AN580" s="856">
        <f t="shared" si="92"/>
        <v>0</v>
      </c>
      <c r="AO580" s="852">
        <f t="shared" si="98"/>
        <v>0</v>
      </c>
      <c r="AP580" s="853">
        <f t="shared" si="99"/>
        <v>0</v>
      </c>
      <c r="AQ580" s="854">
        <f>IFERROR(P580*'Input Sheet'!$F$8/(((AI580)*AK580*2)-AN580),0)</f>
        <v>0</v>
      </c>
      <c r="AR580" s="854">
        <f>IFERROR(($P580-$AF580)*'Input Sheet'!$F$8/(((AI580)*AK580*2)-AN580),0)</f>
        <v>0</v>
      </c>
    </row>
    <row r="581" spans="2:44" s="798" customFormat="1" ht="30" customHeight="1" thickBot="1" x14ac:dyDescent="0.3">
      <c r="B581" s="835"/>
      <c r="C581" s="836"/>
      <c r="D581" s="836"/>
      <c r="E581" s="837"/>
      <c r="F581" s="837"/>
      <c r="G581" s="838"/>
      <c r="H581" s="838"/>
      <c r="I581" s="839"/>
      <c r="J581" s="839"/>
      <c r="K581" s="840"/>
      <c r="L581" s="841"/>
      <c r="M581" s="841"/>
      <c r="N581" s="842"/>
      <c r="O581" s="842"/>
      <c r="P581" s="843"/>
      <c r="Q581" s="843"/>
      <c r="R581" s="843"/>
      <c r="S581" s="844">
        <f t="shared" si="93"/>
        <v>0</v>
      </c>
      <c r="T581" s="838"/>
      <c r="U581" s="842"/>
      <c r="V581" s="843"/>
      <c r="W581" s="843"/>
      <c r="X581" s="843"/>
      <c r="Y581" s="843"/>
      <c r="Z581" s="843"/>
      <c r="AA581" s="837"/>
      <c r="AB581" s="837"/>
      <c r="AC581" s="845">
        <f t="shared" si="94"/>
        <v>0</v>
      </c>
      <c r="AD581" s="846">
        <f t="shared" si="95"/>
        <v>0</v>
      </c>
      <c r="AE581" s="847">
        <f t="shared" si="96"/>
        <v>0</v>
      </c>
      <c r="AF581" s="855">
        <f t="shared" si="89"/>
        <v>0</v>
      </c>
      <c r="AG581" s="848">
        <f>IF('Input Sheet'!$C$15="Yes",'Input Sheet'!$F$8,0)</f>
        <v>0</v>
      </c>
      <c r="AH581" s="846">
        <f>IF('Input Sheet'!$C$15="Yes",Rates!$E$45,0)</f>
        <v>0</v>
      </c>
      <c r="AI581" s="849">
        <f>IF('Input Sheet'!$C$15="Yes",'Input Sheet'!$F$11,0)</f>
        <v>0</v>
      </c>
      <c r="AJ581" s="850">
        <f>IF('Input Sheet'!$C$15="Yes",'Input Sheet'!$F$7,0)</f>
        <v>0</v>
      </c>
      <c r="AK581" s="856">
        <f t="shared" si="90"/>
        <v>0</v>
      </c>
      <c r="AL581" s="856">
        <f t="shared" si="91"/>
        <v>0</v>
      </c>
      <c r="AM581" s="856">
        <f t="shared" si="97"/>
        <v>0</v>
      </c>
      <c r="AN581" s="856">
        <f t="shared" si="92"/>
        <v>0</v>
      </c>
      <c r="AO581" s="852">
        <f t="shared" si="98"/>
        <v>0</v>
      </c>
      <c r="AP581" s="853">
        <f t="shared" si="99"/>
        <v>0</v>
      </c>
      <c r="AQ581" s="854">
        <f>IFERROR(P581*'Input Sheet'!$F$8/(((AI581)*AK581*2)-AN581),0)</f>
        <v>0</v>
      </c>
      <c r="AR581" s="854">
        <f>IFERROR(($P581-$AF581)*'Input Sheet'!$F$8/(((AI581)*AK581*2)-AN581),0)</f>
        <v>0</v>
      </c>
    </row>
    <row r="582" spans="2:44" s="798" customFormat="1" ht="30" customHeight="1" thickBot="1" x14ac:dyDescent="0.3">
      <c r="B582" s="835"/>
      <c r="C582" s="836"/>
      <c r="D582" s="836"/>
      <c r="E582" s="837"/>
      <c r="F582" s="837"/>
      <c r="G582" s="838"/>
      <c r="H582" s="838"/>
      <c r="I582" s="839"/>
      <c r="J582" s="839"/>
      <c r="K582" s="840"/>
      <c r="L582" s="841"/>
      <c r="M582" s="841"/>
      <c r="N582" s="842"/>
      <c r="O582" s="842"/>
      <c r="P582" s="843"/>
      <c r="Q582" s="843"/>
      <c r="R582" s="843"/>
      <c r="S582" s="844">
        <f t="shared" si="93"/>
        <v>0</v>
      </c>
      <c r="T582" s="838"/>
      <c r="U582" s="842"/>
      <c r="V582" s="843"/>
      <c r="W582" s="843"/>
      <c r="X582" s="843"/>
      <c r="Y582" s="843"/>
      <c r="Z582" s="843"/>
      <c r="AA582" s="837"/>
      <c r="AB582" s="837"/>
      <c r="AC582" s="845">
        <f t="shared" si="94"/>
        <v>0</v>
      </c>
      <c r="AD582" s="846">
        <f t="shared" si="95"/>
        <v>0</v>
      </c>
      <c r="AE582" s="847">
        <f t="shared" si="96"/>
        <v>0</v>
      </c>
      <c r="AF582" s="855">
        <f t="shared" si="89"/>
        <v>0</v>
      </c>
      <c r="AG582" s="848">
        <f>IF('Input Sheet'!$C$15="Yes",'Input Sheet'!$F$8,0)</f>
        <v>0</v>
      </c>
      <c r="AH582" s="846">
        <f>IF('Input Sheet'!$C$15="Yes",Rates!$E$45,0)</f>
        <v>0</v>
      </c>
      <c r="AI582" s="849">
        <f>IF('Input Sheet'!$C$15="Yes",'Input Sheet'!$F$11,0)</f>
        <v>0</v>
      </c>
      <c r="AJ582" s="850">
        <f>IF('Input Sheet'!$C$15="Yes",'Input Sheet'!$F$7,0)</f>
        <v>0</v>
      </c>
      <c r="AK582" s="856">
        <f t="shared" si="90"/>
        <v>0</v>
      </c>
      <c r="AL582" s="856">
        <f t="shared" si="91"/>
        <v>0</v>
      </c>
      <c r="AM582" s="856">
        <f t="shared" si="97"/>
        <v>0</v>
      </c>
      <c r="AN582" s="856">
        <f t="shared" si="92"/>
        <v>0</v>
      </c>
      <c r="AO582" s="852">
        <f t="shared" si="98"/>
        <v>0</v>
      </c>
      <c r="AP582" s="853">
        <f t="shared" si="99"/>
        <v>0</v>
      </c>
      <c r="AQ582" s="854">
        <f>IFERROR(P582*'Input Sheet'!$F$8/(((AI582)*AK582*2)-AN582),0)</f>
        <v>0</v>
      </c>
      <c r="AR582" s="854">
        <f>IFERROR(($P582-$AF582)*'Input Sheet'!$F$8/(((AI582)*AK582*2)-AN582),0)</f>
        <v>0</v>
      </c>
    </row>
    <row r="583" spans="2:44" s="798" customFormat="1" ht="30" customHeight="1" thickBot="1" x14ac:dyDescent="0.3">
      <c r="B583" s="835"/>
      <c r="C583" s="836"/>
      <c r="D583" s="836"/>
      <c r="E583" s="837"/>
      <c r="F583" s="837"/>
      <c r="G583" s="838"/>
      <c r="H583" s="838"/>
      <c r="I583" s="839"/>
      <c r="J583" s="839"/>
      <c r="K583" s="840"/>
      <c r="L583" s="841"/>
      <c r="M583" s="841"/>
      <c r="N583" s="842"/>
      <c r="O583" s="842"/>
      <c r="P583" s="843"/>
      <c r="Q583" s="843"/>
      <c r="R583" s="843"/>
      <c r="S583" s="844">
        <f t="shared" si="93"/>
        <v>0</v>
      </c>
      <c r="T583" s="838"/>
      <c r="U583" s="842"/>
      <c r="V583" s="843"/>
      <c r="W583" s="843"/>
      <c r="X583" s="843"/>
      <c r="Y583" s="843"/>
      <c r="Z583" s="843"/>
      <c r="AA583" s="837"/>
      <c r="AB583" s="837"/>
      <c r="AC583" s="845">
        <f t="shared" si="94"/>
        <v>0</v>
      </c>
      <c r="AD583" s="846">
        <f t="shared" si="95"/>
        <v>0</v>
      </c>
      <c r="AE583" s="847">
        <f t="shared" si="96"/>
        <v>0</v>
      </c>
      <c r="AF583" s="855">
        <f t="shared" si="89"/>
        <v>0</v>
      </c>
      <c r="AG583" s="848">
        <f>IF('Input Sheet'!$C$15="Yes",'Input Sheet'!$F$8,0)</f>
        <v>0</v>
      </c>
      <c r="AH583" s="846">
        <f>IF('Input Sheet'!$C$15="Yes",Rates!$E$45,0)</f>
        <v>0</v>
      </c>
      <c r="AI583" s="849">
        <f>IF('Input Sheet'!$C$15="Yes",'Input Sheet'!$F$11,0)</f>
        <v>0</v>
      </c>
      <c r="AJ583" s="850">
        <f>IF('Input Sheet'!$C$15="Yes",'Input Sheet'!$F$7,0)</f>
        <v>0</v>
      </c>
      <c r="AK583" s="856">
        <f t="shared" si="90"/>
        <v>0</v>
      </c>
      <c r="AL583" s="856">
        <f t="shared" si="91"/>
        <v>0</v>
      </c>
      <c r="AM583" s="856">
        <f t="shared" si="97"/>
        <v>0</v>
      </c>
      <c r="AN583" s="856">
        <f t="shared" si="92"/>
        <v>0</v>
      </c>
      <c r="AO583" s="852">
        <f t="shared" si="98"/>
        <v>0</v>
      </c>
      <c r="AP583" s="853">
        <f t="shared" si="99"/>
        <v>0</v>
      </c>
      <c r="AQ583" s="854">
        <f>IFERROR(P583*'Input Sheet'!$F$8/(((AI583)*AK583*2)-AN583),0)</f>
        <v>0</v>
      </c>
      <c r="AR583" s="854">
        <f>IFERROR(($P583-$AF583)*'Input Sheet'!$F$8/(((AI583)*AK583*2)-AN583),0)</f>
        <v>0</v>
      </c>
    </row>
    <row r="584" spans="2:44" s="798" customFormat="1" ht="30" customHeight="1" thickBot="1" x14ac:dyDescent="0.3">
      <c r="B584" s="835"/>
      <c r="C584" s="836"/>
      <c r="D584" s="836"/>
      <c r="E584" s="837"/>
      <c r="F584" s="837"/>
      <c r="G584" s="838"/>
      <c r="H584" s="838"/>
      <c r="I584" s="839"/>
      <c r="J584" s="839"/>
      <c r="K584" s="840"/>
      <c r="L584" s="841"/>
      <c r="M584" s="841"/>
      <c r="N584" s="842"/>
      <c r="O584" s="842"/>
      <c r="P584" s="843"/>
      <c r="Q584" s="843"/>
      <c r="R584" s="843"/>
      <c r="S584" s="844">
        <f t="shared" si="93"/>
        <v>0</v>
      </c>
      <c r="T584" s="838"/>
      <c r="U584" s="842"/>
      <c r="V584" s="843"/>
      <c r="W584" s="843"/>
      <c r="X584" s="843"/>
      <c r="Y584" s="843"/>
      <c r="Z584" s="843"/>
      <c r="AA584" s="837"/>
      <c r="AB584" s="837"/>
      <c r="AC584" s="845">
        <f t="shared" si="94"/>
        <v>0</v>
      </c>
      <c r="AD584" s="846">
        <f t="shared" si="95"/>
        <v>0</v>
      </c>
      <c r="AE584" s="847">
        <f t="shared" si="96"/>
        <v>0</v>
      </c>
      <c r="AF584" s="855">
        <f t="shared" si="89"/>
        <v>0</v>
      </c>
      <c r="AG584" s="848">
        <f>IF('Input Sheet'!$C$15="Yes",'Input Sheet'!$F$8,0)</f>
        <v>0</v>
      </c>
      <c r="AH584" s="846">
        <f>IF('Input Sheet'!$C$15="Yes",Rates!$E$45,0)</f>
        <v>0</v>
      </c>
      <c r="AI584" s="849">
        <f>IF('Input Sheet'!$C$15="Yes",'Input Sheet'!$F$11,0)</f>
        <v>0</v>
      </c>
      <c r="AJ584" s="850">
        <f>IF('Input Sheet'!$C$15="Yes",'Input Sheet'!$F$7,0)</f>
        <v>0</v>
      </c>
      <c r="AK584" s="856">
        <f t="shared" si="90"/>
        <v>0</v>
      </c>
      <c r="AL584" s="856">
        <f t="shared" si="91"/>
        <v>0</v>
      </c>
      <c r="AM584" s="856">
        <f t="shared" si="97"/>
        <v>0</v>
      </c>
      <c r="AN584" s="856">
        <f t="shared" si="92"/>
        <v>0</v>
      </c>
      <c r="AO584" s="852">
        <f t="shared" si="98"/>
        <v>0</v>
      </c>
      <c r="AP584" s="853">
        <f t="shared" si="99"/>
        <v>0</v>
      </c>
      <c r="AQ584" s="854">
        <f>IFERROR(P584*'Input Sheet'!$F$8/(((AI584)*AK584*2)-AN584),0)</f>
        <v>0</v>
      </c>
      <c r="AR584" s="854">
        <f>IFERROR(($P584-$AF584)*'Input Sheet'!$F$8/(((AI584)*AK584*2)-AN584),0)</f>
        <v>0</v>
      </c>
    </row>
    <row r="585" spans="2:44" s="798" customFormat="1" ht="30" customHeight="1" thickBot="1" x14ac:dyDescent="0.3">
      <c r="B585" s="835"/>
      <c r="C585" s="836"/>
      <c r="D585" s="836"/>
      <c r="E585" s="837"/>
      <c r="F585" s="837"/>
      <c r="G585" s="838"/>
      <c r="H585" s="838"/>
      <c r="I585" s="839"/>
      <c r="J585" s="839"/>
      <c r="K585" s="840"/>
      <c r="L585" s="841"/>
      <c r="M585" s="841"/>
      <c r="N585" s="842"/>
      <c r="O585" s="842"/>
      <c r="P585" s="843"/>
      <c r="Q585" s="843"/>
      <c r="R585" s="843"/>
      <c r="S585" s="844">
        <f t="shared" si="93"/>
        <v>0</v>
      </c>
      <c r="T585" s="838"/>
      <c r="U585" s="842"/>
      <c r="V585" s="843"/>
      <c r="W585" s="843"/>
      <c r="X585" s="843"/>
      <c r="Y585" s="843"/>
      <c r="Z585" s="843"/>
      <c r="AA585" s="837"/>
      <c r="AB585" s="837"/>
      <c r="AC585" s="845">
        <f t="shared" si="94"/>
        <v>0</v>
      </c>
      <c r="AD585" s="846">
        <f t="shared" si="95"/>
        <v>0</v>
      </c>
      <c r="AE585" s="847">
        <f t="shared" si="96"/>
        <v>0</v>
      </c>
      <c r="AF585" s="855">
        <f t="shared" ref="AF585:AF648" si="100">SUM($Q585:$W585)</f>
        <v>0</v>
      </c>
      <c r="AG585" s="848">
        <f>IF('Input Sheet'!$C$15="Yes",'Input Sheet'!$F$8,0)</f>
        <v>0</v>
      </c>
      <c r="AH585" s="846">
        <f>IF('Input Sheet'!$C$15="Yes",Rates!$E$45,0)</f>
        <v>0</v>
      </c>
      <c r="AI585" s="849">
        <f>IF('Input Sheet'!$C$15="Yes",'Input Sheet'!$F$11,0)</f>
        <v>0</v>
      </c>
      <c r="AJ585" s="850">
        <f>IF('Input Sheet'!$C$15="Yes",'Input Sheet'!$F$7,0)</f>
        <v>0</v>
      </c>
      <c r="AK585" s="856">
        <f t="shared" ref="AK585:AK648" si="101">L585*S585</f>
        <v>0</v>
      </c>
      <c r="AL585" s="856">
        <f t="shared" ref="AL585:AL648" si="102">(AK585)-(AK585*AH585)-(AK585*AP585*(AJ585/12))</f>
        <v>0</v>
      </c>
      <c r="AM585" s="856">
        <f t="shared" si="97"/>
        <v>0</v>
      </c>
      <c r="AN585" s="856">
        <f t="shared" ref="AN585:AN648" si="103">AK585*AP585*AJ585/12</f>
        <v>0</v>
      </c>
      <c r="AO585" s="852">
        <f t="shared" si="98"/>
        <v>0</v>
      </c>
      <c r="AP585" s="853">
        <f t="shared" si="99"/>
        <v>0</v>
      </c>
      <c r="AQ585" s="854">
        <f>IFERROR(P585*'Input Sheet'!$F$8/(((AI585)*AK585*2)-AN585),0)</f>
        <v>0</v>
      </c>
      <c r="AR585" s="854">
        <f>IFERROR(($P585-$AF585)*'Input Sheet'!$F$8/(((AI585)*AK585*2)-AN585),0)</f>
        <v>0</v>
      </c>
    </row>
    <row r="586" spans="2:44" s="798" customFormat="1" ht="30" customHeight="1" thickBot="1" x14ac:dyDescent="0.3">
      <c r="B586" s="835"/>
      <c r="C586" s="836"/>
      <c r="D586" s="836"/>
      <c r="E586" s="837"/>
      <c r="F586" s="837"/>
      <c r="G586" s="838"/>
      <c r="H586" s="838"/>
      <c r="I586" s="839"/>
      <c r="J586" s="839"/>
      <c r="K586" s="840"/>
      <c r="L586" s="841"/>
      <c r="M586" s="841"/>
      <c r="N586" s="842"/>
      <c r="O586" s="842"/>
      <c r="P586" s="843"/>
      <c r="Q586" s="843"/>
      <c r="R586" s="843"/>
      <c r="S586" s="844">
        <f t="shared" ref="S586:S649" si="104">IFERROR(M586/L586,0)</f>
        <v>0</v>
      </c>
      <c r="T586" s="838"/>
      <c r="U586" s="842"/>
      <c r="V586" s="843"/>
      <c r="W586" s="843"/>
      <c r="X586" s="843"/>
      <c r="Y586" s="843"/>
      <c r="Z586" s="843"/>
      <c r="AA586" s="837"/>
      <c r="AB586" s="837"/>
      <c r="AC586" s="845">
        <f t="shared" ref="AC586:AC649" si="105">IFERROR(L586/K586,0)</f>
        <v>0</v>
      </c>
      <c r="AD586" s="846">
        <f t="shared" ref="AD586:AD649" si="106">IFERROR(P586*12/L586,0)</f>
        <v>0</v>
      </c>
      <c r="AE586" s="847">
        <f t="shared" ref="AE586:AE649" si="107">IFERROR(P586*12/K586,0)</f>
        <v>0</v>
      </c>
      <c r="AF586" s="855">
        <f t="shared" si="100"/>
        <v>0</v>
      </c>
      <c r="AG586" s="848">
        <f>IF('Input Sheet'!$C$15="Yes",'Input Sheet'!$F$8,0)</f>
        <v>0</v>
      </c>
      <c r="AH586" s="846">
        <f>IF('Input Sheet'!$C$15="Yes",Rates!$E$45,0)</f>
        <v>0</v>
      </c>
      <c r="AI586" s="849">
        <f>IF('Input Sheet'!$C$15="Yes",'Input Sheet'!$F$11,0)</f>
        <v>0</v>
      </c>
      <c r="AJ586" s="850">
        <f>IF('Input Sheet'!$C$15="Yes",'Input Sheet'!$F$7,0)</f>
        <v>0</v>
      </c>
      <c r="AK586" s="856">
        <f t="shared" si="101"/>
        <v>0</v>
      </c>
      <c r="AL586" s="856">
        <f t="shared" si="102"/>
        <v>0</v>
      </c>
      <c r="AM586" s="856">
        <f t="shared" ref="AM586:AM649" si="108">(AL586)+(AK586*0.75%)</f>
        <v>0</v>
      </c>
      <c r="AN586" s="856">
        <f t="shared" si="103"/>
        <v>0</v>
      </c>
      <c r="AO586" s="852">
        <f t="shared" ref="AO586:AO649" si="109">IFERROR(AM586/L586,0)</f>
        <v>0</v>
      </c>
      <c r="AP586" s="853">
        <f t="shared" ref="AP586:AP649" si="110">AI586</f>
        <v>0</v>
      </c>
      <c r="AQ586" s="854">
        <f>IFERROR(P586*'Input Sheet'!$F$8/(((AI586)*AK586*2)-AN586),0)</f>
        <v>0</v>
      </c>
      <c r="AR586" s="854">
        <f>IFERROR(($P586-$AF586)*'Input Sheet'!$F$8/(((AI586)*AK586*2)-AN586),0)</f>
        <v>0</v>
      </c>
    </row>
    <row r="587" spans="2:44" s="798" customFormat="1" ht="30" customHeight="1" thickBot="1" x14ac:dyDescent="0.3">
      <c r="B587" s="835"/>
      <c r="C587" s="836"/>
      <c r="D587" s="836"/>
      <c r="E587" s="837"/>
      <c r="F587" s="837"/>
      <c r="G587" s="838"/>
      <c r="H587" s="838"/>
      <c r="I587" s="839"/>
      <c r="J587" s="839"/>
      <c r="K587" s="840"/>
      <c r="L587" s="841"/>
      <c r="M587" s="841"/>
      <c r="N587" s="842"/>
      <c r="O587" s="842"/>
      <c r="P587" s="843"/>
      <c r="Q587" s="843"/>
      <c r="R587" s="843"/>
      <c r="S587" s="844">
        <f t="shared" si="104"/>
        <v>0</v>
      </c>
      <c r="T587" s="838"/>
      <c r="U587" s="842"/>
      <c r="V587" s="843"/>
      <c r="W587" s="843"/>
      <c r="X587" s="843"/>
      <c r="Y587" s="843"/>
      <c r="Z587" s="843"/>
      <c r="AA587" s="837"/>
      <c r="AB587" s="837"/>
      <c r="AC587" s="845">
        <f t="shared" si="105"/>
        <v>0</v>
      </c>
      <c r="AD587" s="846">
        <f t="shared" si="106"/>
        <v>0</v>
      </c>
      <c r="AE587" s="847">
        <f t="shared" si="107"/>
        <v>0</v>
      </c>
      <c r="AF587" s="855">
        <f t="shared" si="100"/>
        <v>0</v>
      </c>
      <c r="AG587" s="848">
        <f>IF('Input Sheet'!$C$15="Yes",'Input Sheet'!$F$8,0)</f>
        <v>0</v>
      </c>
      <c r="AH587" s="846">
        <f>IF('Input Sheet'!$C$15="Yes",Rates!$E$45,0)</f>
        <v>0</v>
      </c>
      <c r="AI587" s="849">
        <f>IF('Input Sheet'!$C$15="Yes",'Input Sheet'!$F$11,0)</f>
        <v>0</v>
      </c>
      <c r="AJ587" s="850">
        <f>IF('Input Sheet'!$C$15="Yes",'Input Sheet'!$F$7,0)</f>
        <v>0</v>
      </c>
      <c r="AK587" s="856">
        <f t="shared" si="101"/>
        <v>0</v>
      </c>
      <c r="AL587" s="856">
        <f t="shared" si="102"/>
        <v>0</v>
      </c>
      <c r="AM587" s="856">
        <f t="shared" si="108"/>
        <v>0</v>
      </c>
      <c r="AN587" s="856">
        <f t="shared" si="103"/>
        <v>0</v>
      </c>
      <c r="AO587" s="852">
        <f t="shared" si="109"/>
        <v>0</v>
      </c>
      <c r="AP587" s="853">
        <f t="shared" si="110"/>
        <v>0</v>
      </c>
      <c r="AQ587" s="854">
        <f>IFERROR(P587*'Input Sheet'!$F$8/(((AI587)*AK587*2)-AN587),0)</f>
        <v>0</v>
      </c>
      <c r="AR587" s="854">
        <f>IFERROR(($P587-$AF587)*'Input Sheet'!$F$8/(((AI587)*AK587*2)-AN587),0)</f>
        <v>0</v>
      </c>
    </row>
    <row r="588" spans="2:44" s="798" customFormat="1" ht="30" customHeight="1" thickBot="1" x14ac:dyDescent="0.3">
      <c r="B588" s="835"/>
      <c r="C588" s="836"/>
      <c r="D588" s="836"/>
      <c r="E588" s="837"/>
      <c r="F588" s="837"/>
      <c r="G588" s="838"/>
      <c r="H588" s="838"/>
      <c r="I588" s="839"/>
      <c r="J588" s="839"/>
      <c r="K588" s="840"/>
      <c r="L588" s="841"/>
      <c r="M588" s="841"/>
      <c r="N588" s="842"/>
      <c r="O588" s="842"/>
      <c r="P588" s="843"/>
      <c r="Q588" s="843"/>
      <c r="R588" s="843"/>
      <c r="S588" s="844">
        <f t="shared" si="104"/>
        <v>0</v>
      </c>
      <c r="T588" s="838"/>
      <c r="U588" s="842"/>
      <c r="V588" s="843"/>
      <c r="W588" s="843"/>
      <c r="X588" s="843"/>
      <c r="Y588" s="843"/>
      <c r="Z588" s="843"/>
      <c r="AA588" s="837"/>
      <c r="AB588" s="837"/>
      <c r="AC588" s="845">
        <f t="shared" si="105"/>
        <v>0</v>
      </c>
      <c r="AD588" s="846">
        <f t="shared" si="106"/>
        <v>0</v>
      </c>
      <c r="AE588" s="847">
        <f t="shared" si="107"/>
        <v>0</v>
      </c>
      <c r="AF588" s="855">
        <f t="shared" si="100"/>
        <v>0</v>
      </c>
      <c r="AG588" s="848">
        <f>IF('Input Sheet'!$C$15="Yes",'Input Sheet'!$F$8,0)</f>
        <v>0</v>
      </c>
      <c r="AH588" s="846">
        <f>IF('Input Sheet'!$C$15="Yes",Rates!$E$45,0)</f>
        <v>0</v>
      </c>
      <c r="AI588" s="849">
        <f>IF('Input Sheet'!$C$15="Yes",'Input Sheet'!$F$11,0)</f>
        <v>0</v>
      </c>
      <c r="AJ588" s="850">
        <f>IF('Input Sheet'!$C$15="Yes",'Input Sheet'!$F$7,0)</f>
        <v>0</v>
      </c>
      <c r="AK588" s="856">
        <f t="shared" si="101"/>
        <v>0</v>
      </c>
      <c r="AL588" s="856">
        <f t="shared" si="102"/>
        <v>0</v>
      </c>
      <c r="AM588" s="856">
        <f t="shared" si="108"/>
        <v>0</v>
      </c>
      <c r="AN588" s="856">
        <f t="shared" si="103"/>
        <v>0</v>
      </c>
      <c r="AO588" s="852">
        <f t="shared" si="109"/>
        <v>0</v>
      </c>
      <c r="AP588" s="853">
        <f t="shared" si="110"/>
        <v>0</v>
      </c>
      <c r="AQ588" s="854">
        <f>IFERROR(P588*'Input Sheet'!$F$8/(((AI588)*AK588*2)-AN588),0)</f>
        <v>0</v>
      </c>
      <c r="AR588" s="854">
        <f>IFERROR(($P588-$AF588)*'Input Sheet'!$F$8/(((AI588)*AK588*2)-AN588),0)</f>
        <v>0</v>
      </c>
    </row>
    <row r="589" spans="2:44" s="798" customFormat="1" ht="30" customHeight="1" thickBot="1" x14ac:dyDescent="0.3">
      <c r="B589" s="835"/>
      <c r="C589" s="836"/>
      <c r="D589" s="836"/>
      <c r="E589" s="837"/>
      <c r="F589" s="837"/>
      <c r="G589" s="838"/>
      <c r="H589" s="838"/>
      <c r="I589" s="839"/>
      <c r="J589" s="839"/>
      <c r="K589" s="840"/>
      <c r="L589" s="841"/>
      <c r="M589" s="841"/>
      <c r="N589" s="842"/>
      <c r="O589" s="842"/>
      <c r="P589" s="843"/>
      <c r="Q589" s="843"/>
      <c r="R589" s="843"/>
      <c r="S589" s="844">
        <f t="shared" si="104"/>
        <v>0</v>
      </c>
      <c r="T589" s="838"/>
      <c r="U589" s="842"/>
      <c r="V589" s="843"/>
      <c r="W589" s="843"/>
      <c r="X589" s="843"/>
      <c r="Y589" s="843"/>
      <c r="Z589" s="843"/>
      <c r="AA589" s="837"/>
      <c r="AB589" s="837"/>
      <c r="AC589" s="845">
        <f t="shared" si="105"/>
        <v>0</v>
      </c>
      <c r="AD589" s="846">
        <f t="shared" si="106"/>
        <v>0</v>
      </c>
      <c r="AE589" s="847">
        <f t="shared" si="107"/>
        <v>0</v>
      </c>
      <c r="AF589" s="855">
        <f t="shared" si="100"/>
        <v>0</v>
      </c>
      <c r="AG589" s="848">
        <f>IF('Input Sheet'!$C$15="Yes",'Input Sheet'!$F$8,0)</f>
        <v>0</v>
      </c>
      <c r="AH589" s="846">
        <f>IF('Input Sheet'!$C$15="Yes",Rates!$E$45,0)</f>
        <v>0</v>
      </c>
      <c r="AI589" s="849">
        <f>IF('Input Sheet'!$C$15="Yes",'Input Sheet'!$F$11,0)</f>
        <v>0</v>
      </c>
      <c r="AJ589" s="850">
        <f>IF('Input Sheet'!$C$15="Yes",'Input Sheet'!$F$7,0)</f>
        <v>0</v>
      </c>
      <c r="AK589" s="856">
        <f t="shared" si="101"/>
        <v>0</v>
      </c>
      <c r="AL589" s="856">
        <f t="shared" si="102"/>
        <v>0</v>
      </c>
      <c r="AM589" s="856">
        <f t="shared" si="108"/>
        <v>0</v>
      </c>
      <c r="AN589" s="856">
        <f t="shared" si="103"/>
        <v>0</v>
      </c>
      <c r="AO589" s="852">
        <f t="shared" si="109"/>
        <v>0</v>
      </c>
      <c r="AP589" s="853">
        <f t="shared" si="110"/>
        <v>0</v>
      </c>
      <c r="AQ589" s="854">
        <f>IFERROR(P589*'Input Sheet'!$F$8/(((AI589)*AK589*2)-AN589),0)</f>
        <v>0</v>
      </c>
      <c r="AR589" s="854">
        <f>IFERROR(($P589-$AF589)*'Input Sheet'!$F$8/(((AI589)*AK589*2)-AN589),0)</f>
        <v>0</v>
      </c>
    </row>
    <row r="590" spans="2:44" s="798" customFormat="1" ht="30" customHeight="1" thickBot="1" x14ac:dyDescent="0.3">
      <c r="B590" s="835"/>
      <c r="C590" s="836"/>
      <c r="D590" s="836"/>
      <c r="E590" s="837"/>
      <c r="F590" s="837"/>
      <c r="G590" s="838"/>
      <c r="H590" s="838"/>
      <c r="I590" s="839"/>
      <c r="J590" s="839"/>
      <c r="K590" s="840"/>
      <c r="L590" s="841"/>
      <c r="M590" s="841"/>
      <c r="N590" s="842"/>
      <c r="O590" s="842"/>
      <c r="P590" s="843"/>
      <c r="Q590" s="843"/>
      <c r="R590" s="843"/>
      <c r="S590" s="844">
        <f t="shared" si="104"/>
        <v>0</v>
      </c>
      <c r="T590" s="838"/>
      <c r="U590" s="842"/>
      <c r="V590" s="843"/>
      <c r="W590" s="843"/>
      <c r="X590" s="843"/>
      <c r="Y590" s="843"/>
      <c r="Z590" s="843"/>
      <c r="AA590" s="837"/>
      <c r="AB590" s="837"/>
      <c r="AC590" s="845">
        <f t="shared" si="105"/>
        <v>0</v>
      </c>
      <c r="AD590" s="846">
        <f t="shared" si="106"/>
        <v>0</v>
      </c>
      <c r="AE590" s="847">
        <f t="shared" si="107"/>
        <v>0</v>
      </c>
      <c r="AF590" s="855">
        <f t="shared" si="100"/>
        <v>0</v>
      </c>
      <c r="AG590" s="848">
        <f>IF('Input Sheet'!$C$15="Yes",'Input Sheet'!$F$8,0)</f>
        <v>0</v>
      </c>
      <c r="AH590" s="846">
        <f>IF('Input Sheet'!$C$15="Yes",Rates!$E$45,0)</f>
        <v>0</v>
      </c>
      <c r="AI590" s="849">
        <f>IF('Input Sheet'!$C$15="Yes",'Input Sheet'!$F$11,0)</f>
        <v>0</v>
      </c>
      <c r="AJ590" s="850">
        <f>IF('Input Sheet'!$C$15="Yes",'Input Sheet'!$F$7,0)</f>
        <v>0</v>
      </c>
      <c r="AK590" s="856">
        <f t="shared" si="101"/>
        <v>0</v>
      </c>
      <c r="AL590" s="856">
        <f t="shared" si="102"/>
        <v>0</v>
      </c>
      <c r="AM590" s="856">
        <f t="shared" si="108"/>
        <v>0</v>
      </c>
      <c r="AN590" s="856">
        <f t="shared" si="103"/>
        <v>0</v>
      </c>
      <c r="AO590" s="852">
        <f t="shared" si="109"/>
        <v>0</v>
      </c>
      <c r="AP590" s="853">
        <f t="shared" si="110"/>
        <v>0</v>
      </c>
      <c r="AQ590" s="854">
        <f>IFERROR(P590*'Input Sheet'!$F$8/(((AI590)*AK590*2)-AN590),0)</f>
        <v>0</v>
      </c>
      <c r="AR590" s="854">
        <f>IFERROR(($P590-$AF590)*'Input Sheet'!$F$8/(((AI590)*AK590*2)-AN590),0)</f>
        <v>0</v>
      </c>
    </row>
    <row r="591" spans="2:44" s="798" customFormat="1" ht="30" customHeight="1" thickBot="1" x14ac:dyDescent="0.3">
      <c r="B591" s="835"/>
      <c r="C591" s="836"/>
      <c r="D591" s="836"/>
      <c r="E591" s="837"/>
      <c r="F591" s="837"/>
      <c r="G591" s="838"/>
      <c r="H591" s="838"/>
      <c r="I591" s="839"/>
      <c r="J591" s="839"/>
      <c r="K591" s="840"/>
      <c r="L591" s="841"/>
      <c r="M591" s="841"/>
      <c r="N591" s="842"/>
      <c r="O591" s="842"/>
      <c r="P591" s="843"/>
      <c r="Q591" s="843"/>
      <c r="R591" s="843"/>
      <c r="S591" s="844">
        <f t="shared" si="104"/>
        <v>0</v>
      </c>
      <c r="T591" s="838"/>
      <c r="U591" s="842"/>
      <c r="V591" s="843"/>
      <c r="W591" s="843"/>
      <c r="X591" s="843"/>
      <c r="Y591" s="843"/>
      <c r="Z591" s="843"/>
      <c r="AA591" s="837"/>
      <c r="AB591" s="837"/>
      <c r="AC591" s="845">
        <f t="shared" si="105"/>
        <v>0</v>
      </c>
      <c r="AD591" s="846">
        <f t="shared" si="106"/>
        <v>0</v>
      </c>
      <c r="AE591" s="847">
        <f t="shared" si="107"/>
        <v>0</v>
      </c>
      <c r="AF591" s="855">
        <f t="shared" si="100"/>
        <v>0</v>
      </c>
      <c r="AG591" s="848">
        <f>IF('Input Sheet'!$C$15="Yes",'Input Sheet'!$F$8,0)</f>
        <v>0</v>
      </c>
      <c r="AH591" s="846">
        <f>IF('Input Sheet'!$C$15="Yes",Rates!$E$45,0)</f>
        <v>0</v>
      </c>
      <c r="AI591" s="849">
        <f>IF('Input Sheet'!$C$15="Yes",'Input Sheet'!$F$11,0)</f>
        <v>0</v>
      </c>
      <c r="AJ591" s="850">
        <f>IF('Input Sheet'!$C$15="Yes",'Input Sheet'!$F$7,0)</f>
        <v>0</v>
      </c>
      <c r="AK591" s="856">
        <f t="shared" si="101"/>
        <v>0</v>
      </c>
      <c r="AL591" s="856">
        <f t="shared" si="102"/>
        <v>0</v>
      </c>
      <c r="AM591" s="856">
        <f t="shared" si="108"/>
        <v>0</v>
      </c>
      <c r="AN591" s="856">
        <f t="shared" si="103"/>
        <v>0</v>
      </c>
      <c r="AO591" s="852">
        <f t="shared" si="109"/>
        <v>0</v>
      </c>
      <c r="AP591" s="853">
        <f t="shared" si="110"/>
        <v>0</v>
      </c>
      <c r="AQ591" s="854">
        <f>IFERROR(P591*'Input Sheet'!$F$8/(((AI591)*AK591*2)-AN591),0)</f>
        <v>0</v>
      </c>
      <c r="AR591" s="854">
        <f>IFERROR(($P591-$AF591)*'Input Sheet'!$F$8/(((AI591)*AK591*2)-AN591),0)</f>
        <v>0</v>
      </c>
    </row>
    <row r="592" spans="2:44" s="798" customFormat="1" ht="30" customHeight="1" thickBot="1" x14ac:dyDescent="0.3">
      <c r="B592" s="835"/>
      <c r="C592" s="836"/>
      <c r="D592" s="836"/>
      <c r="E592" s="837"/>
      <c r="F592" s="837"/>
      <c r="G592" s="838"/>
      <c r="H592" s="838"/>
      <c r="I592" s="839"/>
      <c r="J592" s="839"/>
      <c r="K592" s="840"/>
      <c r="L592" s="841"/>
      <c r="M592" s="841"/>
      <c r="N592" s="842"/>
      <c r="O592" s="842"/>
      <c r="P592" s="843"/>
      <c r="Q592" s="843"/>
      <c r="R592" s="843"/>
      <c r="S592" s="844">
        <f t="shared" si="104"/>
        <v>0</v>
      </c>
      <c r="T592" s="838"/>
      <c r="U592" s="842"/>
      <c r="V592" s="843"/>
      <c r="W592" s="843"/>
      <c r="X592" s="843"/>
      <c r="Y592" s="843"/>
      <c r="Z592" s="843"/>
      <c r="AA592" s="837"/>
      <c r="AB592" s="837"/>
      <c r="AC592" s="845">
        <f t="shared" si="105"/>
        <v>0</v>
      </c>
      <c r="AD592" s="846">
        <f t="shared" si="106"/>
        <v>0</v>
      </c>
      <c r="AE592" s="847">
        <f t="shared" si="107"/>
        <v>0</v>
      </c>
      <c r="AF592" s="855">
        <f t="shared" si="100"/>
        <v>0</v>
      </c>
      <c r="AG592" s="848">
        <f>IF('Input Sheet'!$C$15="Yes",'Input Sheet'!$F$8,0)</f>
        <v>0</v>
      </c>
      <c r="AH592" s="846">
        <f>IF('Input Sheet'!$C$15="Yes",Rates!$E$45,0)</f>
        <v>0</v>
      </c>
      <c r="AI592" s="849">
        <f>IF('Input Sheet'!$C$15="Yes",'Input Sheet'!$F$11,0)</f>
        <v>0</v>
      </c>
      <c r="AJ592" s="850">
        <f>IF('Input Sheet'!$C$15="Yes",'Input Sheet'!$F$7,0)</f>
        <v>0</v>
      </c>
      <c r="AK592" s="856">
        <f t="shared" si="101"/>
        <v>0</v>
      </c>
      <c r="AL592" s="856">
        <f t="shared" si="102"/>
        <v>0</v>
      </c>
      <c r="AM592" s="856">
        <f t="shared" si="108"/>
        <v>0</v>
      </c>
      <c r="AN592" s="856">
        <f t="shared" si="103"/>
        <v>0</v>
      </c>
      <c r="AO592" s="852">
        <f t="shared" si="109"/>
        <v>0</v>
      </c>
      <c r="AP592" s="853">
        <f t="shared" si="110"/>
        <v>0</v>
      </c>
      <c r="AQ592" s="854">
        <f>IFERROR(P592*'Input Sheet'!$F$8/(((AI592)*AK592*2)-AN592),0)</f>
        <v>0</v>
      </c>
      <c r="AR592" s="854">
        <f>IFERROR(($P592-$AF592)*'Input Sheet'!$F$8/(((AI592)*AK592*2)-AN592),0)</f>
        <v>0</v>
      </c>
    </row>
    <row r="593" spans="2:44" s="798" customFormat="1" ht="30" customHeight="1" thickBot="1" x14ac:dyDescent="0.3">
      <c r="B593" s="835"/>
      <c r="C593" s="836"/>
      <c r="D593" s="836"/>
      <c r="E593" s="837"/>
      <c r="F593" s="837"/>
      <c r="G593" s="838"/>
      <c r="H593" s="838"/>
      <c r="I593" s="839"/>
      <c r="J593" s="839"/>
      <c r="K593" s="840"/>
      <c r="L593" s="841"/>
      <c r="M593" s="841"/>
      <c r="N593" s="842"/>
      <c r="O593" s="842"/>
      <c r="P593" s="843"/>
      <c r="Q593" s="843"/>
      <c r="R593" s="843"/>
      <c r="S593" s="844">
        <f t="shared" si="104"/>
        <v>0</v>
      </c>
      <c r="T593" s="838"/>
      <c r="U593" s="842"/>
      <c r="V593" s="843"/>
      <c r="W593" s="843"/>
      <c r="X593" s="843"/>
      <c r="Y593" s="843"/>
      <c r="Z593" s="843"/>
      <c r="AA593" s="837"/>
      <c r="AB593" s="837"/>
      <c r="AC593" s="845">
        <f t="shared" si="105"/>
        <v>0</v>
      </c>
      <c r="AD593" s="846">
        <f t="shared" si="106"/>
        <v>0</v>
      </c>
      <c r="AE593" s="847">
        <f t="shared" si="107"/>
        <v>0</v>
      </c>
      <c r="AF593" s="855">
        <f t="shared" si="100"/>
        <v>0</v>
      </c>
      <c r="AG593" s="848">
        <f>IF('Input Sheet'!$C$15="Yes",'Input Sheet'!$F$8,0)</f>
        <v>0</v>
      </c>
      <c r="AH593" s="846">
        <f>IF('Input Sheet'!$C$15="Yes",Rates!$E$45,0)</f>
        <v>0</v>
      </c>
      <c r="AI593" s="849">
        <f>IF('Input Sheet'!$C$15="Yes",'Input Sheet'!$F$11,0)</f>
        <v>0</v>
      </c>
      <c r="AJ593" s="850">
        <f>IF('Input Sheet'!$C$15="Yes",'Input Sheet'!$F$7,0)</f>
        <v>0</v>
      </c>
      <c r="AK593" s="856">
        <f t="shared" si="101"/>
        <v>0</v>
      </c>
      <c r="AL593" s="856">
        <f t="shared" si="102"/>
        <v>0</v>
      </c>
      <c r="AM593" s="856">
        <f t="shared" si="108"/>
        <v>0</v>
      </c>
      <c r="AN593" s="856">
        <f t="shared" si="103"/>
        <v>0</v>
      </c>
      <c r="AO593" s="852">
        <f t="shared" si="109"/>
        <v>0</v>
      </c>
      <c r="AP593" s="853">
        <f t="shared" si="110"/>
        <v>0</v>
      </c>
      <c r="AQ593" s="854">
        <f>IFERROR(P593*'Input Sheet'!$F$8/(((AI593)*AK593*2)-AN593),0)</f>
        <v>0</v>
      </c>
      <c r="AR593" s="854">
        <f>IFERROR(($P593-$AF593)*'Input Sheet'!$F$8/(((AI593)*AK593*2)-AN593),0)</f>
        <v>0</v>
      </c>
    </row>
    <row r="594" spans="2:44" s="798" customFormat="1" ht="30" customHeight="1" thickBot="1" x14ac:dyDescent="0.3">
      <c r="B594" s="835"/>
      <c r="C594" s="836"/>
      <c r="D594" s="836"/>
      <c r="E594" s="837"/>
      <c r="F594" s="837"/>
      <c r="G594" s="838"/>
      <c r="H594" s="838"/>
      <c r="I594" s="839"/>
      <c r="J594" s="839"/>
      <c r="K594" s="840"/>
      <c r="L594" s="841"/>
      <c r="M594" s="841"/>
      <c r="N594" s="842"/>
      <c r="O594" s="842"/>
      <c r="P594" s="843"/>
      <c r="Q594" s="843"/>
      <c r="R594" s="843"/>
      <c r="S594" s="844">
        <f t="shared" si="104"/>
        <v>0</v>
      </c>
      <c r="T594" s="838"/>
      <c r="U594" s="842"/>
      <c r="V594" s="843"/>
      <c r="W594" s="843"/>
      <c r="X594" s="843"/>
      <c r="Y594" s="843"/>
      <c r="Z594" s="843"/>
      <c r="AA594" s="837"/>
      <c r="AB594" s="837"/>
      <c r="AC594" s="845">
        <f t="shared" si="105"/>
        <v>0</v>
      </c>
      <c r="AD594" s="846">
        <f t="shared" si="106"/>
        <v>0</v>
      </c>
      <c r="AE594" s="847">
        <f t="shared" si="107"/>
        <v>0</v>
      </c>
      <c r="AF594" s="855">
        <f t="shared" si="100"/>
        <v>0</v>
      </c>
      <c r="AG594" s="848">
        <f>IF('Input Sheet'!$C$15="Yes",'Input Sheet'!$F$8,0)</f>
        <v>0</v>
      </c>
      <c r="AH594" s="846">
        <f>IF('Input Sheet'!$C$15="Yes",Rates!$E$45,0)</f>
        <v>0</v>
      </c>
      <c r="AI594" s="849">
        <f>IF('Input Sheet'!$C$15="Yes",'Input Sheet'!$F$11,0)</f>
        <v>0</v>
      </c>
      <c r="AJ594" s="850">
        <f>IF('Input Sheet'!$C$15="Yes",'Input Sheet'!$F$7,0)</f>
        <v>0</v>
      </c>
      <c r="AK594" s="856">
        <f t="shared" si="101"/>
        <v>0</v>
      </c>
      <c r="AL594" s="856">
        <f t="shared" si="102"/>
        <v>0</v>
      </c>
      <c r="AM594" s="856">
        <f t="shared" si="108"/>
        <v>0</v>
      </c>
      <c r="AN594" s="856">
        <f t="shared" si="103"/>
        <v>0</v>
      </c>
      <c r="AO594" s="852">
        <f t="shared" si="109"/>
        <v>0</v>
      </c>
      <c r="AP594" s="853">
        <f t="shared" si="110"/>
        <v>0</v>
      </c>
      <c r="AQ594" s="854">
        <f>IFERROR(P594*'Input Sheet'!$F$8/(((AI594)*AK594*2)-AN594),0)</f>
        <v>0</v>
      </c>
      <c r="AR594" s="854">
        <f>IFERROR(($P594-$AF594)*'Input Sheet'!$F$8/(((AI594)*AK594*2)-AN594),0)</f>
        <v>0</v>
      </c>
    </row>
    <row r="595" spans="2:44" s="798" customFormat="1" ht="30" customHeight="1" thickBot="1" x14ac:dyDescent="0.3">
      <c r="B595" s="835"/>
      <c r="C595" s="836"/>
      <c r="D595" s="836"/>
      <c r="E595" s="837"/>
      <c r="F595" s="837"/>
      <c r="G595" s="838"/>
      <c r="H595" s="838"/>
      <c r="I595" s="839"/>
      <c r="J595" s="839"/>
      <c r="K595" s="840"/>
      <c r="L595" s="841"/>
      <c r="M595" s="841"/>
      <c r="N595" s="842"/>
      <c r="O595" s="842"/>
      <c r="P595" s="843"/>
      <c r="Q595" s="843"/>
      <c r="R595" s="843"/>
      <c r="S595" s="844">
        <f t="shared" si="104"/>
        <v>0</v>
      </c>
      <c r="T595" s="838"/>
      <c r="U595" s="842"/>
      <c r="V595" s="843"/>
      <c r="W595" s="843"/>
      <c r="X595" s="843"/>
      <c r="Y595" s="843"/>
      <c r="Z595" s="843"/>
      <c r="AA595" s="837"/>
      <c r="AB595" s="837"/>
      <c r="AC595" s="845">
        <f t="shared" si="105"/>
        <v>0</v>
      </c>
      <c r="AD595" s="846">
        <f t="shared" si="106"/>
        <v>0</v>
      </c>
      <c r="AE595" s="847">
        <f t="shared" si="107"/>
        <v>0</v>
      </c>
      <c r="AF595" s="855">
        <f t="shared" si="100"/>
        <v>0</v>
      </c>
      <c r="AG595" s="848">
        <f>IF('Input Sheet'!$C$15="Yes",'Input Sheet'!$F$8,0)</f>
        <v>0</v>
      </c>
      <c r="AH595" s="846">
        <f>IF('Input Sheet'!$C$15="Yes",Rates!$E$45,0)</f>
        <v>0</v>
      </c>
      <c r="AI595" s="849">
        <f>IF('Input Sheet'!$C$15="Yes",'Input Sheet'!$F$11,0)</f>
        <v>0</v>
      </c>
      <c r="AJ595" s="850">
        <f>IF('Input Sheet'!$C$15="Yes",'Input Sheet'!$F$7,0)</f>
        <v>0</v>
      </c>
      <c r="AK595" s="856">
        <f t="shared" si="101"/>
        <v>0</v>
      </c>
      <c r="AL595" s="856">
        <f t="shared" si="102"/>
        <v>0</v>
      </c>
      <c r="AM595" s="856">
        <f t="shared" si="108"/>
        <v>0</v>
      </c>
      <c r="AN595" s="856">
        <f t="shared" si="103"/>
        <v>0</v>
      </c>
      <c r="AO595" s="852">
        <f t="shared" si="109"/>
        <v>0</v>
      </c>
      <c r="AP595" s="853">
        <f t="shared" si="110"/>
        <v>0</v>
      </c>
      <c r="AQ595" s="854">
        <f>IFERROR(P595*'Input Sheet'!$F$8/(((AI595)*AK595*2)-AN595),0)</f>
        <v>0</v>
      </c>
      <c r="AR595" s="854">
        <f>IFERROR(($P595-$AF595)*'Input Sheet'!$F$8/(((AI595)*AK595*2)-AN595),0)</f>
        <v>0</v>
      </c>
    </row>
    <row r="596" spans="2:44" s="798" customFormat="1" ht="30" customHeight="1" thickBot="1" x14ac:dyDescent="0.3">
      <c r="B596" s="835"/>
      <c r="C596" s="836"/>
      <c r="D596" s="836"/>
      <c r="E596" s="837"/>
      <c r="F596" s="837"/>
      <c r="G596" s="838"/>
      <c r="H596" s="838"/>
      <c r="I596" s="839"/>
      <c r="J596" s="839"/>
      <c r="K596" s="840"/>
      <c r="L596" s="841"/>
      <c r="M596" s="841"/>
      <c r="N596" s="842"/>
      <c r="O596" s="842"/>
      <c r="P596" s="843"/>
      <c r="Q596" s="843"/>
      <c r="R596" s="843"/>
      <c r="S596" s="844">
        <f t="shared" si="104"/>
        <v>0</v>
      </c>
      <c r="T596" s="838"/>
      <c r="U596" s="842"/>
      <c r="V596" s="843"/>
      <c r="W596" s="843"/>
      <c r="X596" s="843"/>
      <c r="Y596" s="843"/>
      <c r="Z596" s="843"/>
      <c r="AA596" s="837"/>
      <c r="AB596" s="837"/>
      <c r="AC596" s="845">
        <f t="shared" si="105"/>
        <v>0</v>
      </c>
      <c r="AD596" s="846">
        <f t="shared" si="106"/>
        <v>0</v>
      </c>
      <c r="AE596" s="847">
        <f t="shared" si="107"/>
        <v>0</v>
      </c>
      <c r="AF596" s="855">
        <f t="shared" si="100"/>
        <v>0</v>
      </c>
      <c r="AG596" s="848">
        <f>IF('Input Sheet'!$C$15="Yes",'Input Sheet'!$F$8,0)</f>
        <v>0</v>
      </c>
      <c r="AH596" s="846">
        <f>IF('Input Sheet'!$C$15="Yes",Rates!$E$45,0)</f>
        <v>0</v>
      </c>
      <c r="AI596" s="849">
        <f>IF('Input Sheet'!$C$15="Yes",'Input Sheet'!$F$11,0)</f>
        <v>0</v>
      </c>
      <c r="AJ596" s="850">
        <f>IF('Input Sheet'!$C$15="Yes",'Input Sheet'!$F$7,0)</f>
        <v>0</v>
      </c>
      <c r="AK596" s="856">
        <f t="shared" si="101"/>
        <v>0</v>
      </c>
      <c r="AL596" s="856">
        <f t="shared" si="102"/>
        <v>0</v>
      </c>
      <c r="AM596" s="856">
        <f t="shared" si="108"/>
        <v>0</v>
      </c>
      <c r="AN596" s="856">
        <f t="shared" si="103"/>
        <v>0</v>
      </c>
      <c r="AO596" s="852">
        <f t="shared" si="109"/>
        <v>0</v>
      </c>
      <c r="AP596" s="853">
        <f t="shared" si="110"/>
        <v>0</v>
      </c>
      <c r="AQ596" s="854">
        <f>IFERROR(P596*'Input Sheet'!$F$8/(((AI596)*AK596*2)-AN596),0)</f>
        <v>0</v>
      </c>
      <c r="AR596" s="854">
        <f>IFERROR(($P596-$AF596)*'Input Sheet'!$F$8/(((AI596)*AK596*2)-AN596),0)</f>
        <v>0</v>
      </c>
    </row>
    <row r="597" spans="2:44" s="798" customFormat="1" ht="30" customHeight="1" thickBot="1" x14ac:dyDescent="0.3">
      <c r="B597" s="835"/>
      <c r="C597" s="836"/>
      <c r="D597" s="836"/>
      <c r="E597" s="837"/>
      <c r="F597" s="837"/>
      <c r="G597" s="838"/>
      <c r="H597" s="838"/>
      <c r="I597" s="839"/>
      <c r="J597" s="839"/>
      <c r="K597" s="840"/>
      <c r="L597" s="841"/>
      <c r="M597" s="841"/>
      <c r="N597" s="842"/>
      <c r="O597" s="842"/>
      <c r="P597" s="843"/>
      <c r="Q597" s="843"/>
      <c r="R597" s="843"/>
      <c r="S597" s="844">
        <f t="shared" si="104"/>
        <v>0</v>
      </c>
      <c r="T597" s="838"/>
      <c r="U597" s="842"/>
      <c r="V597" s="843"/>
      <c r="W597" s="843"/>
      <c r="X597" s="843"/>
      <c r="Y597" s="843"/>
      <c r="Z597" s="843"/>
      <c r="AA597" s="837"/>
      <c r="AB597" s="837"/>
      <c r="AC597" s="845">
        <f t="shared" si="105"/>
        <v>0</v>
      </c>
      <c r="AD597" s="846">
        <f t="shared" si="106"/>
        <v>0</v>
      </c>
      <c r="AE597" s="847">
        <f t="shared" si="107"/>
        <v>0</v>
      </c>
      <c r="AF597" s="855">
        <f t="shared" si="100"/>
        <v>0</v>
      </c>
      <c r="AG597" s="848">
        <f>IF('Input Sheet'!$C$15="Yes",'Input Sheet'!$F$8,0)</f>
        <v>0</v>
      </c>
      <c r="AH597" s="846">
        <f>IF('Input Sheet'!$C$15="Yes",Rates!$E$45,0)</f>
        <v>0</v>
      </c>
      <c r="AI597" s="849">
        <f>IF('Input Sheet'!$C$15="Yes",'Input Sheet'!$F$11,0)</f>
        <v>0</v>
      </c>
      <c r="AJ597" s="850">
        <f>IF('Input Sheet'!$C$15="Yes",'Input Sheet'!$F$7,0)</f>
        <v>0</v>
      </c>
      <c r="AK597" s="856">
        <f t="shared" si="101"/>
        <v>0</v>
      </c>
      <c r="AL597" s="856">
        <f t="shared" si="102"/>
        <v>0</v>
      </c>
      <c r="AM597" s="856">
        <f t="shared" si="108"/>
        <v>0</v>
      </c>
      <c r="AN597" s="856">
        <f t="shared" si="103"/>
        <v>0</v>
      </c>
      <c r="AO597" s="852">
        <f t="shared" si="109"/>
        <v>0</v>
      </c>
      <c r="AP597" s="853">
        <f t="shared" si="110"/>
        <v>0</v>
      </c>
      <c r="AQ597" s="854">
        <f>IFERROR(P597*'Input Sheet'!$F$8/(((AI597)*AK597*2)-AN597),0)</f>
        <v>0</v>
      </c>
      <c r="AR597" s="854">
        <f>IFERROR(($P597-$AF597)*'Input Sheet'!$F$8/(((AI597)*AK597*2)-AN597),0)</f>
        <v>0</v>
      </c>
    </row>
    <row r="598" spans="2:44" s="798" customFormat="1" ht="30" customHeight="1" thickBot="1" x14ac:dyDescent="0.3">
      <c r="B598" s="835"/>
      <c r="C598" s="836"/>
      <c r="D598" s="836"/>
      <c r="E598" s="837"/>
      <c r="F598" s="837"/>
      <c r="G598" s="838"/>
      <c r="H598" s="838"/>
      <c r="I598" s="839"/>
      <c r="J598" s="839"/>
      <c r="K598" s="840"/>
      <c r="L598" s="841"/>
      <c r="M598" s="841"/>
      <c r="N598" s="842"/>
      <c r="O598" s="842"/>
      <c r="P598" s="843"/>
      <c r="Q598" s="843"/>
      <c r="R598" s="843"/>
      <c r="S598" s="844">
        <f t="shared" si="104"/>
        <v>0</v>
      </c>
      <c r="T598" s="838"/>
      <c r="U598" s="842"/>
      <c r="V598" s="843"/>
      <c r="W598" s="843"/>
      <c r="X598" s="843"/>
      <c r="Y598" s="843"/>
      <c r="Z598" s="843"/>
      <c r="AA598" s="837"/>
      <c r="AB598" s="837"/>
      <c r="AC598" s="845">
        <f t="shared" si="105"/>
        <v>0</v>
      </c>
      <c r="AD598" s="846">
        <f t="shared" si="106"/>
        <v>0</v>
      </c>
      <c r="AE598" s="847">
        <f t="shared" si="107"/>
        <v>0</v>
      </c>
      <c r="AF598" s="855">
        <f t="shared" si="100"/>
        <v>0</v>
      </c>
      <c r="AG598" s="848">
        <f>IF('Input Sheet'!$C$15="Yes",'Input Sheet'!$F$8,0)</f>
        <v>0</v>
      </c>
      <c r="AH598" s="846">
        <f>IF('Input Sheet'!$C$15="Yes",Rates!$E$45,0)</f>
        <v>0</v>
      </c>
      <c r="AI598" s="849">
        <f>IF('Input Sheet'!$C$15="Yes",'Input Sheet'!$F$11,0)</f>
        <v>0</v>
      </c>
      <c r="AJ598" s="850">
        <f>IF('Input Sheet'!$C$15="Yes",'Input Sheet'!$F$7,0)</f>
        <v>0</v>
      </c>
      <c r="AK598" s="856">
        <f t="shared" si="101"/>
        <v>0</v>
      </c>
      <c r="AL598" s="856">
        <f t="shared" si="102"/>
        <v>0</v>
      </c>
      <c r="AM598" s="856">
        <f t="shared" si="108"/>
        <v>0</v>
      </c>
      <c r="AN598" s="856">
        <f t="shared" si="103"/>
        <v>0</v>
      </c>
      <c r="AO598" s="852">
        <f t="shared" si="109"/>
        <v>0</v>
      </c>
      <c r="AP598" s="853">
        <f t="shared" si="110"/>
        <v>0</v>
      </c>
      <c r="AQ598" s="854">
        <f>IFERROR(P598*'Input Sheet'!$F$8/(((AI598)*AK598*2)-AN598),0)</f>
        <v>0</v>
      </c>
      <c r="AR598" s="854">
        <f>IFERROR(($P598-$AF598)*'Input Sheet'!$F$8/(((AI598)*AK598*2)-AN598),0)</f>
        <v>0</v>
      </c>
    </row>
    <row r="599" spans="2:44" s="798" customFormat="1" ht="30" customHeight="1" thickBot="1" x14ac:dyDescent="0.3">
      <c r="B599" s="835"/>
      <c r="C599" s="836"/>
      <c r="D599" s="836"/>
      <c r="E599" s="837"/>
      <c r="F599" s="837"/>
      <c r="G599" s="838"/>
      <c r="H599" s="838"/>
      <c r="I599" s="839"/>
      <c r="J599" s="839"/>
      <c r="K599" s="840"/>
      <c r="L599" s="841"/>
      <c r="M599" s="841"/>
      <c r="N599" s="842"/>
      <c r="O599" s="842"/>
      <c r="P599" s="843"/>
      <c r="Q599" s="843"/>
      <c r="R599" s="843"/>
      <c r="S599" s="844">
        <f t="shared" si="104"/>
        <v>0</v>
      </c>
      <c r="T599" s="838"/>
      <c r="U599" s="842"/>
      <c r="V599" s="843"/>
      <c r="W599" s="843"/>
      <c r="X599" s="843"/>
      <c r="Y599" s="843"/>
      <c r="Z599" s="843"/>
      <c r="AA599" s="837"/>
      <c r="AB599" s="837"/>
      <c r="AC599" s="845">
        <f t="shared" si="105"/>
        <v>0</v>
      </c>
      <c r="AD599" s="846">
        <f t="shared" si="106"/>
        <v>0</v>
      </c>
      <c r="AE599" s="847">
        <f t="shared" si="107"/>
        <v>0</v>
      </c>
      <c r="AF599" s="855">
        <f t="shared" si="100"/>
        <v>0</v>
      </c>
      <c r="AG599" s="848">
        <f>IF('Input Sheet'!$C$15="Yes",'Input Sheet'!$F$8,0)</f>
        <v>0</v>
      </c>
      <c r="AH599" s="846">
        <f>IF('Input Sheet'!$C$15="Yes",Rates!$E$45,0)</f>
        <v>0</v>
      </c>
      <c r="AI599" s="849">
        <f>IF('Input Sheet'!$C$15="Yes",'Input Sheet'!$F$11,0)</f>
        <v>0</v>
      </c>
      <c r="AJ599" s="850">
        <f>IF('Input Sheet'!$C$15="Yes",'Input Sheet'!$F$7,0)</f>
        <v>0</v>
      </c>
      <c r="AK599" s="856">
        <f t="shared" si="101"/>
        <v>0</v>
      </c>
      <c r="AL599" s="856">
        <f t="shared" si="102"/>
        <v>0</v>
      </c>
      <c r="AM599" s="856">
        <f t="shared" si="108"/>
        <v>0</v>
      </c>
      <c r="AN599" s="856">
        <f t="shared" si="103"/>
        <v>0</v>
      </c>
      <c r="AO599" s="852">
        <f t="shared" si="109"/>
        <v>0</v>
      </c>
      <c r="AP599" s="853">
        <f t="shared" si="110"/>
        <v>0</v>
      </c>
      <c r="AQ599" s="854">
        <f>IFERROR(P599*'Input Sheet'!$F$8/(((AI599)*AK599*2)-AN599),0)</f>
        <v>0</v>
      </c>
      <c r="AR599" s="854">
        <f>IFERROR(($P599-$AF599)*'Input Sheet'!$F$8/(((AI599)*AK599*2)-AN599),0)</f>
        <v>0</v>
      </c>
    </row>
    <row r="600" spans="2:44" s="798" customFormat="1" ht="30" customHeight="1" thickBot="1" x14ac:dyDescent="0.3">
      <c r="B600" s="835"/>
      <c r="C600" s="836"/>
      <c r="D600" s="836"/>
      <c r="E600" s="837"/>
      <c r="F600" s="837"/>
      <c r="G600" s="838"/>
      <c r="H600" s="838"/>
      <c r="I600" s="839"/>
      <c r="J600" s="839"/>
      <c r="K600" s="840"/>
      <c r="L600" s="841"/>
      <c r="M600" s="841"/>
      <c r="N600" s="842"/>
      <c r="O600" s="842"/>
      <c r="P600" s="843"/>
      <c r="Q600" s="843"/>
      <c r="R600" s="843"/>
      <c r="S600" s="844">
        <f t="shared" si="104"/>
        <v>0</v>
      </c>
      <c r="T600" s="838"/>
      <c r="U600" s="842"/>
      <c r="V600" s="843"/>
      <c r="W600" s="843"/>
      <c r="X600" s="843"/>
      <c r="Y600" s="843"/>
      <c r="Z600" s="843"/>
      <c r="AA600" s="837"/>
      <c r="AB600" s="837"/>
      <c r="AC600" s="845">
        <f t="shared" si="105"/>
        <v>0</v>
      </c>
      <c r="AD600" s="846">
        <f t="shared" si="106"/>
        <v>0</v>
      </c>
      <c r="AE600" s="847">
        <f t="shared" si="107"/>
        <v>0</v>
      </c>
      <c r="AF600" s="855">
        <f t="shared" si="100"/>
        <v>0</v>
      </c>
      <c r="AG600" s="848">
        <f>IF('Input Sheet'!$C$15="Yes",'Input Sheet'!$F$8,0)</f>
        <v>0</v>
      </c>
      <c r="AH600" s="846">
        <f>IF('Input Sheet'!$C$15="Yes",Rates!$E$45,0)</f>
        <v>0</v>
      </c>
      <c r="AI600" s="849">
        <f>IF('Input Sheet'!$C$15="Yes",'Input Sheet'!$F$11,0)</f>
        <v>0</v>
      </c>
      <c r="AJ600" s="850">
        <f>IF('Input Sheet'!$C$15="Yes",'Input Sheet'!$F$7,0)</f>
        <v>0</v>
      </c>
      <c r="AK600" s="856">
        <f t="shared" si="101"/>
        <v>0</v>
      </c>
      <c r="AL600" s="856">
        <f t="shared" si="102"/>
        <v>0</v>
      </c>
      <c r="AM600" s="856">
        <f t="shared" si="108"/>
        <v>0</v>
      </c>
      <c r="AN600" s="856">
        <f t="shared" si="103"/>
        <v>0</v>
      </c>
      <c r="AO600" s="852">
        <f t="shared" si="109"/>
        <v>0</v>
      </c>
      <c r="AP600" s="853">
        <f t="shared" si="110"/>
        <v>0</v>
      </c>
      <c r="AQ600" s="854">
        <f>IFERROR(P600*'Input Sheet'!$F$8/(((AI600)*AK600*2)-AN600),0)</f>
        <v>0</v>
      </c>
      <c r="AR600" s="854">
        <f>IFERROR(($P600-$AF600)*'Input Sheet'!$F$8/(((AI600)*AK600*2)-AN600),0)</f>
        <v>0</v>
      </c>
    </row>
    <row r="601" spans="2:44" s="798" customFormat="1" ht="30" customHeight="1" thickBot="1" x14ac:dyDescent="0.3">
      <c r="B601" s="835"/>
      <c r="C601" s="836"/>
      <c r="D601" s="836"/>
      <c r="E601" s="837"/>
      <c r="F601" s="837"/>
      <c r="G601" s="838"/>
      <c r="H601" s="838"/>
      <c r="I601" s="839"/>
      <c r="J601" s="839"/>
      <c r="K601" s="840"/>
      <c r="L601" s="841"/>
      <c r="M601" s="841"/>
      <c r="N601" s="842"/>
      <c r="O601" s="842"/>
      <c r="P601" s="843"/>
      <c r="Q601" s="843"/>
      <c r="R601" s="843"/>
      <c r="S601" s="844">
        <f t="shared" si="104"/>
        <v>0</v>
      </c>
      <c r="T601" s="838"/>
      <c r="U601" s="842"/>
      <c r="V601" s="843"/>
      <c r="W601" s="843"/>
      <c r="X601" s="843"/>
      <c r="Y601" s="843"/>
      <c r="Z601" s="843"/>
      <c r="AA601" s="837"/>
      <c r="AB601" s="837"/>
      <c r="AC601" s="845">
        <f t="shared" si="105"/>
        <v>0</v>
      </c>
      <c r="AD601" s="846">
        <f t="shared" si="106"/>
        <v>0</v>
      </c>
      <c r="AE601" s="847">
        <f t="shared" si="107"/>
        <v>0</v>
      </c>
      <c r="AF601" s="855">
        <f t="shared" si="100"/>
        <v>0</v>
      </c>
      <c r="AG601" s="848">
        <f>IF('Input Sheet'!$C$15="Yes",'Input Sheet'!$F$8,0)</f>
        <v>0</v>
      </c>
      <c r="AH601" s="846">
        <f>IF('Input Sheet'!$C$15="Yes",Rates!$E$45,0)</f>
        <v>0</v>
      </c>
      <c r="AI601" s="849">
        <f>IF('Input Sheet'!$C$15="Yes",'Input Sheet'!$F$11,0)</f>
        <v>0</v>
      </c>
      <c r="AJ601" s="850">
        <f>IF('Input Sheet'!$C$15="Yes",'Input Sheet'!$F$7,0)</f>
        <v>0</v>
      </c>
      <c r="AK601" s="856">
        <f t="shared" si="101"/>
        <v>0</v>
      </c>
      <c r="AL601" s="856">
        <f t="shared" si="102"/>
        <v>0</v>
      </c>
      <c r="AM601" s="856">
        <f t="shared" si="108"/>
        <v>0</v>
      </c>
      <c r="AN601" s="856">
        <f t="shared" si="103"/>
        <v>0</v>
      </c>
      <c r="AO601" s="852">
        <f t="shared" si="109"/>
        <v>0</v>
      </c>
      <c r="AP601" s="853">
        <f t="shared" si="110"/>
        <v>0</v>
      </c>
      <c r="AQ601" s="854">
        <f>IFERROR(P601*'Input Sheet'!$F$8/(((AI601)*AK601*2)-AN601),0)</f>
        <v>0</v>
      </c>
      <c r="AR601" s="854">
        <f>IFERROR(($P601-$AF601)*'Input Sheet'!$F$8/(((AI601)*AK601*2)-AN601),0)</f>
        <v>0</v>
      </c>
    </row>
    <row r="602" spans="2:44" s="798" customFormat="1" ht="30" customHeight="1" thickBot="1" x14ac:dyDescent="0.3">
      <c r="B602" s="835"/>
      <c r="C602" s="836"/>
      <c r="D602" s="836"/>
      <c r="E602" s="837"/>
      <c r="F602" s="837"/>
      <c r="G602" s="838"/>
      <c r="H602" s="838"/>
      <c r="I602" s="839"/>
      <c r="J602" s="839"/>
      <c r="K602" s="840"/>
      <c r="L602" s="841"/>
      <c r="M602" s="841"/>
      <c r="N602" s="842"/>
      <c r="O602" s="842"/>
      <c r="P602" s="843"/>
      <c r="Q602" s="843"/>
      <c r="R602" s="843"/>
      <c r="S602" s="844">
        <f t="shared" si="104"/>
        <v>0</v>
      </c>
      <c r="T602" s="838"/>
      <c r="U602" s="842"/>
      <c r="V602" s="843"/>
      <c r="W602" s="843"/>
      <c r="X602" s="843"/>
      <c r="Y602" s="843"/>
      <c r="Z602" s="843"/>
      <c r="AA602" s="837"/>
      <c r="AB602" s="837"/>
      <c r="AC602" s="845">
        <f t="shared" si="105"/>
        <v>0</v>
      </c>
      <c r="AD602" s="846">
        <f t="shared" si="106"/>
        <v>0</v>
      </c>
      <c r="AE602" s="847">
        <f t="shared" si="107"/>
        <v>0</v>
      </c>
      <c r="AF602" s="855">
        <f t="shared" si="100"/>
        <v>0</v>
      </c>
      <c r="AG602" s="848">
        <f>IF('Input Sheet'!$C$15="Yes",'Input Sheet'!$F$8,0)</f>
        <v>0</v>
      </c>
      <c r="AH602" s="846">
        <f>IF('Input Sheet'!$C$15="Yes",Rates!$E$45,0)</f>
        <v>0</v>
      </c>
      <c r="AI602" s="849">
        <f>IF('Input Sheet'!$C$15="Yes",'Input Sheet'!$F$11,0)</f>
        <v>0</v>
      </c>
      <c r="AJ602" s="850">
        <f>IF('Input Sheet'!$C$15="Yes",'Input Sheet'!$F$7,0)</f>
        <v>0</v>
      </c>
      <c r="AK602" s="856">
        <f t="shared" si="101"/>
        <v>0</v>
      </c>
      <c r="AL602" s="856">
        <f t="shared" si="102"/>
        <v>0</v>
      </c>
      <c r="AM602" s="856">
        <f t="shared" si="108"/>
        <v>0</v>
      </c>
      <c r="AN602" s="856">
        <f t="shared" si="103"/>
        <v>0</v>
      </c>
      <c r="AO602" s="852">
        <f t="shared" si="109"/>
        <v>0</v>
      </c>
      <c r="AP602" s="853">
        <f t="shared" si="110"/>
        <v>0</v>
      </c>
      <c r="AQ602" s="854">
        <f>IFERROR(P602*'Input Sheet'!$F$8/(((AI602)*AK602*2)-AN602),0)</f>
        <v>0</v>
      </c>
      <c r="AR602" s="854">
        <f>IFERROR(($P602-$AF602)*'Input Sheet'!$F$8/(((AI602)*AK602*2)-AN602),0)</f>
        <v>0</v>
      </c>
    </row>
    <row r="603" spans="2:44" s="798" customFormat="1" ht="30" customHeight="1" thickBot="1" x14ac:dyDescent="0.3">
      <c r="B603" s="835"/>
      <c r="C603" s="836"/>
      <c r="D603" s="836"/>
      <c r="E603" s="837"/>
      <c r="F603" s="837"/>
      <c r="G603" s="838"/>
      <c r="H603" s="838"/>
      <c r="I603" s="839"/>
      <c r="J603" s="839"/>
      <c r="K603" s="840"/>
      <c r="L603" s="841"/>
      <c r="M603" s="841"/>
      <c r="N603" s="842"/>
      <c r="O603" s="842"/>
      <c r="P603" s="843"/>
      <c r="Q603" s="843"/>
      <c r="R603" s="843"/>
      <c r="S603" s="844">
        <f t="shared" si="104"/>
        <v>0</v>
      </c>
      <c r="T603" s="838"/>
      <c r="U603" s="842"/>
      <c r="V603" s="843"/>
      <c r="W603" s="843"/>
      <c r="X603" s="843"/>
      <c r="Y603" s="843"/>
      <c r="Z603" s="843"/>
      <c r="AA603" s="837"/>
      <c r="AB603" s="837"/>
      <c r="AC603" s="845">
        <f t="shared" si="105"/>
        <v>0</v>
      </c>
      <c r="AD603" s="846">
        <f t="shared" si="106"/>
        <v>0</v>
      </c>
      <c r="AE603" s="847">
        <f t="shared" si="107"/>
        <v>0</v>
      </c>
      <c r="AF603" s="855">
        <f t="shared" si="100"/>
        <v>0</v>
      </c>
      <c r="AG603" s="848">
        <f>IF('Input Sheet'!$C$15="Yes",'Input Sheet'!$F$8,0)</f>
        <v>0</v>
      </c>
      <c r="AH603" s="846">
        <f>IF('Input Sheet'!$C$15="Yes",Rates!$E$45,0)</f>
        <v>0</v>
      </c>
      <c r="AI603" s="849">
        <f>IF('Input Sheet'!$C$15="Yes",'Input Sheet'!$F$11,0)</f>
        <v>0</v>
      </c>
      <c r="AJ603" s="850">
        <f>IF('Input Sheet'!$C$15="Yes",'Input Sheet'!$F$7,0)</f>
        <v>0</v>
      </c>
      <c r="AK603" s="856">
        <f t="shared" si="101"/>
        <v>0</v>
      </c>
      <c r="AL603" s="856">
        <f t="shared" si="102"/>
        <v>0</v>
      </c>
      <c r="AM603" s="856">
        <f t="shared" si="108"/>
        <v>0</v>
      </c>
      <c r="AN603" s="856">
        <f t="shared" si="103"/>
        <v>0</v>
      </c>
      <c r="AO603" s="852">
        <f t="shared" si="109"/>
        <v>0</v>
      </c>
      <c r="AP603" s="853">
        <f t="shared" si="110"/>
        <v>0</v>
      </c>
      <c r="AQ603" s="854">
        <f>IFERROR(P603*'Input Sheet'!$F$8/(((AI603)*AK603*2)-AN603),0)</f>
        <v>0</v>
      </c>
      <c r="AR603" s="854">
        <f>IFERROR(($P603-$AF603)*'Input Sheet'!$F$8/(((AI603)*AK603*2)-AN603),0)</f>
        <v>0</v>
      </c>
    </row>
    <row r="604" spans="2:44" s="798" customFormat="1" ht="30" customHeight="1" thickBot="1" x14ac:dyDescent="0.3">
      <c r="B604" s="835"/>
      <c r="C604" s="836"/>
      <c r="D604" s="836"/>
      <c r="E604" s="837"/>
      <c r="F604" s="837"/>
      <c r="G604" s="838"/>
      <c r="H604" s="838"/>
      <c r="I604" s="839"/>
      <c r="J604" s="839"/>
      <c r="K604" s="840"/>
      <c r="L604" s="841"/>
      <c r="M604" s="841"/>
      <c r="N604" s="842"/>
      <c r="O604" s="842"/>
      <c r="P604" s="843"/>
      <c r="Q604" s="843"/>
      <c r="R604" s="843"/>
      <c r="S604" s="844">
        <f t="shared" si="104"/>
        <v>0</v>
      </c>
      <c r="T604" s="838"/>
      <c r="U604" s="842"/>
      <c r="V604" s="843"/>
      <c r="W604" s="843"/>
      <c r="X604" s="843"/>
      <c r="Y604" s="843"/>
      <c r="Z604" s="843"/>
      <c r="AA604" s="837"/>
      <c r="AB604" s="837"/>
      <c r="AC604" s="845">
        <f t="shared" si="105"/>
        <v>0</v>
      </c>
      <c r="AD604" s="846">
        <f t="shared" si="106"/>
        <v>0</v>
      </c>
      <c r="AE604" s="847">
        <f t="shared" si="107"/>
        <v>0</v>
      </c>
      <c r="AF604" s="855">
        <f t="shared" si="100"/>
        <v>0</v>
      </c>
      <c r="AG604" s="848">
        <f>IF('Input Sheet'!$C$15="Yes",'Input Sheet'!$F$8,0)</f>
        <v>0</v>
      </c>
      <c r="AH604" s="846">
        <f>IF('Input Sheet'!$C$15="Yes",Rates!$E$45,0)</f>
        <v>0</v>
      </c>
      <c r="AI604" s="849">
        <f>IF('Input Sheet'!$C$15="Yes",'Input Sheet'!$F$11,0)</f>
        <v>0</v>
      </c>
      <c r="AJ604" s="850">
        <f>IF('Input Sheet'!$C$15="Yes",'Input Sheet'!$F$7,0)</f>
        <v>0</v>
      </c>
      <c r="AK604" s="856">
        <f t="shared" si="101"/>
        <v>0</v>
      </c>
      <c r="AL604" s="856">
        <f t="shared" si="102"/>
        <v>0</v>
      </c>
      <c r="AM604" s="856">
        <f t="shared" si="108"/>
        <v>0</v>
      </c>
      <c r="AN604" s="856">
        <f t="shared" si="103"/>
        <v>0</v>
      </c>
      <c r="AO604" s="852">
        <f t="shared" si="109"/>
        <v>0</v>
      </c>
      <c r="AP604" s="853">
        <f t="shared" si="110"/>
        <v>0</v>
      </c>
      <c r="AQ604" s="854">
        <f>IFERROR(P604*'Input Sheet'!$F$8/(((AI604)*AK604*2)-AN604),0)</f>
        <v>0</v>
      </c>
      <c r="AR604" s="854">
        <f>IFERROR(($P604-$AF604)*'Input Sheet'!$F$8/(((AI604)*AK604*2)-AN604),0)</f>
        <v>0</v>
      </c>
    </row>
    <row r="605" spans="2:44" s="798" customFormat="1" ht="30" customHeight="1" thickBot="1" x14ac:dyDescent="0.3">
      <c r="B605" s="835"/>
      <c r="C605" s="836"/>
      <c r="D605" s="836"/>
      <c r="E605" s="837"/>
      <c r="F605" s="837"/>
      <c r="G605" s="838"/>
      <c r="H605" s="838"/>
      <c r="I605" s="839"/>
      <c r="J605" s="839"/>
      <c r="K605" s="840"/>
      <c r="L605" s="841"/>
      <c r="M605" s="841"/>
      <c r="N605" s="842"/>
      <c r="O605" s="842"/>
      <c r="P605" s="843"/>
      <c r="Q605" s="843"/>
      <c r="R605" s="843"/>
      <c r="S605" s="844">
        <f t="shared" si="104"/>
        <v>0</v>
      </c>
      <c r="T605" s="838"/>
      <c r="U605" s="842"/>
      <c r="V605" s="843"/>
      <c r="W605" s="843"/>
      <c r="X605" s="843"/>
      <c r="Y605" s="843"/>
      <c r="Z605" s="843"/>
      <c r="AA605" s="837"/>
      <c r="AB605" s="837"/>
      <c r="AC605" s="845">
        <f t="shared" si="105"/>
        <v>0</v>
      </c>
      <c r="AD605" s="846">
        <f t="shared" si="106"/>
        <v>0</v>
      </c>
      <c r="AE605" s="847">
        <f t="shared" si="107"/>
        <v>0</v>
      </c>
      <c r="AF605" s="855">
        <f t="shared" si="100"/>
        <v>0</v>
      </c>
      <c r="AG605" s="848">
        <f>IF('Input Sheet'!$C$15="Yes",'Input Sheet'!$F$8,0)</f>
        <v>0</v>
      </c>
      <c r="AH605" s="846">
        <f>IF('Input Sheet'!$C$15="Yes",Rates!$E$45,0)</f>
        <v>0</v>
      </c>
      <c r="AI605" s="849">
        <f>IF('Input Sheet'!$C$15="Yes",'Input Sheet'!$F$11,0)</f>
        <v>0</v>
      </c>
      <c r="AJ605" s="850">
        <f>IF('Input Sheet'!$C$15="Yes",'Input Sheet'!$F$7,0)</f>
        <v>0</v>
      </c>
      <c r="AK605" s="856">
        <f t="shared" si="101"/>
        <v>0</v>
      </c>
      <c r="AL605" s="856">
        <f t="shared" si="102"/>
        <v>0</v>
      </c>
      <c r="AM605" s="856">
        <f t="shared" si="108"/>
        <v>0</v>
      </c>
      <c r="AN605" s="856">
        <f t="shared" si="103"/>
        <v>0</v>
      </c>
      <c r="AO605" s="852">
        <f t="shared" si="109"/>
        <v>0</v>
      </c>
      <c r="AP605" s="853">
        <f t="shared" si="110"/>
        <v>0</v>
      </c>
      <c r="AQ605" s="854">
        <f>IFERROR(P605*'Input Sheet'!$F$8/(((AI605)*AK605*2)-AN605),0)</f>
        <v>0</v>
      </c>
      <c r="AR605" s="854">
        <f>IFERROR(($P605-$AF605)*'Input Sheet'!$F$8/(((AI605)*AK605*2)-AN605),0)</f>
        <v>0</v>
      </c>
    </row>
    <row r="606" spans="2:44" s="798" customFormat="1" ht="30" customHeight="1" thickBot="1" x14ac:dyDescent="0.3">
      <c r="B606" s="835"/>
      <c r="C606" s="836"/>
      <c r="D606" s="836"/>
      <c r="E606" s="837"/>
      <c r="F606" s="837"/>
      <c r="G606" s="838"/>
      <c r="H606" s="838"/>
      <c r="I606" s="839"/>
      <c r="J606" s="839"/>
      <c r="K606" s="840"/>
      <c r="L606" s="841"/>
      <c r="M606" s="841"/>
      <c r="N606" s="842"/>
      <c r="O606" s="842"/>
      <c r="P606" s="843"/>
      <c r="Q606" s="843"/>
      <c r="R606" s="843"/>
      <c r="S606" s="844">
        <f t="shared" si="104"/>
        <v>0</v>
      </c>
      <c r="T606" s="838"/>
      <c r="U606" s="842"/>
      <c r="V606" s="843"/>
      <c r="W606" s="843"/>
      <c r="X606" s="843"/>
      <c r="Y606" s="843"/>
      <c r="Z606" s="843"/>
      <c r="AA606" s="837"/>
      <c r="AB606" s="837"/>
      <c r="AC606" s="845">
        <f t="shared" si="105"/>
        <v>0</v>
      </c>
      <c r="AD606" s="846">
        <f t="shared" si="106"/>
        <v>0</v>
      </c>
      <c r="AE606" s="847">
        <f t="shared" si="107"/>
        <v>0</v>
      </c>
      <c r="AF606" s="855">
        <f t="shared" si="100"/>
        <v>0</v>
      </c>
      <c r="AG606" s="848">
        <f>IF('Input Sheet'!$C$15="Yes",'Input Sheet'!$F$8,0)</f>
        <v>0</v>
      </c>
      <c r="AH606" s="846">
        <f>IF('Input Sheet'!$C$15="Yes",Rates!$E$45,0)</f>
        <v>0</v>
      </c>
      <c r="AI606" s="849">
        <f>IF('Input Sheet'!$C$15="Yes",'Input Sheet'!$F$11,0)</f>
        <v>0</v>
      </c>
      <c r="AJ606" s="850">
        <f>IF('Input Sheet'!$C$15="Yes",'Input Sheet'!$F$7,0)</f>
        <v>0</v>
      </c>
      <c r="AK606" s="856">
        <f t="shared" si="101"/>
        <v>0</v>
      </c>
      <c r="AL606" s="856">
        <f t="shared" si="102"/>
        <v>0</v>
      </c>
      <c r="AM606" s="856">
        <f t="shared" si="108"/>
        <v>0</v>
      </c>
      <c r="AN606" s="856">
        <f t="shared" si="103"/>
        <v>0</v>
      </c>
      <c r="AO606" s="852">
        <f t="shared" si="109"/>
        <v>0</v>
      </c>
      <c r="AP606" s="853">
        <f t="shared" si="110"/>
        <v>0</v>
      </c>
      <c r="AQ606" s="854">
        <f>IFERROR(P606*'Input Sheet'!$F$8/(((AI606)*AK606*2)-AN606),0)</f>
        <v>0</v>
      </c>
      <c r="AR606" s="854">
        <f>IFERROR(($P606-$AF606)*'Input Sheet'!$F$8/(((AI606)*AK606*2)-AN606),0)</f>
        <v>0</v>
      </c>
    </row>
    <row r="607" spans="2:44" s="798" customFormat="1" ht="30" customHeight="1" thickBot="1" x14ac:dyDescent="0.3">
      <c r="B607" s="835"/>
      <c r="C607" s="836"/>
      <c r="D607" s="836"/>
      <c r="E607" s="837"/>
      <c r="F607" s="837"/>
      <c r="G607" s="838"/>
      <c r="H607" s="838"/>
      <c r="I607" s="839"/>
      <c r="J607" s="839"/>
      <c r="K607" s="840"/>
      <c r="L607" s="841"/>
      <c r="M607" s="841"/>
      <c r="N607" s="842"/>
      <c r="O607" s="842"/>
      <c r="P607" s="843"/>
      <c r="Q607" s="843"/>
      <c r="R607" s="843"/>
      <c r="S607" s="844">
        <f t="shared" si="104"/>
        <v>0</v>
      </c>
      <c r="T607" s="838"/>
      <c r="U607" s="842"/>
      <c r="V607" s="843"/>
      <c r="W607" s="843"/>
      <c r="X607" s="843"/>
      <c r="Y607" s="843"/>
      <c r="Z607" s="843"/>
      <c r="AA607" s="837"/>
      <c r="AB607" s="837"/>
      <c r="AC607" s="845">
        <f t="shared" si="105"/>
        <v>0</v>
      </c>
      <c r="AD607" s="846">
        <f t="shared" si="106"/>
        <v>0</v>
      </c>
      <c r="AE607" s="847">
        <f t="shared" si="107"/>
        <v>0</v>
      </c>
      <c r="AF607" s="855">
        <f t="shared" si="100"/>
        <v>0</v>
      </c>
      <c r="AG607" s="848">
        <f>IF('Input Sheet'!$C$15="Yes",'Input Sheet'!$F$8,0)</f>
        <v>0</v>
      </c>
      <c r="AH607" s="846">
        <f>IF('Input Sheet'!$C$15="Yes",Rates!$E$45,0)</f>
        <v>0</v>
      </c>
      <c r="AI607" s="849">
        <f>IF('Input Sheet'!$C$15="Yes",'Input Sheet'!$F$11,0)</f>
        <v>0</v>
      </c>
      <c r="AJ607" s="850">
        <f>IF('Input Sheet'!$C$15="Yes",'Input Sheet'!$F$7,0)</f>
        <v>0</v>
      </c>
      <c r="AK607" s="856">
        <f t="shared" si="101"/>
        <v>0</v>
      </c>
      <c r="AL607" s="856">
        <f t="shared" si="102"/>
        <v>0</v>
      </c>
      <c r="AM607" s="856">
        <f t="shared" si="108"/>
        <v>0</v>
      </c>
      <c r="AN607" s="856">
        <f t="shared" si="103"/>
        <v>0</v>
      </c>
      <c r="AO607" s="852">
        <f t="shared" si="109"/>
        <v>0</v>
      </c>
      <c r="AP607" s="853">
        <f t="shared" si="110"/>
        <v>0</v>
      </c>
      <c r="AQ607" s="854">
        <f>IFERROR(P607*'Input Sheet'!$F$8/(((AI607)*AK607*2)-AN607),0)</f>
        <v>0</v>
      </c>
      <c r="AR607" s="854">
        <f>IFERROR(($P607-$AF607)*'Input Sheet'!$F$8/(((AI607)*AK607*2)-AN607),0)</f>
        <v>0</v>
      </c>
    </row>
    <row r="608" spans="2:44" s="798" customFormat="1" ht="30" customHeight="1" thickBot="1" x14ac:dyDescent="0.3">
      <c r="B608" s="835"/>
      <c r="C608" s="836"/>
      <c r="D608" s="836"/>
      <c r="E608" s="837"/>
      <c r="F608" s="837"/>
      <c r="G608" s="838"/>
      <c r="H608" s="838"/>
      <c r="I608" s="839"/>
      <c r="J608" s="839"/>
      <c r="K608" s="840"/>
      <c r="L608" s="841"/>
      <c r="M608" s="841"/>
      <c r="N608" s="842"/>
      <c r="O608" s="842"/>
      <c r="P608" s="843"/>
      <c r="Q608" s="843"/>
      <c r="R608" s="843"/>
      <c r="S608" s="844">
        <f t="shared" si="104"/>
        <v>0</v>
      </c>
      <c r="T608" s="838"/>
      <c r="U608" s="842"/>
      <c r="V608" s="843"/>
      <c r="W608" s="843"/>
      <c r="X608" s="843"/>
      <c r="Y608" s="843"/>
      <c r="Z608" s="843"/>
      <c r="AA608" s="837"/>
      <c r="AB608" s="837"/>
      <c r="AC608" s="845">
        <f t="shared" si="105"/>
        <v>0</v>
      </c>
      <c r="AD608" s="846">
        <f t="shared" si="106"/>
        <v>0</v>
      </c>
      <c r="AE608" s="847">
        <f t="shared" si="107"/>
        <v>0</v>
      </c>
      <c r="AF608" s="855">
        <f t="shared" si="100"/>
        <v>0</v>
      </c>
      <c r="AG608" s="848">
        <f>IF('Input Sheet'!$C$15="Yes",'Input Sheet'!$F$8,0)</f>
        <v>0</v>
      </c>
      <c r="AH608" s="846">
        <f>IF('Input Sheet'!$C$15="Yes",Rates!$E$45,0)</f>
        <v>0</v>
      </c>
      <c r="AI608" s="849">
        <f>IF('Input Sheet'!$C$15="Yes",'Input Sheet'!$F$11,0)</f>
        <v>0</v>
      </c>
      <c r="AJ608" s="850">
        <f>IF('Input Sheet'!$C$15="Yes",'Input Sheet'!$F$7,0)</f>
        <v>0</v>
      </c>
      <c r="AK608" s="856">
        <f t="shared" si="101"/>
        <v>0</v>
      </c>
      <c r="AL608" s="856">
        <f t="shared" si="102"/>
        <v>0</v>
      </c>
      <c r="AM608" s="856">
        <f t="shared" si="108"/>
        <v>0</v>
      </c>
      <c r="AN608" s="856">
        <f t="shared" si="103"/>
        <v>0</v>
      </c>
      <c r="AO608" s="852">
        <f t="shared" si="109"/>
        <v>0</v>
      </c>
      <c r="AP608" s="853">
        <f t="shared" si="110"/>
        <v>0</v>
      </c>
      <c r="AQ608" s="854">
        <f>IFERROR(P608*'Input Sheet'!$F$8/(((AI608)*AK608*2)-AN608),0)</f>
        <v>0</v>
      </c>
      <c r="AR608" s="854">
        <f>IFERROR(($P608-$AF608)*'Input Sheet'!$F$8/(((AI608)*AK608*2)-AN608),0)</f>
        <v>0</v>
      </c>
    </row>
    <row r="609" spans="2:44" s="798" customFormat="1" ht="30" customHeight="1" thickBot="1" x14ac:dyDescent="0.3">
      <c r="B609" s="835"/>
      <c r="C609" s="836"/>
      <c r="D609" s="836"/>
      <c r="E609" s="837"/>
      <c r="F609" s="837"/>
      <c r="G609" s="838"/>
      <c r="H609" s="838"/>
      <c r="I609" s="839"/>
      <c r="J609" s="839"/>
      <c r="K609" s="840"/>
      <c r="L609" s="841"/>
      <c r="M609" s="841"/>
      <c r="N609" s="842"/>
      <c r="O609" s="842"/>
      <c r="P609" s="843"/>
      <c r="Q609" s="843"/>
      <c r="R609" s="843"/>
      <c r="S609" s="844">
        <f t="shared" si="104"/>
        <v>0</v>
      </c>
      <c r="T609" s="838"/>
      <c r="U609" s="842"/>
      <c r="V609" s="843"/>
      <c r="W609" s="843"/>
      <c r="X609" s="843"/>
      <c r="Y609" s="843"/>
      <c r="Z609" s="843"/>
      <c r="AA609" s="837"/>
      <c r="AB609" s="837"/>
      <c r="AC609" s="845">
        <f t="shared" si="105"/>
        <v>0</v>
      </c>
      <c r="AD609" s="846">
        <f t="shared" si="106"/>
        <v>0</v>
      </c>
      <c r="AE609" s="847">
        <f t="shared" si="107"/>
        <v>0</v>
      </c>
      <c r="AF609" s="855">
        <f t="shared" si="100"/>
        <v>0</v>
      </c>
      <c r="AG609" s="848">
        <f>IF('Input Sheet'!$C$15="Yes",'Input Sheet'!$F$8,0)</f>
        <v>0</v>
      </c>
      <c r="AH609" s="846">
        <f>IF('Input Sheet'!$C$15="Yes",Rates!$E$45,0)</f>
        <v>0</v>
      </c>
      <c r="AI609" s="849">
        <f>IF('Input Sheet'!$C$15="Yes",'Input Sheet'!$F$11,0)</f>
        <v>0</v>
      </c>
      <c r="AJ609" s="850">
        <f>IF('Input Sheet'!$C$15="Yes",'Input Sheet'!$F$7,0)</f>
        <v>0</v>
      </c>
      <c r="AK609" s="856">
        <f t="shared" si="101"/>
        <v>0</v>
      </c>
      <c r="AL609" s="856">
        <f t="shared" si="102"/>
        <v>0</v>
      </c>
      <c r="AM609" s="856">
        <f t="shared" si="108"/>
        <v>0</v>
      </c>
      <c r="AN609" s="856">
        <f t="shared" si="103"/>
        <v>0</v>
      </c>
      <c r="AO609" s="852">
        <f t="shared" si="109"/>
        <v>0</v>
      </c>
      <c r="AP609" s="853">
        <f t="shared" si="110"/>
        <v>0</v>
      </c>
      <c r="AQ609" s="854">
        <f>IFERROR(P609*'Input Sheet'!$F$8/(((AI609)*AK609*2)-AN609),0)</f>
        <v>0</v>
      </c>
      <c r="AR609" s="854">
        <f>IFERROR(($P609-$AF609)*'Input Sheet'!$F$8/(((AI609)*AK609*2)-AN609),0)</f>
        <v>0</v>
      </c>
    </row>
    <row r="610" spans="2:44" s="798" customFormat="1" ht="30" customHeight="1" thickBot="1" x14ac:dyDescent="0.3">
      <c r="B610" s="835"/>
      <c r="C610" s="836"/>
      <c r="D610" s="836"/>
      <c r="E610" s="837"/>
      <c r="F610" s="837"/>
      <c r="G610" s="838"/>
      <c r="H610" s="838"/>
      <c r="I610" s="839"/>
      <c r="J610" s="839"/>
      <c r="K610" s="840"/>
      <c r="L610" s="841"/>
      <c r="M610" s="841"/>
      <c r="N610" s="842"/>
      <c r="O610" s="842"/>
      <c r="P610" s="843"/>
      <c r="Q610" s="843"/>
      <c r="R610" s="843"/>
      <c r="S610" s="844">
        <f t="shared" si="104"/>
        <v>0</v>
      </c>
      <c r="T610" s="838"/>
      <c r="U610" s="842"/>
      <c r="V610" s="843"/>
      <c r="W610" s="843"/>
      <c r="X610" s="843"/>
      <c r="Y610" s="843"/>
      <c r="Z610" s="843"/>
      <c r="AA610" s="837"/>
      <c r="AB610" s="837"/>
      <c r="AC610" s="845">
        <f t="shared" si="105"/>
        <v>0</v>
      </c>
      <c r="AD610" s="846">
        <f t="shared" si="106"/>
        <v>0</v>
      </c>
      <c r="AE610" s="847">
        <f t="shared" si="107"/>
        <v>0</v>
      </c>
      <c r="AF610" s="855">
        <f t="shared" si="100"/>
        <v>0</v>
      </c>
      <c r="AG610" s="848">
        <f>IF('Input Sheet'!$C$15="Yes",'Input Sheet'!$F$8,0)</f>
        <v>0</v>
      </c>
      <c r="AH610" s="846">
        <f>IF('Input Sheet'!$C$15="Yes",Rates!$E$45,0)</f>
        <v>0</v>
      </c>
      <c r="AI610" s="849">
        <f>IF('Input Sheet'!$C$15="Yes",'Input Sheet'!$F$11,0)</f>
        <v>0</v>
      </c>
      <c r="AJ610" s="850">
        <f>IF('Input Sheet'!$C$15="Yes",'Input Sheet'!$F$7,0)</f>
        <v>0</v>
      </c>
      <c r="AK610" s="856">
        <f t="shared" si="101"/>
        <v>0</v>
      </c>
      <c r="AL610" s="856">
        <f t="shared" si="102"/>
        <v>0</v>
      </c>
      <c r="AM610" s="856">
        <f t="shared" si="108"/>
        <v>0</v>
      </c>
      <c r="AN610" s="856">
        <f t="shared" si="103"/>
        <v>0</v>
      </c>
      <c r="AO610" s="852">
        <f t="shared" si="109"/>
        <v>0</v>
      </c>
      <c r="AP610" s="853">
        <f t="shared" si="110"/>
        <v>0</v>
      </c>
      <c r="AQ610" s="854">
        <f>IFERROR(P610*'Input Sheet'!$F$8/(((AI610)*AK610*2)-AN610),0)</f>
        <v>0</v>
      </c>
      <c r="AR610" s="854">
        <f>IFERROR(($P610-$AF610)*'Input Sheet'!$F$8/(((AI610)*AK610*2)-AN610),0)</f>
        <v>0</v>
      </c>
    </row>
    <row r="611" spans="2:44" s="798" customFormat="1" ht="30" customHeight="1" thickBot="1" x14ac:dyDescent="0.3">
      <c r="B611" s="835"/>
      <c r="C611" s="836"/>
      <c r="D611" s="836"/>
      <c r="E611" s="837"/>
      <c r="F611" s="837"/>
      <c r="G611" s="838"/>
      <c r="H611" s="838"/>
      <c r="I611" s="839"/>
      <c r="J611" s="839"/>
      <c r="K611" s="840"/>
      <c r="L611" s="841"/>
      <c r="M611" s="841"/>
      <c r="N611" s="842"/>
      <c r="O611" s="842"/>
      <c r="P611" s="843"/>
      <c r="Q611" s="843"/>
      <c r="R611" s="843"/>
      <c r="S611" s="844">
        <f t="shared" si="104"/>
        <v>0</v>
      </c>
      <c r="T611" s="838"/>
      <c r="U611" s="842"/>
      <c r="V611" s="843"/>
      <c r="W611" s="843"/>
      <c r="X611" s="843"/>
      <c r="Y611" s="843"/>
      <c r="Z611" s="843"/>
      <c r="AA611" s="837"/>
      <c r="AB611" s="837"/>
      <c r="AC611" s="845">
        <f t="shared" si="105"/>
        <v>0</v>
      </c>
      <c r="AD611" s="846">
        <f t="shared" si="106"/>
        <v>0</v>
      </c>
      <c r="AE611" s="847">
        <f t="shared" si="107"/>
        <v>0</v>
      </c>
      <c r="AF611" s="855">
        <f t="shared" si="100"/>
        <v>0</v>
      </c>
      <c r="AG611" s="848">
        <f>IF('Input Sheet'!$C$15="Yes",'Input Sheet'!$F$8,0)</f>
        <v>0</v>
      </c>
      <c r="AH611" s="846">
        <f>IF('Input Sheet'!$C$15="Yes",Rates!$E$45,0)</f>
        <v>0</v>
      </c>
      <c r="AI611" s="849">
        <f>IF('Input Sheet'!$C$15="Yes",'Input Sheet'!$F$11,0)</f>
        <v>0</v>
      </c>
      <c r="AJ611" s="850">
        <f>IF('Input Sheet'!$C$15="Yes",'Input Sheet'!$F$7,0)</f>
        <v>0</v>
      </c>
      <c r="AK611" s="856">
        <f t="shared" si="101"/>
        <v>0</v>
      </c>
      <c r="AL611" s="856">
        <f t="shared" si="102"/>
        <v>0</v>
      </c>
      <c r="AM611" s="856">
        <f t="shared" si="108"/>
        <v>0</v>
      </c>
      <c r="AN611" s="856">
        <f t="shared" si="103"/>
        <v>0</v>
      </c>
      <c r="AO611" s="852">
        <f t="shared" si="109"/>
        <v>0</v>
      </c>
      <c r="AP611" s="853">
        <f t="shared" si="110"/>
        <v>0</v>
      </c>
      <c r="AQ611" s="854">
        <f>IFERROR(P611*'Input Sheet'!$F$8/(((AI611)*AK611*2)-AN611),0)</f>
        <v>0</v>
      </c>
      <c r="AR611" s="854">
        <f>IFERROR(($P611-$AF611)*'Input Sheet'!$F$8/(((AI611)*AK611*2)-AN611),0)</f>
        <v>0</v>
      </c>
    </row>
    <row r="612" spans="2:44" s="798" customFormat="1" ht="30" customHeight="1" thickBot="1" x14ac:dyDescent="0.3">
      <c r="B612" s="835"/>
      <c r="C612" s="836"/>
      <c r="D612" s="836"/>
      <c r="E612" s="837"/>
      <c r="F612" s="837"/>
      <c r="G612" s="838"/>
      <c r="H612" s="838"/>
      <c r="I612" s="839"/>
      <c r="J612" s="839"/>
      <c r="K612" s="840"/>
      <c r="L612" s="841"/>
      <c r="M612" s="841"/>
      <c r="N612" s="842"/>
      <c r="O612" s="842"/>
      <c r="P612" s="843"/>
      <c r="Q612" s="843"/>
      <c r="R612" s="843"/>
      <c r="S612" s="844">
        <f t="shared" si="104"/>
        <v>0</v>
      </c>
      <c r="T612" s="838"/>
      <c r="U612" s="842"/>
      <c r="V612" s="843"/>
      <c r="W612" s="843"/>
      <c r="X612" s="843"/>
      <c r="Y612" s="843"/>
      <c r="Z612" s="843"/>
      <c r="AA612" s="837"/>
      <c r="AB612" s="837"/>
      <c r="AC612" s="845">
        <f t="shared" si="105"/>
        <v>0</v>
      </c>
      <c r="AD612" s="846">
        <f t="shared" si="106"/>
        <v>0</v>
      </c>
      <c r="AE612" s="847">
        <f t="shared" si="107"/>
        <v>0</v>
      </c>
      <c r="AF612" s="855">
        <f t="shared" si="100"/>
        <v>0</v>
      </c>
      <c r="AG612" s="848">
        <f>IF('Input Sheet'!$C$15="Yes",'Input Sheet'!$F$8,0)</f>
        <v>0</v>
      </c>
      <c r="AH612" s="846">
        <f>IF('Input Sheet'!$C$15="Yes",Rates!$E$45,0)</f>
        <v>0</v>
      </c>
      <c r="AI612" s="849">
        <f>IF('Input Sheet'!$C$15="Yes",'Input Sheet'!$F$11,0)</f>
        <v>0</v>
      </c>
      <c r="AJ612" s="850">
        <f>IF('Input Sheet'!$C$15="Yes",'Input Sheet'!$F$7,0)</f>
        <v>0</v>
      </c>
      <c r="AK612" s="856">
        <f t="shared" si="101"/>
        <v>0</v>
      </c>
      <c r="AL612" s="856">
        <f t="shared" si="102"/>
        <v>0</v>
      </c>
      <c r="AM612" s="856">
        <f t="shared" si="108"/>
        <v>0</v>
      </c>
      <c r="AN612" s="856">
        <f t="shared" si="103"/>
        <v>0</v>
      </c>
      <c r="AO612" s="852">
        <f t="shared" si="109"/>
        <v>0</v>
      </c>
      <c r="AP612" s="853">
        <f t="shared" si="110"/>
        <v>0</v>
      </c>
      <c r="AQ612" s="854">
        <f>IFERROR(P612*'Input Sheet'!$F$8/(((AI612)*AK612*2)-AN612),0)</f>
        <v>0</v>
      </c>
      <c r="AR612" s="854">
        <f>IFERROR(($P612-$AF612)*'Input Sheet'!$F$8/(((AI612)*AK612*2)-AN612),0)</f>
        <v>0</v>
      </c>
    </row>
    <row r="613" spans="2:44" s="798" customFormat="1" ht="30" customHeight="1" thickBot="1" x14ac:dyDescent="0.3">
      <c r="B613" s="835"/>
      <c r="C613" s="836"/>
      <c r="D613" s="836"/>
      <c r="E613" s="837"/>
      <c r="F613" s="837"/>
      <c r="G613" s="838"/>
      <c r="H613" s="838"/>
      <c r="I613" s="839"/>
      <c r="J613" s="839"/>
      <c r="K613" s="840"/>
      <c r="L613" s="841"/>
      <c r="M613" s="841"/>
      <c r="N613" s="842"/>
      <c r="O613" s="842"/>
      <c r="P613" s="843"/>
      <c r="Q613" s="843"/>
      <c r="R613" s="843"/>
      <c r="S613" s="844">
        <f t="shared" si="104"/>
        <v>0</v>
      </c>
      <c r="T613" s="838"/>
      <c r="U613" s="842"/>
      <c r="V613" s="843"/>
      <c r="W613" s="843"/>
      <c r="X613" s="843"/>
      <c r="Y613" s="843"/>
      <c r="Z613" s="843"/>
      <c r="AA613" s="837"/>
      <c r="AB613" s="837"/>
      <c r="AC613" s="845">
        <f t="shared" si="105"/>
        <v>0</v>
      </c>
      <c r="AD613" s="846">
        <f t="shared" si="106"/>
        <v>0</v>
      </c>
      <c r="AE613" s="847">
        <f t="shared" si="107"/>
        <v>0</v>
      </c>
      <c r="AF613" s="855">
        <f t="shared" si="100"/>
        <v>0</v>
      </c>
      <c r="AG613" s="848">
        <f>IF('Input Sheet'!$C$15="Yes",'Input Sheet'!$F$8,0)</f>
        <v>0</v>
      </c>
      <c r="AH613" s="846">
        <f>IF('Input Sheet'!$C$15="Yes",Rates!$E$45,0)</f>
        <v>0</v>
      </c>
      <c r="AI613" s="849">
        <f>IF('Input Sheet'!$C$15="Yes",'Input Sheet'!$F$11,0)</f>
        <v>0</v>
      </c>
      <c r="AJ613" s="850">
        <f>IF('Input Sheet'!$C$15="Yes",'Input Sheet'!$F$7,0)</f>
        <v>0</v>
      </c>
      <c r="AK613" s="856">
        <f t="shared" si="101"/>
        <v>0</v>
      </c>
      <c r="AL613" s="856">
        <f t="shared" si="102"/>
        <v>0</v>
      </c>
      <c r="AM613" s="856">
        <f t="shared" si="108"/>
        <v>0</v>
      </c>
      <c r="AN613" s="856">
        <f t="shared" si="103"/>
        <v>0</v>
      </c>
      <c r="AO613" s="852">
        <f t="shared" si="109"/>
        <v>0</v>
      </c>
      <c r="AP613" s="853">
        <f t="shared" si="110"/>
        <v>0</v>
      </c>
      <c r="AQ613" s="854">
        <f>IFERROR(P613*'Input Sheet'!$F$8/(((AI613)*AK613*2)-AN613),0)</f>
        <v>0</v>
      </c>
      <c r="AR613" s="854">
        <f>IFERROR(($P613-$AF613)*'Input Sheet'!$F$8/(((AI613)*AK613*2)-AN613),0)</f>
        <v>0</v>
      </c>
    </row>
    <row r="614" spans="2:44" s="798" customFormat="1" ht="30" customHeight="1" thickBot="1" x14ac:dyDescent="0.3">
      <c r="B614" s="835"/>
      <c r="C614" s="836"/>
      <c r="D614" s="836"/>
      <c r="E614" s="837"/>
      <c r="F614" s="837"/>
      <c r="G614" s="838"/>
      <c r="H614" s="838"/>
      <c r="I614" s="839"/>
      <c r="J614" s="839"/>
      <c r="K614" s="840"/>
      <c r="L614" s="841"/>
      <c r="M614" s="841"/>
      <c r="N614" s="842"/>
      <c r="O614" s="842"/>
      <c r="P614" s="843"/>
      <c r="Q614" s="843"/>
      <c r="R614" s="843"/>
      <c r="S614" s="844">
        <f t="shared" si="104"/>
        <v>0</v>
      </c>
      <c r="T614" s="838"/>
      <c r="U614" s="842"/>
      <c r="V614" s="843"/>
      <c r="W614" s="843"/>
      <c r="X614" s="843"/>
      <c r="Y614" s="843"/>
      <c r="Z614" s="843"/>
      <c r="AA614" s="837"/>
      <c r="AB614" s="837"/>
      <c r="AC614" s="845">
        <f t="shared" si="105"/>
        <v>0</v>
      </c>
      <c r="AD614" s="846">
        <f t="shared" si="106"/>
        <v>0</v>
      </c>
      <c r="AE614" s="847">
        <f t="shared" si="107"/>
        <v>0</v>
      </c>
      <c r="AF614" s="855">
        <f t="shared" si="100"/>
        <v>0</v>
      </c>
      <c r="AG614" s="848">
        <f>IF('Input Sheet'!$C$15="Yes",'Input Sheet'!$F$8,0)</f>
        <v>0</v>
      </c>
      <c r="AH614" s="846">
        <f>IF('Input Sheet'!$C$15="Yes",Rates!$E$45,0)</f>
        <v>0</v>
      </c>
      <c r="AI614" s="849">
        <f>IF('Input Sheet'!$C$15="Yes",'Input Sheet'!$F$11,0)</f>
        <v>0</v>
      </c>
      <c r="AJ614" s="850">
        <f>IF('Input Sheet'!$C$15="Yes",'Input Sheet'!$F$7,0)</f>
        <v>0</v>
      </c>
      <c r="AK614" s="856">
        <f t="shared" si="101"/>
        <v>0</v>
      </c>
      <c r="AL614" s="856">
        <f t="shared" si="102"/>
        <v>0</v>
      </c>
      <c r="AM614" s="856">
        <f t="shared" si="108"/>
        <v>0</v>
      </c>
      <c r="AN614" s="856">
        <f t="shared" si="103"/>
        <v>0</v>
      </c>
      <c r="AO614" s="852">
        <f t="shared" si="109"/>
        <v>0</v>
      </c>
      <c r="AP614" s="853">
        <f t="shared" si="110"/>
        <v>0</v>
      </c>
      <c r="AQ614" s="854">
        <f>IFERROR(P614*'Input Sheet'!$F$8/(((AI614)*AK614*2)-AN614),0)</f>
        <v>0</v>
      </c>
      <c r="AR614" s="854">
        <f>IFERROR(($P614-$AF614)*'Input Sheet'!$F$8/(((AI614)*AK614*2)-AN614),0)</f>
        <v>0</v>
      </c>
    </row>
    <row r="615" spans="2:44" s="798" customFormat="1" ht="30" customHeight="1" thickBot="1" x14ac:dyDescent="0.3">
      <c r="B615" s="835"/>
      <c r="C615" s="836"/>
      <c r="D615" s="836"/>
      <c r="E615" s="837"/>
      <c r="F615" s="837"/>
      <c r="G615" s="838"/>
      <c r="H615" s="838"/>
      <c r="I615" s="839"/>
      <c r="J615" s="839"/>
      <c r="K615" s="840"/>
      <c r="L615" s="841"/>
      <c r="M615" s="841"/>
      <c r="N615" s="842"/>
      <c r="O615" s="842"/>
      <c r="P615" s="843"/>
      <c r="Q615" s="843"/>
      <c r="R615" s="843"/>
      <c r="S615" s="844">
        <f t="shared" si="104"/>
        <v>0</v>
      </c>
      <c r="T615" s="838"/>
      <c r="U615" s="842"/>
      <c r="V615" s="843"/>
      <c r="W615" s="843"/>
      <c r="X615" s="843"/>
      <c r="Y615" s="843"/>
      <c r="Z615" s="843"/>
      <c r="AA615" s="837"/>
      <c r="AB615" s="837"/>
      <c r="AC615" s="845">
        <f t="shared" si="105"/>
        <v>0</v>
      </c>
      <c r="AD615" s="846">
        <f t="shared" si="106"/>
        <v>0</v>
      </c>
      <c r="AE615" s="847">
        <f t="shared" si="107"/>
        <v>0</v>
      </c>
      <c r="AF615" s="855">
        <f t="shared" si="100"/>
        <v>0</v>
      </c>
      <c r="AG615" s="848">
        <f>IF('Input Sheet'!$C$15="Yes",'Input Sheet'!$F$8,0)</f>
        <v>0</v>
      </c>
      <c r="AH615" s="846">
        <f>IF('Input Sheet'!$C$15="Yes",Rates!$E$45,0)</f>
        <v>0</v>
      </c>
      <c r="AI615" s="849">
        <f>IF('Input Sheet'!$C$15="Yes",'Input Sheet'!$F$11,0)</f>
        <v>0</v>
      </c>
      <c r="AJ615" s="850">
        <f>IF('Input Sheet'!$C$15="Yes",'Input Sheet'!$F$7,0)</f>
        <v>0</v>
      </c>
      <c r="AK615" s="856">
        <f t="shared" si="101"/>
        <v>0</v>
      </c>
      <c r="AL615" s="856">
        <f t="shared" si="102"/>
        <v>0</v>
      </c>
      <c r="AM615" s="856">
        <f t="shared" si="108"/>
        <v>0</v>
      </c>
      <c r="AN615" s="856">
        <f t="shared" si="103"/>
        <v>0</v>
      </c>
      <c r="AO615" s="852">
        <f t="shared" si="109"/>
        <v>0</v>
      </c>
      <c r="AP615" s="853">
        <f t="shared" si="110"/>
        <v>0</v>
      </c>
      <c r="AQ615" s="854">
        <f>IFERROR(P615*'Input Sheet'!$F$8/(((AI615)*AK615*2)-AN615),0)</f>
        <v>0</v>
      </c>
      <c r="AR615" s="854">
        <f>IFERROR(($P615-$AF615)*'Input Sheet'!$F$8/(((AI615)*AK615*2)-AN615),0)</f>
        <v>0</v>
      </c>
    </row>
    <row r="616" spans="2:44" s="798" customFormat="1" ht="30" customHeight="1" thickBot="1" x14ac:dyDescent="0.3">
      <c r="B616" s="835"/>
      <c r="C616" s="836"/>
      <c r="D616" s="836"/>
      <c r="E616" s="837"/>
      <c r="F616" s="837"/>
      <c r="G616" s="838"/>
      <c r="H616" s="838"/>
      <c r="I616" s="839"/>
      <c r="J616" s="839"/>
      <c r="K616" s="840"/>
      <c r="L616" s="841"/>
      <c r="M616" s="841"/>
      <c r="N616" s="842"/>
      <c r="O616" s="842"/>
      <c r="P616" s="843"/>
      <c r="Q616" s="843"/>
      <c r="R616" s="843"/>
      <c r="S616" s="844">
        <f t="shared" si="104"/>
        <v>0</v>
      </c>
      <c r="T616" s="838"/>
      <c r="U616" s="842"/>
      <c r="V616" s="843"/>
      <c r="W616" s="843"/>
      <c r="X616" s="843"/>
      <c r="Y616" s="843"/>
      <c r="Z616" s="843"/>
      <c r="AA616" s="837"/>
      <c r="AB616" s="837"/>
      <c r="AC616" s="845">
        <f t="shared" si="105"/>
        <v>0</v>
      </c>
      <c r="AD616" s="846">
        <f t="shared" si="106"/>
        <v>0</v>
      </c>
      <c r="AE616" s="847">
        <f t="shared" si="107"/>
        <v>0</v>
      </c>
      <c r="AF616" s="855">
        <f t="shared" si="100"/>
        <v>0</v>
      </c>
      <c r="AG616" s="848">
        <f>IF('Input Sheet'!$C$15="Yes",'Input Sheet'!$F$8,0)</f>
        <v>0</v>
      </c>
      <c r="AH616" s="846">
        <f>IF('Input Sheet'!$C$15="Yes",Rates!$E$45,0)</f>
        <v>0</v>
      </c>
      <c r="AI616" s="849">
        <f>IF('Input Sheet'!$C$15="Yes",'Input Sheet'!$F$11,0)</f>
        <v>0</v>
      </c>
      <c r="AJ616" s="850">
        <f>IF('Input Sheet'!$C$15="Yes",'Input Sheet'!$F$7,0)</f>
        <v>0</v>
      </c>
      <c r="AK616" s="856">
        <f t="shared" si="101"/>
        <v>0</v>
      </c>
      <c r="AL616" s="856">
        <f t="shared" si="102"/>
        <v>0</v>
      </c>
      <c r="AM616" s="856">
        <f t="shared" si="108"/>
        <v>0</v>
      </c>
      <c r="AN616" s="856">
        <f t="shared" si="103"/>
        <v>0</v>
      </c>
      <c r="AO616" s="852">
        <f t="shared" si="109"/>
        <v>0</v>
      </c>
      <c r="AP616" s="853">
        <f t="shared" si="110"/>
        <v>0</v>
      </c>
      <c r="AQ616" s="854">
        <f>IFERROR(P616*'Input Sheet'!$F$8/(((AI616)*AK616*2)-AN616),0)</f>
        <v>0</v>
      </c>
      <c r="AR616" s="854">
        <f>IFERROR(($P616-$AF616)*'Input Sheet'!$F$8/(((AI616)*AK616*2)-AN616),0)</f>
        <v>0</v>
      </c>
    </row>
    <row r="617" spans="2:44" s="798" customFormat="1" ht="30" customHeight="1" thickBot="1" x14ac:dyDescent="0.3">
      <c r="B617" s="835"/>
      <c r="C617" s="836"/>
      <c r="D617" s="836"/>
      <c r="E617" s="837"/>
      <c r="F617" s="837"/>
      <c r="G617" s="838"/>
      <c r="H617" s="838"/>
      <c r="I617" s="839"/>
      <c r="J617" s="839"/>
      <c r="K617" s="840"/>
      <c r="L617" s="841"/>
      <c r="M617" s="841"/>
      <c r="N617" s="842"/>
      <c r="O617" s="842"/>
      <c r="P617" s="843"/>
      <c r="Q617" s="843"/>
      <c r="R617" s="843"/>
      <c r="S617" s="844">
        <f t="shared" si="104"/>
        <v>0</v>
      </c>
      <c r="T617" s="838"/>
      <c r="U617" s="842"/>
      <c r="V617" s="843"/>
      <c r="W617" s="843"/>
      <c r="X617" s="843"/>
      <c r="Y617" s="843"/>
      <c r="Z617" s="843"/>
      <c r="AA617" s="837"/>
      <c r="AB617" s="837"/>
      <c r="AC617" s="845">
        <f t="shared" si="105"/>
        <v>0</v>
      </c>
      <c r="AD617" s="846">
        <f t="shared" si="106"/>
        <v>0</v>
      </c>
      <c r="AE617" s="847">
        <f t="shared" si="107"/>
        <v>0</v>
      </c>
      <c r="AF617" s="855">
        <f t="shared" si="100"/>
        <v>0</v>
      </c>
      <c r="AG617" s="848">
        <f>IF('Input Sheet'!$C$15="Yes",'Input Sheet'!$F$8,0)</f>
        <v>0</v>
      </c>
      <c r="AH617" s="846">
        <f>IF('Input Sheet'!$C$15="Yes",Rates!$E$45,0)</f>
        <v>0</v>
      </c>
      <c r="AI617" s="849">
        <f>IF('Input Sheet'!$C$15="Yes",'Input Sheet'!$F$11,0)</f>
        <v>0</v>
      </c>
      <c r="AJ617" s="850">
        <f>IF('Input Sheet'!$C$15="Yes",'Input Sheet'!$F$7,0)</f>
        <v>0</v>
      </c>
      <c r="AK617" s="856">
        <f t="shared" si="101"/>
        <v>0</v>
      </c>
      <c r="AL617" s="856">
        <f t="shared" si="102"/>
        <v>0</v>
      </c>
      <c r="AM617" s="856">
        <f t="shared" si="108"/>
        <v>0</v>
      </c>
      <c r="AN617" s="856">
        <f t="shared" si="103"/>
        <v>0</v>
      </c>
      <c r="AO617" s="852">
        <f t="shared" si="109"/>
        <v>0</v>
      </c>
      <c r="AP617" s="853">
        <f t="shared" si="110"/>
        <v>0</v>
      </c>
      <c r="AQ617" s="854">
        <f>IFERROR(P617*'Input Sheet'!$F$8/(((AI617)*AK617*2)-AN617),0)</f>
        <v>0</v>
      </c>
      <c r="AR617" s="854">
        <f>IFERROR(($P617-$AF617)*'Input Sheet'!$F$8/(((AI617)*AK617*2)-AN617),0)</f>
        <v>0</v>
      </c>
    </row>
    <row r="618" spans="2:44" s="798" customFormat="1" ht="30" customHeight="1" thickBot="1" x14ac:dyDescent="0.3">
      <c r="B618" s="835"/>
      <c r="C618" s="836"/>
      <c r="D618" s="836"/>
      <c r="E618" s="837"/>
      <c r="F618" s="837"/>
      <c r="G618" s="838"/>
      <c r="H618" s="838"/>
      <c r="I618" s="839"/>
      <c r="J618" s="839"/>
      <c r="K618" s="840"/>
      <c r="L618" s="841"/>
      <c r="M618" s="841"/>
      <c r="N618" s="842"/>
      <c r="O618" s="842"/>
      <c r="P618" s="843"/>
      <c r="Q618" s="843"/>
      <c r="R618" s="843"/>
      <c r="S618" s="844">
        <f t="shared" si="104"/>
        <v>0</v>
      </c>
      <c r="T618" s="838"/>
      <c r="U618" s="842"/>
      <c r="V618" s="843"/>
      <c r="W618" s="843"/>
      <c r="X618" s="843"/>
      <c r="Y618" s="843"/>
      <c r="Z618" s="843"/>
      <c r="AA618" s="837"/>
      <c r="AB618" s="837"/>
      <c r="AC618" s="845">
        <f t="shared" si="105"/>
        <v>0</v>
      </c>
      <c r="AD618" s="846">
        <f t="shared" si="106"/>
        <v>0</v>
      </c>
      <c r="AE618" s="847">
        <f t="shared" si="107"/>
        <v>0</v>
      </c>
      <c r="AF618" s="855">
        <f t="shared" si="100"/>
        <v>0</v>
      </c>
      <c r="AG618" s="848">
        <f>IF('Input Sheet'!$C$15="Yes",'Input Sheet'!$F$8,0)</f>
        <v>0</v>
      </c>
      <c r="AH618" s="846">
        <f>IF('Input Sheet'!$C$15="Yes",Rates!$E$45,0)</f>
        <v>0</v>
      </c>
      <c r="AI618" s="849">
        <f>IF('Input Sheet'!$C$15="Yes",'Input Sheet'!$F$11,0)</f>
        <v>0</v>
      </c>
      <c r="AJ618" s="850">
        <f>IF('Input Sheet'!$C$15="Yes",'Input Sheet'!$F$7,0)</f>
        <v>0</v>
      </c>
      <c r="AK618" s="856">
        <f t="shared" si="101"/>
        <v>0</v>
      </c>
      <c r="AL618" s="856">
        <f t="shared" si="102"/>
        <v>0</v>
      </c>
      <c r="AM618" s="856">
        <f t="shared" si="108"/>
        <v>0</v>
      </c>
      <c r="AN618" s="856">
        <f t="shared" si="103"/>
        <v>0</v>
      </c>
      <c r="AO618" s="852">
        <f t="shared" si="109"/>
        <v>0</v>
      </c>
      <c r="AP618" s="853">
        <f t="shared" si="110"/>
        <v>0</v>
      </c>
      <c r="AQ618" s="854">
        <f>IFERROR(P618*'Input Sheet'!$F$8/(((AI618)*AK618*2)-AN618),0)</f>
        <v>0</v>
      </c>
      <c r="AR618" s="854">
        <f>IFERROR(($P618-$AF618)*'Input Sheet'!$F$8/(((AI618)*AK618*2)-AN618),0)</f>
        <v>0</v>
      </c>
    </row>
    <row r="619" spans="2:44" s="798" customFormat="1" ht="30" customHeight="1" thickBot="1" x14ac:dyDescent="0.3">
      <c r="B619" s="835"/>
      <c r="C619" s="836"/>
      <c r="D619" s="836"/>
      <c r="E619" s="837"/>
      <c r="F619" s="837"/>
      <c r="G619" s="838"/>
      <c r="H619" s="838"/>
      <c r="I619" s="839"/>
      <c r="J619" s="839"/>
      <c r="K619" s="840"/>
      <c r="L619" s="841"/>
      <c r="M619" s="841"/>
      <c r="N619" s="842"/>
      <c r="O619" s="842"/>
      <c r="P619" s="843"/>
      <c r="Q619" s="843"/>
      <c r="R619" s="843"/>
      <c r="S619" s="844">
        <f t="shared" si="104"/>
        <v>0</v>
      </c>
      <c r="T619" s="838"/>
      <c r="U619" s="842"/>
      <c r="V619" s="843"/>
      <c r="W619" s="843"/>
      <c r="X619" s="843"/>
      <c r="Y619" s="843"/>
      <c r="Z619" s="843"/>
      <c r="AA619" s="837"/>
      <c r="AB619" s="837"/>
      <c r="AC619" s="845">
        <f t="shared" si="105"/>
        <v>0</v>
      </c>
      <c r="AD619" s="846">
        <f t="shared" si="106"/>
        <v>0</v>
      </c>
      <c r="AE619" s="847">
        <f t="shared" si="107"/>
        <v>0</v>
      </c>
      <c r="AF619" s="855">
        <f t="shared" si="100"/>
        <v>0</v>
      </c>
      <c r="AG619" s="848">
        <f>IF('Input Sheet'!$C$15="Yes",'Input Sheet'!$F$8,0)</f>
        <v>0</v>
      </c>
      <c r="AH619" s="846">
        <f>IF('Input Sheet'!$C$15="Yes",Rates!$E$45,0)</f>
        <v>0</v>
      </c>
      <c r="AI619" s="849">
        <f>IF('Input Sheet'!$C$15="Yes",'Input Sheet'!$F$11,0)</f>
        <v>0</v>
      </c>
      <c r="AJ619" s="850">
        <f>IF('Input Sheet'!$C$15="Yes",'Input Sheet'!$F$7,0)</f>
        <v>0</v>
      </c>
      <c r="AK619" s="856">
        <f t="shared" si="101"/>
        <v>0</v>
      </c>
      <c r="AL619" s="856">
        <f t="shared" si="102"/>
        <v>0</v>
      </c>
      <c r="AM619" s="856">
        <f t="shared" si="108"/>
        <v>0</v>
      </c>
      <c r="AN619" s="856">
        <f t="shared" si="103"/>
        <v>0</v>
      </c>
      <c r="AO619" s="852">
        <f t="shared" si="109"/>
        <v>0</v>
      </c>
      <c r="AP619" s="853">
        <f t="shared" si="110"/>
        <v>0</v>
      </c>
      <c r="AQ619" s="854">
        <f>IFERROR(P619*'Input Sheet'!$F$8/(((AI619)*AK619*2)-AN619),0)</f>
        <v>0</v>
      </c>
      <c r="AR619" s="854">
        <f>IFERROR(($P619-$AF619)*'Input Sheet'!$F$8/(((AI619)*AK619*2)-AN619),0)</f>
        <v>0</v>
      </c>
    </row>
    <row r="620" spans="2:44" s="798" customFormat="1" ht="30" customHeight="1" thickBot="1" x14ac:dyDescent="0.3">
      <c r="B620" s="835"/>
      <c r="C620" s="836"/>
      <c r="D620" s="836"/>
      <c r="E620" s="837"/>
      <c r="F620" s="837"/>
      <c r="G620" s="838"/>
      <c r="H620" s="838"/>
      <c r="I620" s="839"/>
      <c r="J620" s="839"/>
      <c r="K620" s="840"/>
      <c r="L620" s="841"/>
      <c r="M620" s="841"/>
      <c r="N620" s="842"/>
      <c r="O620" s="842"/>
      <c r="P620" s="843"/>
      <c r="Q620" s="843"/>
      <c r="R620" s="843"/>
      <c r="S620" s="844">
        <f t="shared" si="104"/>
        <v>0</v>
      </c>
      <c r="T620" s="838"/>
      <c r="U620" s="842"/>
      <c r="V620" s="843"/>
      <c r="W620" s="843"/>
      <c r="X620" s="843"/>
      <c r="Y620" s="843"/>
      <c r="Z620" s="843"/>
      <c r="AA620" s="837"/>
      <c r="AB620" s="837"/>
      <c r="AC620" s="845">
        <f t="shared" si="105"/>
        <v>0</v>
      </c>
      <c r="AD620" s="846">
        <f t="shared" si="106"/>
        <v>0</v>
      </c>
      <c r="AE620" s="847">
        <f t="shared" si="107"/>
        <v>0</v>
      </c>
      <c r="AF620" s="855">
        <f t="shared" si="100"/>
        <v>0</v>
      </c>
      <c r="AG620" s="848">
        <f>IF('Input Sheet'!$C$15="Yes",'Input Sheet'!$F$8,0)</f>
        <v>0</v>
      </c>
      <c r="AH620" s="846">
        <f>IF('Input Sheet'!$C$15="Yes",Rates!$E$45,0)</f>
        <v>0</v>
      </c>
      <c r="AI620" s="849">
        <f>IF('Input Sheet'!$C$15="Yes",'Input Sheet'!$F$11,0)</f>
        <v>0</v>
      </c>
      <c r="AJ620" s="850">
        <f>IF('Input Sheet'!$C$15="Yes",'Input Sheet'!$F$7,0)</f>
        <v>0</v>
      </c>
      <c r="AK620" s="856">
        <f t="shared" si="101"/>
        <v>0</v>
      </c>
      <c r="AL620" s="856">
        <f t="shared" si="102"/>
        <v>0</v>
      </c>
      <c r="AM620" s="856">
        <f t="shared" si="108"/>
        <v>0</v>
      </c>
      <c r="AN620" s="856">
        <f t="shared" si="103"/>
        <v>0</v>
      </c>
      <c r="AO620" s="852">
        <f t="shared" si="109"/>
        <v>0</v>
      </c>
      <c r="AP620" s="853">
        <f t="shared" si="110"/>
        <v>0</v>
      </c>
      <c r="AQ620" s="854">
        <f>IFERROR(P620*'Input Sheet'!$F$8/(((AI620)*AK620*2)-AN620),0)</f>
        <v>0</v>
      </c>
      <c r="AR620" s="854">
        <f>IFERROR(($P620-$AF620)*'Input Sheet'!$F$8/(((AI620)*AK620*2)-AN620),0)</f>
        <v>0</v>
      </c>
    </row>
    <row r="621" spans="2:44" s="798" customFormat="1" ht="30" customHeight="1" thickBot="1" x14ac:dyDescent="0.3">
      <c r="B621" s="835"/>
      <c r="C621" s="836"/>
      <c r="D621" s="836"/>
      <c r="E621" s="837"/>
      <c r="F621" s="837"/>
      <c r="G621" s="838"/>
      <c r="H621" s="838"/>
      <c r="I621" s="839"/>
      <c r="J621" s="839"/>
      <c r="K621" s="840"/>
      <c r="L621" s="841"/>
      <c r="M621" s="841"/>
      <c r="N621" s="842"/>
      <c r="O621" s="842"/>
      <c r="P621" s="843"/>
      <c r="Q621" s="843"/>
      <c r="R621" s="843"/>
      <c r="S621" s="844">
        <f t="shared" si="104"/>
        <v>0</v>
      </c>
      <c r="T621" s="838"/>
      <c r="U621" s="842"/>
      <c r="V621" s="843"/>
      <c r="W621" s="843"/>
      <c r="X621" s="843"/>
      <c r="Y621" s="843"/>
      <c r="Z621" s="843"/>
      <c r="AA621" s="837"/>
      <c r="AB621" s="837"/>
      <c r="AC621" s="845">
        <f t="shared" si="105"/>
        <v>0</v>
      </c>
      <c r="AD621" s="846">
        <f t="shared" si="106"/>
        <v>0</v>
      </c>
      <c r="AE621" s="847">
        <f t="shared" si="107"/>
        <v>0</v>
      </c>
      <c r="AF621" s="855">
        <f t="shared" si="100"/>
        <v>0</v>
      </c>
      <c r="AG621" s="848">
        <f>IF('Input Sheet'!$C$15="Yes",'Input Sheet'!$F$8,0)</f>
        <v>0</v>
      </c>
      <c r="AH621" s="846">
        <f>IF('Input Sheet'!$C$15="Yes",Rates!$E$45,0)</f>
        <v>0</v>
      </c>
      <c r="AI621" s="849">
        <f>IF('Input Sheet'!$C$15="Yes",'Input Sheet'!$F$11,0)</f>
        <v>0</v>
      </c>
      <c r="AJ621" s="850">
        <f>IF('Input Sheet'!$C$15="Yes",'Input Sheet'!$F$7,0)</f>
        <v>0</v>
      </c>
      <c r="AK621" s="856">
        <f t="shared" si="101"/>
        <v>0</v>
      </c>
      <c r="AL621" s="856">
        <f t="shared" si="102"/>
        <v>0</v>
      </c>
      <c r="AM621" s="856">
        <f t="shared" si="108"/>
        <v>0</v>
      </c>
      <c r="AN621" s="856">
        <f t="shared" si="103"/>
        <v>0</v>
      </c>
      <c r="AO621" s="852">
        <f t="shared" si="109"/>
        <v>0</v>
      </c>
      <c r="AP621" s="853">
        <f t="shared" si="110"/>
        <v>0</v>
      </c>
      <c r="AQ621" s="854">
        <f>IFERROR(P621*'Input Sheet'!$F$8/(((AI621)*AK621*2)-AN621),0)</f>
        <v>0</v>
      </c>
      <c r="AR621" s="854">
        <f>IFERROR(($P621-$AF621)*'Input Sheet'!$F$8/(((AI621)*AK621*2)-AN621),0)</f>
        <v>0</v>
      </c>
    </row>
    <row r="622" spans="2:44" s="798" customFormat="1" ht="30" customHeight="1" thickBot="1" x14ac:dyDescent="0.3">
      <c r="B622" s="835"/>
      <c r="C622" s="836"/>
      <c r="D622" s="836"/>
      <c r="E622" s="837"/>
      <c r="F622" s="837"/>
      <c r="G622" s="838"/>
      <c r="H622" s="838"/>
      <c r="I622" s="839"/>
      <c r="J622" s="839"/>
      <c r="K622" s="840"/>
      <c r="L622" s="841"/>
      <c r="M622" s="841"/>
      <c r="N622" s="842"/>
      <c r="O622" s="842"/>
      <c r="P622" s="843"/>
      <c r="Q622" s="843"/>
      <c r="R622" s="843"/>
      <c r="S622" s="844">
        <f t="shared" si="104"/>
        <v>0</v>
      </c>
      <c r="T622" s="838"/>
      <c r="U622" s="842"/>
      <c r="V622" s="843"/>
      <c r="W622" s="843"/>
      <c r="X622" s="843"/>
      <c r="Y622" s="843"/>
      <c r="Z622" s="843"/>
      <c r="AA622" s="837"/>
      <c r="AB622" s="837"/>
      <c r="AC622" s="845">
        <f t="shared" si="105"/>
        <v>0</v>
      </c>
      <c r="AD622" s="846">
        <f t="shared" si="106"/>
        <v>0</v>
      </c>
      <c r="AE622" s="847">
        <f t="shared" si="107"/>
        <v>0</v>
      </c>
      <c r="AF622" s="855">
        <f t="shared" si="100"/>
        <v>0</v>
      </c>
      <c r="AG622" s="848">
        <f>IF('Input Sheet'!$C$15="Yes",'Input Sheet'!$F$8,0)</f>
        <v>0</v>
      </c>
      <c r="AH622" s="846">
        <f>IF('Input Sheet'!$C$15="Yes",Rates!$E$45,0)</f>
        <v>0</v>
      </c>
      <c r="AI622" s="849">
        <f>IF('Input Sheet'!$C$15="Yes",'Input Sheet'!$F$11,0)</f>
        <v>0</v>
      </c>
      <c r="AJ622" s="850">
        <f>IF('Input Sheet'!$C$15="Yes",'Input Sheet'!$F$7,0)</f>
        <v>0</v>
      </c>
      <c r="AK622" s="856">
        <f t="shared" si="101"/>
        <v>0</v>
      </c>
      <c r="AL622" s="856">
        <f t="shared" si="102"/>
        <v>0</v>
      </c>
      <c r="AM622" s="856">
        <f t="shared" si="108"/>
        <v>0</v>
      </c>
      <c r="AN622" s="856">
        <f t="shared" si="103"/>
        <v>0</v>
      </c>
      <c r="AO622" s="852">
        <f t="shared" si="109"/>
        <v>0</v>
      </c>
      <c r="AP622" s="853">
        <f t="shared" si="110"/>
        <v>0</v>
      </c>
      <c r="AQ622" s="854">
        <f>IFERROR(P622*'Input Sheet'!$F$8/(((AI622)*AK622*2)-AN622),0)</f>
        <v>0</v>
      </c>
      <c r="AR622" s="854">
        <f>IFERROR(($P622-$AF622)*'Input Sheet'!$F$8/(((AI622)*AK622*2)-AN622),0)</f>
        <v>0</v>
      </c>
    </row>
    <row r="623" spans="2:44" s="798" customFormat="1" ht="30" customHeight="1" thickBot="1" x14ac:dyDescent="0.3">
      <c r="B623" s="835"/>
      <c r="C623" s="836"/>
      <c r="D623" s="836"/>
      <c r="E623" s="837"/>
      <c r="F623" s="837"/>
      <c r="G623" s="838"/>
      <c r="H623" s="838"/>
      <c r="I623" s="839"/>
      <c r="J623" s="839"/>
      <c r="K623" s="840"/>
      <c r="L623" s="841"/>
      <c r="M623" s="841"/>
      <c r="N623" s="842"/>
      <c r="O623" s="842"/>
      <c r="P623" s="843"/>
      <c r="Q623" s="843"/>
      <c r="R623" s="843"/>
      <c r="S623" s="844">
        <f t="shared" si="104"/>
        <v>0</v>
      </c>
      <c r="T623" s="838"/>
      <c r="U623" s="842"/>
      <c r="V623" s="843"/>
      <c r="W623" s="843"/>
      <c r="X623" s="843"/>
      <c r="Y623" s="843"/>
      <c r="Z623" s="843"/>
      <c r="AA623" s="837"/>
      <c r="AB623" s="837"/>
      <c r="AC623" s="845">
        <f t="shared" si="105"/>
        <v>0</v>
      </c>
      <c r="AD623" s="846">
        <f t="shared" si="106"/>
        <v>0</v>
      </c>
      <c r="AE623" s="847">
        <f t="shared" si="107"/>
        <v>0</v>
      </c>
      <c r="AF623" s="855">
        <f t="shared" si="100"/>
        <v>0</v>
      </c>
      <c r="AG623" s="848">
        <f>IF('Input Sheet'!$C$15="Yes",'Input Sheet'!$F$8,0)</f>
        <v>0</v>
      </c>
      <c r="AH623" s="846">
        <f>IF('Input Sheet'!$C$15="Yes",Rates!$E$45,0)</f>
        <v>0</v>
      </c>
      <c r="AI623" s="849">
        <f>IF('Input Sheet'!$C$15="Yes",'Input Sheet'!$F$11,0)</f>
        <v>0</v>
      </c>
      <c r="AJ623" s="850">
        <f>IF('Input Sheet'!$C$15="Yes",'Input Sheet'!$F$7,0)</f>
        <v>0</v>
      </c>
      <c r="AK623" s="856">
        <f t="shared" si="101"/>
        <v>0</v>
      </c>
      <c r="AL623" s="856">
        <f t="shared" si="102"/>
        <v>0</v>
      </c>
      <c r="AM623" s="856">
        <f t="shared" si="108"/>
        <v>0</v>
      </c>
      <c r="AN623" s="856">
        <f t="shared" si="103"/>
        <v>0</v>
      </c>
      <c r="AO623" s="852">
        <f t="shared" si="109"/>
        <v>0</v>
      </c>
      <c r="AP623" s="853">
        <f t="shared" si="110"/>
        <v>0</v>
      </c>
      <c r="AQ623" s="854">
        <f>IFERROR(P623*'Input Sheet'!$F$8/(((AI623)*AK623*2)-AN623),0)</f>
        <v>0</v>
      </c>
      <c r="AR623" s="854">
        <f>IFERROR(($P623-$AF623)*'Input Sheet'!$F$8/(((AI623)*AK623*2)-AN623),0)</f>
        <v>0</v>
      </c>
    </row>
    <row r="624" spans="2:44" s="798" customFormat="1" ht="30" customHeight="1" thickBot="1" x14ac:dyDescent="0.3">
      <c r="B624" s="835"/>
      <c r="C624" s="836"/>
      <c r="D624" s="836"/>
      <c r="E624" s="837"/>
      <c r="F624" s="837"/>
      <c r="G624" s="838"/>
      <c r="H624" s="838"/>
      <c r="I624" s="839"/>
      <c r="J624" s="839"/>
      <c r="K624" s="840"/>
      <c r="L624" s="841"/>
      <c r="M624" s="841"/>
      <c r="N624" s="842"/>
      <c r="O624" s="842"/>
      <c r="P624" s="843"/>
      <c r="Q624" s="843"/>
      <c r="R624" s="843"/>
      <c r="S624" s="844">
        <f t="shared" si="104"/>
        <v>0</v>
      </c>
      <c r="T624" s="838"/>
      <c r="U624" s="842"/>
      <c r="V624" s="843"/>
      <c r="W624" s="843"/>
      <c r="X624" s="843"/>
      <c r="Y624" s="843"/>
      <c r="Z624" s="843"/>
      <c r="AA624" s="837"/>
      <c r="AB624" s="837"/>
      <c r="AC624" s="845">
        <f t="shared" si="105"/>
        <v>0</v>
      </c>
      <c r="AD624" s="846">
        <f t="shared" si="106"/>
        <v>0</v>
      </c>
      <c r="AE624" s="847">
        <f t="shared" si="107"/>
        <v>0</v>
      </c>
      <c r="AF624" s="855">
        <f t="shared" si="100"/>
        <v>0</v>
      </c>
      <c r="AG624" s="848">
        <f>IF('Input Sheet'!$C$15="Yes",'Input Sheet'!$F$8,0)</f>
        <v>0</v>
      </c>
      <c r="AH624" s="846">
        <f>IF('Input Sheet'!$C$15="Yes",Rates!$E$45,0)</f>
        <v>0</v>
      </c>
      <c r="AI624" s="849">
        <f>IF('Input Sheet'!$C$15="Yes",'Input Sheet'!$F$11,0)</f>
        <v>0</v>
      </c>
      <c r="AJ624" s="850">
        <f>IF('Input Sheet'!$C$15="Yes",'Input Sheet'!$F$7,0)</f>
        <v>0</v>
      </c>
      <c r="AK624" s="856">
        <f t="shared" si="101"/>
        <v>0</v>
      </c>
      <c r="AL624" s="856">
        <f t="shared" si="102"/>
        <v>0</v>
      </c>
      <c r="AM624" s="856">
        <f t="shared" si="108"/>
        <v>0</v>
      </c>
      <c r="AN624" s="856">
        <f t="shared" si="103"/>
        <v>0</v>
      </c>
      <c r="AO624" s="852">
        <f t="shared" si="109"/>
        <v>0</v>
      </c>
      <c r="AP624" s="853">
        <f t="shared" si="110"/>
        <v>0</v>
      </c>
      <c r="AQ624" s="854">
        <f>IFERROR(P624*'Input Sheet'!$F$8/(((AI624)*AK624*2)-AN624),0)</f>
        <v>0</v>
      </c>
      <c r="AR624" s="854">
        <f>IFERROR(($P624-$AF624)*'Input Sheet'!$F$8/(((AI624)*AK624*2)-AN624),0)</f>
        <v>0</v>
      </c>
    </row>
    <row r="625" spans="2:44" s="798" customFormat="1" ht="30" customHeight="1" thickBot="1" x14ac:dyDescent="0.3">
      <c r="B625" s="835"/>
      <c r="C625" s="836"/>
      <c r="D625" s="836"/>
      <c r="E625" s="837"/>
      <c r="F625" s="837"/>
      <c r="G625" s="838"/>
      <c r="H625" s="838"/>
      <c r="I625" s="839"/>
      <c r="J625" s="839"/>
      <c r="K625" s="840"/>
      <c r="L625" s="841"/>
      <c r="M625" s="841"/>
      <c r="N625" s="842"/>
      <c r="O625" s="842"/>
      <c r="P625" s="843"/>
      <c r="Q625" s="843"/>
      <c r="R625" s="843"/>
      <c r="S625" s="844">
        <f t="shared" si="104"/>
        <v>0</v>
      </c>
      <c r="T625" s="838"/>
      <c r="U625" s="842"/>
      <c r="V625" s="843"/>
      <c r="W625" s="843"/>
      <c r="X625" s="843"/>
      <c r="Y625" s="843"/>
      <c r="Z625" s="843"/>
      <c r="AA625" s="837"/>
      <c r="AB625" s="837"/>
      <c r="AC625" s="845">
        <f t="shared" si="105"/>
        <v>0</v>
      </c>
      <c r="AD625" s="846">
        <f t="shared" si="106"/>
        <v>0</v>
      </c>
      <c r="AE625" s="847">
        <f t="shared" si="107"/>
        <v>0</v>
      </c>
      <c r="AF625" s="855">
        <f t="shared" si="100"/>
        <v>0</v>
      </c>
      <c r="AG625" s="848">
        <f>IF('Input Sheet'!$C$15="Yes",'Input Sheet'!$F$8,0)</f>
        <v>0</v>
      </c>
      <c r="AH625" s="846">
        <f>IF('Input Sheet'!$C$15="Yes",Rates!$E$45,0)</f>
        <v>0</v>
      </c>
      <c r="AI625" s="849">
        <f>IF('Input Sheet'!$C$15="Yes",'Input Sheet'!$F$11,0)</f>
        <v>0</v>
      </c>
      <c r="AJ625" s="850">
        <f>IF('Input Sheet'!$C$15="Yes",'Input Sheet'!$F$7,0)</f>
        <v>0</v>
      </c>
      <c r="AK625" s="856">
        <f t="shared" si="101"/>
        <v>0</v>
      </c>
      <c r="AL625" s="856">
        <f t="shared" si="102"/>
        <v>0</v>
      </c>
      <c r="AM625" s="856">
        <f t="shared" si="108"/>
        <v>0</v>
      </c>
      <c r="AN625" s="856">
        <f t="shared" si="103"/>
        <v>0</v>
      </c>
      <c r="AO625" s="852">
        <f t="shared" si="109"/>
        <v>0</v>
      </c>
      <c r="AP625" s="853">
        <f t="shared" si="110"/>
        <v>0</v>
      </c>
      <c r="AQ625" s="854">
        <f>IFERROR(P625*'Input Sheet'!$F$8/(((AI625)*AK625*2)-AN625),0)</f>
        <v>0</v>
      </c>
      <c r="AR625" s="854">
        <f>IFERROR(($P625-$AF625)*'Input Sheet'!$F$8/(((AI625)*AK625*2)-AN625),0)</f>
        <v>0</v>
      </c>
    </row>
    <row r="626" spans="2:44" s="798" customFormat="1" ht="30" customHeight="1" thickBot="1" x14ac:dyDescent="0.3">
      <c r="B626" s="835"/>
      <c r="C626" s="836"/>
      <c r="D626" s="836"/>
      <c r="E626" s="837"/>
      <c r="F626" s="837"/>
      <c r="G626" s="838"/>
      <c r="H626" s="838"/>
      <c r="I626" s="839"/>
      <c r="J626" s="839"/>
      <c r="K626" s="840"/>
      <c r="L626" s="841"/>
      <c r="M626" s="841"/>
      <c r="N626" s="842"/>
      <c r="O626" s="842"/>
      <c r="P626" s="843"/>
      <c r="Q626" s="843"/>
      <c r="R626" s="843"/>
      <c r="S626" s="844">
        <f t="shared" si="104"/>
        <v>0</v>
      </c>
      <c r="T626" s="838"/>
      <c r="U626" s="842"/>
      <c r="V626" s="843"/>
      <c r="W626" s="843"/>
      <c r="X626" s="843"/>
      <c r="Y626" s="843"/>
      <c r="Z626" s="843"/>
      <c r="AA626" s="837"/>
      <c r="AB626" s="837"/>
      <c r="AC626" s="845">
        <f t="shared" si="105"/>
        <v>0</v>
      </c>
      <c r="AD626" s="846">
        <f t="shared" si="106"/>
        <v>0</v>
      </c>
      <c r="AE626" s="847">
        <f t="shared" si="107"/>
        <v>0</v>
      </c>
      <c r="AF626" s="855">
        <f t="shared" si="100"/>
        <v>0</v>
      </c>
      <c r="AG626" s="848">
        <f>IF('Input Sheet'!$C$15="Yes",'Input Sheet'!$F$8,0)</f>
        <v>0</v>
      </c>
      <c r="AH626" s="846">
        <f>IF('Input Sheet'!$C$15="Yes",Rates!$E$45,0)</f>
        <v>0</v>
      </c>
      <c r="AI626" s="849">
        <f>IF('Input Sheet'!$C$15="Yes",'Input Sheet'!$F$11,0)</f>
        <v>0</v>
      </c>
      <c r="AJ626" s="850">
        <f>IF('Input Sheet'!$C$15="Yes",'Input Sheet'!$F$7,0)</f>
        <v>0</v>
      </c>
      <c r="AK626" s="856">
        <f t="shared" si="101"/>
        <v>0</v>
      </c>
      <c r="AL626" s="856">
        <f t="shared" si="102"/>
        <v>0</v>
      </c>
      <c r="AM626" s="856">
        <f t="shared" si="108"/>
        <v>0</v>
      </c>
      <c r="AN626" s="856">
        <f t="shared" si="103"/>
        <v>0</v>
      </c>
      <c r="AO626" s="852">
        <f t="shared" si="109"/>
        <v>0</v>
      </c>
      <c r="AP626" s="853">
        <f t="shared" si="110"/>
        <v>0</v>
      </c>
      <c r="AQ626" s="854">
        <f>IFERROR(P626*'Input Sheet'!$F$8/(((AI626)*AK626*2)-AN626),0)</f>
        <v>0</v>
      </c>
      <c r="AR626" s="854">
        <f>IFERROR(($P626-$AF626)*'Input Sheet'!$F$8/(((AI626)*AK626*2)-AN626),0)</f>
        <v>0</v>
      </c>
    </row>
    <row r="627" spans="2:44" s="798" customFormat="1" ht="30" customHeight="1" thickBot="1" x14ac:dyDescent="0.3">
      <c r="B627" s="835"/>
      <c r="C627" s="836"/>
      <c r="D627" s="836"/>
      <c r="E627" s="837"/>
      <c r="F627" s="837"/>
      <c r="G627" s="838"/>
      <c r="H627" s="838"/>
      <c r="I627" s="839"/>
      <c r="J627" s="839"/>
      <c r="K627" s="840"/>
      <c r="L627" s="841"/>
      <c r="M627" s="841"/>
      <c r="N627" s="842"/>
      <c r="O627" s="842"/>
      <c r="P627" s="843"/>
      <c r="Q627" s="843"/>
      <c r="R627" s="843"/>
      <c r="S627" s="844">
        <f t="shared" si="104"/>
        <v>0</v>
      </c>
      <c r="T627" s="838"/>
      <c r="U627" s="842"/>
      <c r="V627" s="843"/>
      <c r="W627" s="843"/>
      <c r="X627" s="843"/>
      <c r="Y627" s="843"/>
      <c r="Z627" s="843"/>
      <c r="AA627" s="837"/>
      <c r="AB627" s="837"/>
      <c r="AC627" s="845">
        <f t="shared" si="105"/>
        <v>0</v>
      </c>
      <c r="AD627" s="846">
        <f t="shared" si="106"/>
        <v>0</v>
      </c>
      <c r="AE627" s="847">
        <f t="shared" si="107"/>
        <v>0</v>
      </c>
      <c r="AF627" s="855">
        <f t="shared" si="100"/>
        <v>0</v>
      </c>
      <c r="AG627" s="848">
        <f>IF('Input Sheet'!$C$15="Yes",'Input Sheet'!$F$8,0)</f>
        <v>0</v>
      </c>
      <c r="AH627" s="846">
        <f>IF('Input Sheet'!$C$15="Yes",Rates!$E$45,0)</f>
        <v>0</v>
      </c>
      <c r="AI627" s="849">
        <f>IF('Input Sheet'!$C$15="Yes",'Input Sheet'!$F$11,0)</f>
        <v>0</v>
      </c>
      <c r="AJ627" s="850">
        <f>IF('Input Sheet'!$C$15="Yes",'Input Sheet'!$F$7,0)</f>
        <v>0</v>
      </c>
      <c r="AK627" s="856">
        <f t="shared" si="101"/>
        <v>0</v>
      </c>
      <c r="AL627" s="856">
        <f t="shared" si="102"/>
        <v>0</v>
      </c>
      <c r="AM627" s="856">
        <f t="shared" si="108"/>
        <v>0</v>
      </c>
      <c r="AN627" s="856">
        <f t="shared" si="103"/>
        <v>0</v>
      </c>
      <c r="AO627" s="852">
        <f t="shared" si="109"/>
        <v>0</v>
      </c>
      <c r="AP627" s="853">
        <f t="shared" si="110"/>
        <v>0</v>
      </c>
      <c r="AQ627" s="854">
        <f>IFERROR(P627*'Input Sheet'!$F$8/(((AI627)*AK627*2)-AN627),0)</f>
        <v>0</v>
      </c>
      <c r="AR627" s="854">
        <f>IFERROR(($P627-$AF627)*'Input Sheet'!$F$8/(((AI627)*AK627*2)-AN627),0)</f>
        <v>0</v>
      </c>
    </row>
    <row r="628" spans="2:44" s="798" customFormat="1" ht="30" customHeight="1" thickBot="1" x14ac:dyDescent="0.3">
      <c r="B628" s="835"/>
      <c r="C628" s="836"/>
      <c r="D628" s="836"/>
      <c r="E628" s="837"/>
      <c r="F628" s="837"/>
      <c r="G628" s="838"/>
      <c r="H628" s="838"/>
      <c r="I628" s="839"/>
      <c r="J628" s="839"/>
      <c r="K628" s="840"/>
      <c r="L628" s="841"/>
      <c r="M628" s="841"/>
      <c r="N628" s="842"/>
      <c r="O628" s="842"/>
      <c r="P628" s="843"/>
      <c r="Q628" s="843"/>
      <c r="R628" s="843"/>
      <c r="S628" s="844">
        <f t="shared" si="104"/>
        <v>0</v>
      </c>
      <c r="T628" s="838"/>
      <c r="U628" s="842"/>
      <c r="V628" s="843"/>
      <c r="W628" s="843"/>
      <c r="X628" s="843"/>
      <c r="Y628" s="843"/>
      <c r="Z628" s="843"/>
      <c r="AA628" s="837"/>
      <c r="AB628" s="837"/>
      <c r="AC628" s="845">
        <f t="shared" si="105"/>
        <v>0</v>
      </c>
      <c r="AD628" s="846">
        <f t="shared" si="106"/>
        <v>0</v>
      </c>
      <c r="AE628" s="847">
        <f t="shared" si="107"/>
        <v>0</v>
      </c>
      <c r="AF628" s="855">
        <f t="shared" si="100"/>
        <v>0</v>
      </c>
      <c r="AG628" s="848">
        <f>IF('Input Sheet'!$C$15="Yes",'Input Sheet'!$F$8,0)</f>
        <v>0</v>
      </c>
      <c r="AH628" s="846">
        <f>IF('Input Sheet'!$C$15="Yes",Rates!$E$45,0)</f>
        <v>0</v>
      </c>
      <c r="AI628" s="849">
        <f>IF('Input Sheet'!$C$15="Yes",'Input Sheet'!$F$11,0)</f>
        <v>0</v>
      </c>
      <c r="AJ628" s="850">
        <f>IF('Input Sheet'!$C$15="Yes",'Input Sheet'!$F$7,0)</f>
        <v>0</v>
      </c>
      <c r="AK628" s="856">
        <f t="shared" si="101"/>
        <v>0</v>
      </c>
      <c r="AL628" s="856">
        <f t="shared" si="102"/>
        <v>0</v>
      </c>
      <c r="AM628" s="856">
        <f t="shared" si="108"/>
        <v>0</v>
      </c>
      <c r="AN628" s="856">
        <f t="shared" si="103"/>
        <v>0</v>
      </c>
      <c r="AO628" s="852">
        <f t="shared" si="109"/>
        <v>0</v>
      </c>
      <c r="AP628" s="853">
        <f t="shared" si="110"/>
        <v>0</v>
      </c>
      <c r="AQ628" s="854">
        <f>IFERROR(P628*'Input Sheet'!$F$8/(((AI628)*AK628*2)-AN628),0)</f>
        <v>0</v>
      </c>
      <c r="AR628" s="854">
        <f>IFERROR(($P628-$AF628)*'Input Sheet'!$F$8/(((AI628)*AK628*2)-AN628),0)</f>
        <v>0</v>
      </c>
    </row>
    <row r="629" spans="2:44" s="798" customFormat="1" ht="30" customHeight="1" thickBot="1" x14ac:dyDescent="0.3">
      <c r="B629" s="835"/>
      <c r="C629" s="836"/>
      <c r="D629" s="836"/>
      <c r="E629" s="837"/>
      <c r="F629" s="837"/>
      <c r="G629" s="838"/>
      <c r="H629" s="838"/>
      <c r="I629" s="839"/>
      <c r="J629" s="839"/>
      <c r="K629" s="840"/>
      <c r="L629" s="841"/>
      <c r="M629" s="841"/>
      <c r="N629" s="842"/>
      <c r="O629" s="842"/>
      <c r="P629" s="843"/>
      <c r="Q629" s="843"/>
      <c r="R629" s="843"/>
      <c r="S629" s="844">
        <f t="shared" si="104"/>
        <v>0</v>
      </c>
      <c r="T629" s="838"/>
      <c r="U629" s="842"/>
      <c r="V629" s="843"/>
      <c r="W629" s="843"/>
      <c r="X629" s="843"/>
      <c r="Y629" s="843"/>
      <c r="Z629" s="843"/>
      <c r="AA629" s="837"/>
      <c r="AB629" s="837"/>
      <c r="AC629" s="845">
        <f t="shared" si="105"/>
        <v>0</v>
      </c>
      <c r="AD629" s="846">
        <f t="shared" si="106"/>
        <v>0</v>
      </c>
      <c r="AE629" s="847">
        <f t="shared" si="107"/>
        <v>0</v>
      </c>
      <c r="AF629" s="855">
        <f t="shared" si="100"/>
        <v>0</v>
      </c>
      <c r="AG629" s="848">
        <f>IF('Input Sheet'!$C$15="Yes",'Input Sheet'!$F$8,0)</f>
        <v>0</v>
      </c>
      <c r="AH629" s="846">
        <f>IF('Input Sheet'!$C$15="Yes",Rates!$E$45,0)</f>
        <v>0</v>
      </c>
      <c r="AI629" s="849">
        <f>IF('Input Sheet'!$C$15="Yes",'Input Sheet'!$F$11,0)</f>
        <v>0</v>
      </c>
      <c r="AJ629" s="850">
        <f>IF('Input Sheet'!$C$15="Yes",'Input Sheet'!$F$7,0)</f>
        <v>0</v>
      </c>
      <c r="AK629" s="856">
        <f t="shared" si="101"/>
        <v>0</v>
      </c>
      <c r="AL629" s="856">
        <f t="shared" si="102"/>
        <v>0</v>
      </c>
      <c r="AM629" s="856">
        <f t="shared" si="108"/>
        <v>0</v>
      </c>
      <c r="AN629" s="856">
        <f t="shared" si="103"/>
        <v>0</v>
      </c>
      <c r="AO629" s="852">
        <f t="shared" si="109"/>
        <v>0</v>
      </c>
      <c r="AP629" s="853">
        <f t="shared" si="110"/>
        <v>0</v>
      </c>
      <c r="AQ629" s="854">
        <f>IFERROR(P629*'Input Sheet'!$F$8/(((AI629)*AK629*2)-AN629),0)</f>
        <v>0</v>
      </c>
      <c r="AR629" s="854">
        <f>IFERROR(($P629-$AF629)*'Input Sheet'!$F$8/(((AI629)*AK629*2)-AN629),0)</f>
        <v>0</v>
      </c>
    </row>
    <row r="630" spans="2:44" s="798" customFormat="1" ht="30" customHeight="1" thickBot="1" x14ac:dyDescent="0.3">
      <c r="B630" s="835"/>
      <c r="C630" s="836"/>
      <c r="D630" s="836"/>
      <c r="E630" s="837"/>
      <c r="F630" s="837"/>
      <c r="G630" s="838"/>
      <c r="H630" s="838"/>
      <c r="I630" s="839"/>
      <c r="J630" s="839"/>
      <c r="K630" s="840"/>
      <c r="L630" s="841"/>
      <c r="M630" s="841"/>
      <c r="N630" s="842"/>
      <c r="O630" s="842"/>
      <c r="P630" s="843"/>
      <c r="Q630" s="843"/>
      <c r="R630" s="843"/>
      <c r="S630" s="844">
        <f t="shared" si="104"/>
        <v>0</v>
      </c>
      <c r="T630" s="838"/>
      <c r="U630" s="842"/>
      <c r="V630" s="843"/>
      <c r="W630" s="843"/>
      <c r="X630" s="843"/>
      <c r="Y630" s="843"/>
      <c r="Z630" s="843"/>
      <c r="AA630" s="837"/>
      <c r="AB630" s="837"/>
      <c r="AC630" s="845">
        <f t="shared" si="105"/>
        <v>0</v>
      </c>
      <c r="AD630" s="846">
        <f t="shared" si="106"/>
        <v>0</v>
      </c>
      <c r="AE630" s="847">
        <f t="shared" si="107"/>
        <v>0</v>
      </c>
      <c r="AF630" s="855">
        <f t="shared" si="100"/>
        <v>0</v>
      </c>
      <c r="AG630" s="848">
        <f>IF('Input Sheet'!$C$15="Yes",'Input Sheet'!$F$8,0)</f>
        <v>0</v>
      </c>
      <c r="AH630" s="846">
        <f>IF('Input Sheet'!$C$15="Yes",Rates!$E$45,0)</f>
        <v>0</v>
      </c>
      <c r="AI630" s="849">
        <f>IF('Input Sheet'!$C$15="Yes",'Input Sheet'!$F$11,0)</f>
        <v>0</v>
      </c>
      <c r="AJ630" s="850">
        <f>IF('Input Sheet'!$C$15="Yes",'Input Sheet'!$F$7,0)</f>
        <v>0</v>
      </c>
      <c r="AK630" s="856">
        <f t="shared" si="101"/>
        <v>0</v>
      </c>
      <c r="AL630" s="856">
        <f t="shared" si="102"/>
        <v>0</v>
      </c>
      <c r="AM630" s="856">
        <f t="shared" si="108"/>
        <v>0</v>
      </c>
      <c r="AN630" s="856">
        <f t="shared" si="103"/>
        <v>0</v>
      </c>
      <c r="AO630" s="852">
        <f t="shared" si="109"/>
        <v>0</v>
      </c>
      <c r="AP630" s="853">
        <f t="shared" si="110"/>
        <v>0</v>
      </c>
      <c r="AQ630" s="854">
        <f>IFERROR(P630*'Input Sheet'!$F$8/(((AI630)*AK630*2)-AN630),0)</f>
        <v>0</v>
      </c>
      <c r="AR630" s="854">
        <f>IFERROR(($P630-$AF630)*'Input Sheet'!$F$8/(((AI630)*AK630*2)-AN630),0)</f>
        <v>0</v>
      </c>
    </row>
    <row r="631" spans="2:44" s="798" customFormat="1" ht="30" customHeight="1" thickBot="1" x14ac:dyDescent="0.3">
      <c r="B631" s="835"/>
      <c r="C631" s="836"/>
      <c r="D631" s="836"/>
      <c r="E631" s="837"/>
      <c r="F631" s="837"/>
      <c r="G631" s="838"/>
      <c r="H631" s="838"/>
      <c r="I631" s="839"/>
      <c r="J631" s="839"/>
      <c r="K631" s="840"/>
      <c r="L631" s="841"/>
      <c r="M631" s="841"/>
      <c r="N631" s="842"/>
      <c r="O631" s="842"/>
      <c r="P631" s="843"/>
      <c r="Q631" s="843"/>
      <c r="R631" s="843"/>
      <c r="S631" s="844">
        <f t="shared" si="104"/>
        <v>0</v>
      </c>
      <c r="T631" s="838"/>
      <c r="U631" s="842"/>
      <c r="V631" s="843"/>
      <c r="W631" s="843"/>
      <c r="X631" s="843"/>
      <c r="Y631" s="843"/>
      <c r="Z631" s="843"/>
      <c r="AA631" s="837"/>
      <c r="AB631" s="837"/>
      <c r="AC631" s="845">
        <f t="shared" si="105"/>
        <v>0</v>
      </c>
      <c r="AD631" s="846">
        <f t="shared" si="106"/>
        <v>0</v>
      </c>
      <c r="AE631" s="847">
        <f t="shared" si="107"/>
        <v>0</v>
      </c>
      <c r="AF631" s="855">
        <f t="shared" si="100"/>
        <v>0</v>
      </c>
      <c r="AG631" s="848">
        <f>IF('Input Sheet'!$C$15="Yes",'Input Sheet'!$F$8,0)</f>
        <v>0</v>
      </c>
      <c r="AH631" s="846">
        <f>IF('Input Sheet'!$C$15="Yes",Rates!$E$45,0)</f>
        <v>0</v>
      </c>
      <c r="AI631" s="849">
        <f>IF('Input Sheet'!$C$15="Yes",'Input Sheet'!$F$11,0)</f>
        <v>0</v>
      </c>
      <c r="AJ631" s="850">
        <f>IF('Input Sheet'!$C$15="Yes",'Input Sheet'!$F$7,0)</f>
        <v>0</v>
      </c>
      <c r="AK631" s="856">
        <f t="shared" si="101"/>
        <v>0</v>
      </c>
      <c r="AL631" s="856">
        <f t="shared" si="102"/>
        <v>0</v>
      </c>
      <c r="AM631" s="856">
        <f t="shared" si="108"/>
        <v>0</v>
      </c>
      <c r="AN631" s="856">
        <f t="shared" si="103"/>
        <v>0</v>
      </c>
      <c r="AO631" s="852">
        <f t="shared" si="109"/>
        <v>0</v>
      </c>
      <c r="AP631" s="853">
        <f t="shared" si="110"/>
        <v>0</v>
      </c>
      <c r="AQ631" s="854">
        <f>IFERROR(P631*'Input Sheet'!$F$8/(((AI631)*AK631*2)-AN631),0)</f>
        <v>0</v>
      </c>
      <c r="AR631" s="854">
        <f>IFERROR(($P631-$AF631)*'Input Sheet'!$F$8/(((AI631)*AK631*2)-AN631),0)</f>
        <v>0</v>
      </c>
    </row>
    <row r="632" spans="2:44" s="798" customFormat="1" ht="30" customHeight="1" thickBot="1" x14ac:dyDescent="0.3">
      <c r="B632" s="835"/>
      <c r="C632" s="836"/>
      <c r="D632" s="836"/>
      <c r="E632" s="837"/>
      <c r="F632" s="837"/>
      <c r="G632" s="838"/>
      <c r="H632" s="838"/>
      <c r="I632" s="839"/>
      <c r="J632" s="839"/>
      <c r="K632" s="840"/>
      <c r="L632" s="841"/>
      <c r="M632" s="841"/>
      <c r="N632" s="842"/>
      <c r="O632" s="842"/>
      <c r="P632" s="843"/>
      <c r="Q632" s="843"/>
      <c r="R632" s="843"/>
      <c r="S632" s="844">
        <f t="shared" si="104"/>
        <v>0</v>
      </c>
      <c r="T632" s="838"/>
      <c r="U632" s="842"/>
      <c r="V632" s="843"/>
      <c r="W632" s="843"/>
      <c r="X632" s="843"/>
      <c r="Y632" s="843"/>
      <c r="Z632" s="843"/>
      <c r="AA632" s="837"/>
      <c r="AB632" s="837"/>
      <c r="AC632" s="845">
        <f t="shared" si="105"/>
        <v>0</v>
      </c>
      <c r="AD632" s="846">
        <f t="shared" si="106"/>
        <v>0</v>
      </c>
      <c r="AE632" s="847">
        <f t="shared" si="107"/>
        <v>0</v>
      </c>
      <c r="AF632" s="855">
        <f t="shared" si="100"/>
        <v>0</v>
      </c>
      <c r="AG632" s="848">
        <f>IF('Input Sheet'!$C$15="Yes",'Input Sheet'!$F$8,0)</f>
        <v>0</v>
      </c>
      <c r="AH632" s="846">
        <f>IF('Input Sheet'!$C$15="Yes",Rates!$E$45,0)</f>
        <v>0</v>
      </c>
      <c r="AI632" s="849">
        <f>IF('Input Sheet'!$C$15="Yes",'Input Sheet'!$F$11,0)</f>
        <v>0</v>
      </c>
      <c r="AJ632" s="850">
        <f>IF('Input Sheet'!$C$15="Yes",'Input Sheet'!$F$7,0)</f>
        <v>0</v>
      </c>
      <c r="AK632" s="856">
        <f t="shared" si="101"/>
        <v>0</v>
      </c>
      <c r="AL632" s="856">
        <f t="shared" si="102"/>
        <v>0</v>
      </c>
      <c r="AM632" s="856">
        <f t="shared" si="108"/>
        <v>0</v>
      </c>
      <c r="AN632" s="856">
        <f t="shared" si="103"/>
        <v>0</v>
      </c>
      <c r="AO632" s="852">
        <f t="shared" si="109"/>
        <v>0</v>
      </c>
      <c r="AP632" s="853">
        <f t="shared" si="110"/>
        <v>0</v>
      </c>
      <c r="AQ632" s="854">
        <f>IFERROR(P632*'Input Sheet'!$F$8/(((AI632)*AK632*2)-AN632),0)</f>
        <v>0</v>
      </c>
      <c r="AR632" s="854">
        <f>IFERROR(($P632-$AF632)*'Input Sheet'!$F$8/(((AI632)*AK632*2)-AN632),0)</f>
        <v>0</v>
      </c>
    </row>
    <row r="633" spans="2:44" s="798" customFormat="1" ht="30" customHeight="1" thickBot="1" x14ac:dyDescent="0.3">
      <c r="B633" s="835"/>
      <c r="C633" s="836"/>
      <c r="D633" s="836"/>
      <c r="E633" s="837"/>
      <c r="F633" s="837"/>
      <c r="G633" s="838"/>
      <c r="H633" s="838"/>
      <c r="I633" s="839"/>
      <c r="J633" s="839"/>
      <c r="K633" s="840"/>
      <c r="L633" s="841"/>
      <c r="M633" s="841"/>
      <c r="N633" s="842"/>
      <c r="O633" s="842"/>
      <c r="P633" s="843"/>
      <c r="Q633" s="843"/>
      <c r="R633" s="843"/>
      <c r="S633" s="844">
        <f t="shared" si="104"/>
        <v>0</v>
      </c>
      <c r="T633" s="838"/>
      <c r="U633" s="842"/>
      <c r="V633" s="843"/>
      <c r="W633" s="843"/>
      <c r="X633" s="843"/>
      <c r="Y633" s="843"/>
      <c r="Z633" s="843"/>
      <c r="AA633" s="837"/>
      <c r="AB633" s="837"/>
      <c r="AC633" s="845">
        <f t="shared" si="105"/>
        <v>0</v>
      </c>
      <c r="AD633" s="846">
        <f t="shared" si="106"/>
        <v>0</v>
      </c>
      <c r="AE633" s="847">
        <f t="shared" si="107"/>
        <v>0</v>
      </c>
      <c r="AF633" s="855">
        <f t="shared" si="100"/>
        <v>0</v>
      </c>
      <c r="AG633" s="848">
        <f>IF('Input Sheet'!$C$15="Yes",'Input Sheet'!$F$8,0)</f>
        <v>0</v>
      </c>
      <c r="AH633" s="846">
        <f>IF('Input Sheet'!$C$15="Yes",Rates!$E$45,0)</f>
        <v>0</v>
      </c>
      <c r="AI633" s="849">
        <f>IF('Input Sheet'!$C$15="Yes",'Input Sheet'!$F$11,0)</f>
        <v>0</v>
      </c>
      <c r="AJ633" s="850">
        <f>IF('Input Sheet'!$C$15="Yes",'Input Sheet'!$F$7,0)</f>
        <v>0</v>
      </c>
      <c r="AK633" s="856">
        <f t="shared" si="101"/>
        <v>0</v>
      </c>
      <c r="AL633" s="856">
        <f t="shared" si="102"/>
        <v>0</v>
      </c>
      <c r="AM633" s="856">
        <f t="shared" si="108"/>
        <v>0</v>
      </c>
      <c r="AN633" s="856">
        <f t="shared" si="103"/>
        <v>0</v>
      </c>
      <c r="AO633" s="852">
        <f t="shared" si="109"/>
        <v>0</v>
      </c>
      <c r="AP633" s="853">
        <f t="shared" si="110"/>
        <v>0</v>
      </c>
      <c r="AQ633" s="854">
        <f>IFERROR(P633*'Input Sheet'!$F$8/(((AI633)*AK633*2)-AN633),0)</f>
        <v>0</v>
      </c>
      <c r="AR633" s="854">
        <f>IFERROR(($P633-$AF633)*'Input Sheet'!$F$8/(((AI633)*AK633*2)-AN633),0)</f>
        <v>0</v>
      </c>
    </row>
    <row r="634" spans="2:44" s="798" customFormat="1" ht="30" customHeight="1" thickBot="1" x14ac:dyDescent="0.3">
      <c r="B634" s="835"/>
      <c r="C634" s="836"/>
      <c r="D634" s="836"/>
      <c r="E634" s="837"/>
      <c r="F634" s="837"/>
      <c r="G634" s="838"/>
      <c r="H634" s="838"/>
      <c r="I634" s="839"/>
      <c r="J634" s="839"/>
      <c r="K634" s="840"/>
      <c r="L634" s="841"/>
      <c r="M634" s="841"/>
      <c r="N634" s="842"/>
      <c r="O634" s="842"/>
      <c r="P634" s="843"/>
      <c r="Q634" s="843"/>
      <c r="R634" s="843"/>
      <c r="S634" s="844">
        <f t="shared" si="104"/>
        <v>0</v>
      </c>
      <c r="T634" s="838"/>
      <c r="U634" s="842"/>
      <c r="V634" s="843"/>
      <c r="W634" s="843"/>
      <c r="X634" s="843"/>
      <c r="Y634" s="843"/>
      <c r="Z634" s="843"/>
      <c r="AA634" s="837"/>
      <c r="AB634" s="837"/>
      <c r="AC634" s="845">
        <f t="shared" si="105"/>
        <v>0</v>
      </c>
      <c r="AD634" s="846">
        <f t="shared" si="106"/>
        <v>0</v>
      </c>
      <c r="AE634" s="847">
        <f t="shared" si="107"/>
        <v>0</v>
      </c>
      <c r="AF634" s="855">
        <f t="shared" si="100"/>
        <v>0</v>
      </c>
      <c r="AG634" s="848">
        <f>IF('Input Sheet'!$C$15="Yes",'Input Sheet'!$F$8,0)</f>
        <v>0</v>
      </c>
      <c r="AH634" s="846">
        <f>IF('Input Sheet'!$C$15="Yes",Rates!$E$45,0)</f>
        <v>0</v>
      </c>
      <c r="AI634" s="849">
        <f>IF('Input Sheet'!$C$15="Yes",'Input Sheet'!$F$11,0)</f>
        <v>0</v>
      </c>
      <c r="AJ634" s="850">
        <f>IF('Input Sheet'!$C$15="Yes",'Input Sheet'!$F$7,0)</f>
        <v>0</v>
      </c>
      <c r="AK634" s="856">
        <f t="shared" si="101"/>
        <v>0</v>
      </c>
      <c r="AL634" s="856">
        <f t="shared" si="102"/>
        <v>0</v>
      </c>
      <c r="AM634" s="856">
        <f t="shared" si="108"/>
        <v>0</v>
      </c>
      <c r="AN634" s="856">
        <f t="shared" si="103"/>
        <v>0</v>
      </c>
      <c r="AO634" s="852">
        <f t="shared" si="109"/>
        <v>0</v>
      </c>
      <c r="AP634" s="853">
        <f t="shared" si="110"/>
        <v>0</v>
      </c>
      <c r="AQ634" s="854">
        <f>IFERROR(P634*'Input Sheet'!$F$8/(((AI634)*AK634*2)-AN634),0)</f>
        <v>0</v>
      </c>
      <c r="AR634" s="854">
        <f>IFERROR(($P634-$AF634)*'Input Sheet'!$F$8/(((AI634)*AK634*2)-AN634),0)</f>
        <v>0</v>
      </c>
    </row>
    <row r="635" spans="2:44" s="798" customFormat="1" ht="30" customHeight="1" thickBot="1" x14ac:dyDescent="0.3">
      <c r="B635" s="835"/>
      <c r="C635" s="836"/>
      <c r="D635" s="836"/>
      <c r="E635" s="837"/>
      <c r="F635" s="837"/>
      <c r="G635" s="838"/>
      <c r="H635" s="838"/>
      <c r="I635" s="839"/>
      <c r="J635" s="839"/>
      <c r="K635" s="840"/>
      <c r="L635" s="841"/>
      <c r="M635" s="841"/>
      <c r="N635" s="842"/>
      <c r="O635" s="842"/>
      <c r="P635" s="843"/>
      <c r="Q635" s="843"/>
      <c r="R635" s="843"/>
      <c r="S635" s="844">
        <f t="shared" si="104"/>
        <v>0</v>
      </c>
      <c r="T635" s="838"/>
      <c r="U635" s="842"/>
      <c r="V635" s="843"/>
      <c r="W635" s="843"/>
      <c r="X635" s="843"/>
      <c r="Y635" s="843"/>
      <c r="Z635" s="843"/>
      <c r="AA635" s="837"/>
      <c r="AB635" s="837"/>
      <c r="AC635" s="845">
        <f t="shared" si="105"/>
        <v>0</v>
      </c>
      <c r="AD635" s="846">
        <f t="shared" si="106"/>
        <v>0</v>
      </c>
      <c r="AE635" s="847">
        <f t="shared" si="107"/>
        <v>0</v>
      </c>
      <c r="AF635" s="855">
        <f t="shared" si="100"/>
        <v>0</v>
      </c>
      <c r="AG635" s="848">
        <f>IF('Input Sheet'!$C$15="Yes",'Input Sheet'!$F$8,0)</f>
        <v>0</v>
      </c>
      <c r="AH635" s="846">
        <f>IF('Input Sheet'!$C$15="Yes",Rates!$E$45,0)</f>
        <v>0</v>
      </c>
      <c r="AI635" s="849">
        <f>IF('Input Sheet'!$C$15="Yes",'Input Sheet'!$F$11,0)</f>
        <v>0</v>
      </c>
      <c r="AJ635" s="850">
        <f>IF('Input Sheet'!$C$15="Yes",'Input Sheet'!$F$7,0)</f>
        <v>0</v>
      </c>
      <c r="AK635" s="856">
        <f t="shared" si="101"/>
        <v>0</v>
      </c>
      <c r="AL635" s="856">
        <f t="shared" si="102"/>
        <v>0</v>
      </c>
      <c r="AM635" s="856">
        <f t="shared" si="108"/>
        <v>0</v>
      </c>
      <c r="AN635" s="856">
        <f t="shared" si="103"/>
        <v>0</v>
      </c>
      <c r="AO635" s="852">
        <f t="shared" si="109"/>
        <v>0</v>
      </c>
      <c r="AP635" s="853">
        <f t="shared" si="110"/>
        <v>0</v>
      </c>
      <c r="AQ635" s="854">
        <f>IFERROR(P635*'Input Sheet'!$F$8/(((AI635)*AK635*2)-AN635),0)</f>
        <v>0</v>
      </c>
      <c r="AR635" s="854">
        <f>IFERROR(($P635-$AF635)*'Input Sheet'!$F$8/(((AI635)*AK635*2)-AN635),0)</f>
        <v>0</v>
      </c>
    </row>
    <row r="636" spans="2:44" s="798" customFormat="1" ht="30" customHeight="1" thickBot="1" x14ac:dyDescent="0.3">
      <c r="B636" s="835"/>
      <c r="C636" s="836"/>
      <c r="D636" s="836"/>
      <c r="E636" s="837"/>
      <c r="F636" s="837"/>
      <c r="G636" s="838"/>
      <c r="H636" s="838"/>
      <c r="I636" s="839"/>
      <c r="J636" s="839"/>
      <c r="K636" s="840"/>
      <c r="L636" s="841"/>
      <c r="M636" s="841"/>
      <c r="N636" s="842"/>
      <c r="O636" s="842"/>
      <c r="P636" s="843"/>
      <c r="Q636" s="843"/>
      <c r="R636" s="843"/>
      <c r="S636" s="844">
        <f t="shared" si="104"/>
        <v>0</v>
      </c>
      <c r="T636" s="838"/>
      <c r="U636" s="842"/>
      <c r="V636" s="843"/>
      <c r="W636" s="843"/>
      <c r="X636" s="843"/>
      <c r="Y636" s="843"/>
      <c r="Z636" s="843"/>
      <c r="AA636" s="837"/>
      <c r="AB636" s="837"/>
      <c r="AC636" s="845">
        <f t="shared" si="105"/>
        <v>0</v>
      </c>
      <c r="AD636" s="846">
        <f t="shared" si="106"/>
        <v>0</v>
      </c>
      <c r="AE636" s="847">
        <f t="shared" si="107"/>
        <v>0</v>
      </c>
      <c r="AF636" s="855">
        <f t="shared" si="100"/>
        <v>0</v>
      </c>
      <c r="AG636" s="848">
        <f>IF('Input Sheet'!$C$15="Yes",'Input Sheet'!$F$8,0)</f>
        <v>0</v>
      </c>
      <c r="AH636" s="846">
        <f>IF('Input Sheet'!$C$15="Yes",Rates!$E$45,0)</f>
        <v>0</v>
      </c>
      <c r="AI636" s="849">
        <f>IF('Input Sheet'!$C$15="Yes",'Input Sheet'!$F$11,0)</f>
        <v>0</v>
      </c>
      <c r="AJ636" s="850">
        <f>IF('Input Sheet'!$C$15="Yes",'Input Sheet'!$F$7,0)</f>
        <v>0</v>
      </c>
      <c r="AK636" s="856">
        <f t="shared" si="101"/>
        <v>0</v>
      </c>
      <c r="AL636" s="856">
        <f t="shared" si="102"/>
        <v>0</v>
      </c>
      <c r="AM636" s="856">
        <f t="shared" si="108"/>
        <v>0</v>
      </c>
      <c r="AN636" s="856">
        <f t="shared" si="103"/>
        <v>0</v>
      </c>
      <c r="AO636" s="852">
        <f t="shared" si="109"/>
        <v>0</v>
      </c>
      <c r="AP636" s="853">
        <f t="shared" si="110"/>
        <v>0</v>
      </c>
      <c r="AQ636" s="854">
        <f>IFERROR(P636*'Input Sheet'!$F$8/(((AI636)*AK636*2)-AN636),0)</f>
        <v>0</v>
      </c>
      <c r="AR636" s="854">
        <f>IFERROR(($P636-$AF636)*'Input Sheet'!$F$8/(((AI636)*AK636*2)-AN636),0)</f>
        <v>0</v>
      </c>
    </row>
    <row r="637" spans="2:44" s="798" customFormat="1" ht="30" customHeight="1" thickBot="1" x14ac:dyDescent="0.3">
      <c r="B637" s="835"/>
      <c r="C637" s="836"/>
      <c r="D637" s="836"/>
      <c r="E637" s="837"/>
      <c r="F637" s="837"/>
      <c r="G637" s="838"/>
      <c r="H637" s="838"/>
      <c r="I637" s="839"/>
      <c r="J637" s="839"/>
      <c r="K637" s="840"/>
      <c r="L637" s="841"/>
      <c r="M637" s="841"/>
      <c r="N637" s="842"/>
      <c r="O637" s="842"/>
      <c r="P637" s="843"/>
      <c r="Q637" s="843"/>
      <c r="R637" s="843"/>
      <c r="S637" s="844">
        <f t="shared" si="104"/>
        <v>0</v>
      </c>
      <c r="T637" s="838"/>
      <c r="U637" s="842"/>
      <c r="V637" s="843"/>
      <c r="W637" s="843"/>
      <c r="X637" s="843"/>
      <c r="Y637" s="843"/>
      <c r="Z637" s="843"/>
      <c r="AA637" s="837"/>
      <c r="AB637" s="837"/>
      <c r="AC637" s="845">
        <f t="shared" si="105"/>
        <v>0</v>
      </c>
      <c r="AD637" s="846">
        <f t="shared" si="106"/>
        <v>0</v>
      </c>
      <c r="AE637" s="847">
        <f t="shared" si="107"/>
        <v>0</v>
      </c>
      <c r="AF637" s="855">
        <f t="shared" si="100"/>
        <v>0</v>
      </c>
      <c r="AG637" s="848">
        <f>IF('Input Sheet'!$C$15="Yes",'Input Sheet'!$F$8,0)</f>
        <v>0</v>
      </c>
      <c r="AH637" s="846">
        <f>IF('Input Sheet'!$C$15="Yes",Rates!$E$45,0)</f>
        <v>0</v>
      </c>
      <c r="AI637" s="849">
        <f>IF('Input Sheet'!$C$15="Yes",'Input Sheet'!$F$11,0)</f>
        <v>0</v>
      </c>
      <c r="AJ637" s="850">
        <f>IF('Input Sheet'!$C$15="Yes",'Input Sheet'!$F$7,0)</f>
        <v>0</v>
      </c>
      <c r="AK637" s="856">
        <f t="shared" si="101"/>
        <v>0</v>
      </c>
      <c r="AL637" s="856">
        <f t="shared" si="102"/>
        <v>0</v>
      </c>
      <c r="AM637" s="856">
        <f t="shared" si="108"/>
        <v>0</v>
      </c>
      <c r="AN637" s="856">
        <f t="shared" si="103"/>
        <v>0</v>
      </c>
      <c r="AO637" s="852">
        <f t="shared" si="109"/>
        <v>0</v>
      </c>
      <c r="AP637" s="853">
        <f t="shared" si="110"/>
        <v>0</v>
      </c>
      <c r="AQ637" s="854">
        <f>IFERROR(P637*'Input Sheet'!$F$8/(((AI637)*AK637*2)-AN637),0)</f>
        <v>0</v>
      </c>
      <c r="AR637" s="854">
        <f>IFERROR(($P637-$AF637)*'Input Sheet'!$F$8/(((AI637)*AK637*2)-AN637),0)</f>
        <v>0</v>
      </c>
    </row>
    <row r="638" spans="2:44" s="798" customFormat="1" ht="30" customHeight="1" thickBot="1" x14ac:dyDescent="0.3">
      <c r="B638" s="835"/>
      <c r="C638" s="836"/>
      <c r="D638" s="836"/>
      <c r="E638" s="837"/>
      <c r="F638" s="837"/>
      <c r="G638" s="838"/>
      <c r="H638" s="838"/>
      <c r="I638" s="839"/>
      <c r="J638" s="839"/>
      <c r="K638" s="840"/>
      <c r="L638" s="841"/>
      <c r="M638" s="841"/>
      <c r="N638" s="842"/>
      <c r="O638" s="842"/>
      <c r="P638" s="843"/>
      <c r="Q638" s="843"/>
      <c r="R638" s="843"/>
      <c r="S638" s="844">
        <f t="shared" si="104"/>
        <v>0</v>
      </c>
      <c r="T638" s="838"/>
      <c r="U638" s="842"/>
      <c r="V638" s="843"/>
      <c r="W638" s="843"/>
      <c r="X638" s="843"/>
      <c r="Y638" s="843"/>
      <c r="Z638" s="843"/>
      <c r="AA638" s="837"/>
      <c r="AB638" s="837"/>
      <c r="AC638" s="845">
        <f t="shared" si="105"/>
        <v>0</v>
      </c>
      <c r="AD638" s="846">
        <f t="shared" si="106"/>
        <v>0</v>
      </c>
      <c r="AE638" s="847">
        <f t="shared" si="107"/>
        <v>0</v>
      </c>
      <c r="AF638" s="855">
        <f t="shared" si="100"/>
        <v>0</v>
      </c>
      <c r="AG638" s="848">
        <f>IF('Input Sheet'!$C$15="Yes",'Input Sheet'!$F$8,0)</f>
        <v>0</v>
      </c>
      <c r="AH638" s="846">
        <f>IF('Input Sheet'!$C$15="Yes",Rates!$E$45,0)</f>
        <v>0</v>
      </c>
      <c r="AI638" s="849">
        <f>IF('Input Sheet'!$C$15="Yes",'Input Sheet'!$F$11,0)</f>
        <v>0</v>
      </c>
      <c r="AJ638" s="850">
        <f>IF('Input Sheet'!$C$15="Yes",'Input Sheet'!$F$7,0)</f>
        <v>0</v>
      </c>
      <c r="AK638" s="856">
        <f t="shared" si="101"/>
        <v>0</v>
      </c>
      <c r="AL638" s="856">
        <f t="shared" si="102"/>
        <v>0</v>
      </c>
      <c r="AM638" s="856">
        <f t="shared" si="108"/>
        <v>0</v>
      </c>
      <c r="AN638" s="856">
        <f t="shared" si="103"/>
        <v>0</v>
      </c>
      <c r="AO638" s="852">
        <f t="shared" si="109"/>
        <v>0</v>
      </c>
      <c r="AP638" s="853">
        <f t="shared" si="110"/>
        <v>0</v>
      </c>
      <c r="AQ638" s="854">
        <f>IFERROR(P638*'Input Sheet'!$F$8/(((AI638)*AK638*2)-AN638),0)</f>
        <v>0</v>
      </c>
      <c r="AR638" s="854">
        <f>IFERROR(($P638-$AF638)*'Input Sheet'!$F$8/(((AI638)*AK638*2)-AN638),0)</f>
        <v>0</v>
      </c>
    </row>
    <row r="639" spans="2:44" s="798" customFormat="1" ht="30" customHeight="1" thickBot="1" x14ac:dyDescent="0.3">
      <c r="B639" s="835"/>
      <c r="C639" s="836"/>
      <c r="D639" s="836"/>
      <c r="E639" s="837"/>
      <c r="F639" s="837"/>
      <c r="G639" s="838"/>
      <c r="H639" s="838"/>
      <c r="I639" s="839"/>
      <c r="J639" s="839"/>
      <c r="K639" s="840"/>
      <c r="L639" s="841"/>
      <c r="M639" s="841"/>
      <c r="N639" s="842"/>
      <c r="O639" s="842"/>
      <c r="P639" s="843"/>
      <c r="Q639" s="843"/>
      <c r="R639" s="843"/>
      <c r="S639" s="844">
        <f t="shared" si="104"/>
        <v>0</v>
      </c>
      <c r="T639" s="838"/>
      <c r="U639" s="842"/>
      <c r="V639" s="843"/>
      <c r="W639" s="843"/>
      <c r="X639" s="843"/>
      <c r="Y639" s="843"/>
      <c r="Z639" s="843"/>
      <c r="AA639" s="837"/>
      <c r="AB639" s="837"/>
      <c r="AC639" s="845">
        <f t="shared" si="105"/>
        <v>0</v>
      </c>
      <c r="AD639" s="846">
        <f t="shared" si="106"/>
        <v>0</v>
      </c>
      <c r="AE639" s="847">
        <f t="shared" si="107"/>
        <v>0</v>
      </c>
      <c r="AF639" s="855">
        <f t="shared" si="100"/>
        <v>0</v>
      </c>
      <c r="AG639" s="848">
        <f>IF('Input Sheet'!$C$15="Yes",'Input Sheet'!$F$8,0)</f>
        <v>0</v>
      </c>
      <c r="AH639" s="846">
        <f>IF('Input Sheet'!$C$15="Yes",Rates!$E$45,0)</f>
        <v>0</v>
      </c>
      <c r="AI639" s="849">
        <f>IF('Input Sheet'!$C$15="Yes",'Input Sheet'!$F$11,0)</f>
        <v>0</v>
      </c>
      <c r="AJ639" s="850">
        <f>IF('Input Sheet'!$C$15="Yes",'Input Sheet'!$F$7,0)</f>
        <v>0</v>
      </c>
      <c r="AK639" s="856">
        <f t="shared" si="101"/>
        <v>0</v>
      </c>
      <c r="AL639" s="856">
        <f t="shared" si="102"/>
        <v>0</v>
      </c>
      <c r="AM639" s="856">
        <f t="shared" si="108"/>
        <v>0</v>
      </c>
      <c r="AN639" s="856">
        <f t="shared" si="103"/>
        <v>0</v>
      </c>
      <c r="AO639" s="852">
        <f t="shared" si="109"/>
        <v>0</v>
      </c>
      <c r="AP639" s="853">
        <f t="shared" si="110"/>
        <v>0</v>
      </c>
      <c r="AQ639" s="854">
        <f>IFERROR(P639*'Input Sheet'!$F$8/(((AI639)*AK639*2)-AN639),0)</f>
        <v>0</v>
      </c>
      <c r="AR639" s="854">
        <f>IFERROR(($P639-$AF639)*'Input Sheet'!$F$8/(((AI639)*AK639*2)-AN639),0)</f>
        <v>0</v>
      </c>
    </row>
    <row r="640" spans="2:44" s="798" customFormat="1" ht="30" customHeight="1" thickBot="1" x14ac:dyDescent="0.3">
      <c r="B640" s="835"/>
      <c r="C640" s="836"/>
      <c r="D640" s="836"/>
      <c r="E640" s="837"/>
      <c r="F640" s="837"/>
      <c r="G640" s="838"/>
      <c r="H640" s="838"/>
      <c r="I640" s="839"/>
      <c r="J640" s="839"/>
      <c r="K640" s="840"/>
      <c r="L640" s="841"/>
      <c r="M640" s="841"/>
      <c r="N640" s="842"/>
      <c r="O640" s="842"/>
      <c r="P640" s="843"/>
      <c r="Q640" s="843"/>
      <c r="R640" s="843"/>
      <c r="S640" s="844">
        <f t="shared" si="104"/>
        <v>0</v>
      </c>
      <c r="T640" s="838"/>
      <c r="U640" s="842"/>
      <c r="V640" s="843"/>
      <c r="W640" s="843"/>
      <c r="X640" s="843"/>
      <c r="Y640" s="843"/>
      <c r="Z640" s="843"/>
      <c r="AA640" s="837"/>
      <c r="AB640" s="837"/>
      <c r="AC640" s="845">
        <f t="shared" si="105"/>
        <v>0</v>
      </c>
      <c r="AD640" s="846">
        <f t="shared" si="106"/>
        <v>0</v>
      </c>
      <c r="AE640" s="847">
        <f t="shared" si="107"/>
        <v>0</v>
      </c>
      <c r="AF640" s="855">
        <f t="shared" si="100"/>
        <v>0</v>
      </c>
      <c r="AG640" s="848">
        <f>IF('Input Sheet'!$C$15="Yes",'Input Sheet'!$F$8,0)</f>
        <v>0</v>
      </c>
      <c r="AH640" s="846">
        <f>IF('Input Sheet'!$C$15="Yes",Rates!$E$45,0)</f>
        <v>0</v>
      </c>
      <c r="AI640" s="849">
        <f>IF('Input Sheet'!$C$15="Yes",'Input Sheet'!$F$11,0)</f>
        <v>0</v>
      </c>
      <c r="AJ640" s="850">
        <f>IF('Input Sheet'!$C$15="Yes",'Input Sheet'!$F$7,0)</f>
        <v>0</v>
      </c>
      <c r="AK640" s="856">
        <f t="shared" si="101"/>
        <v>0</v>
      </c>
      <c r="AL640" s="856">
        <f t="shared" si="102"/>
        <v>0</v>
      </c>
      <c r="AM640" s="856">
        <f t="shared" si="108"/>
        <v>0</v>
      </c>
      <c r="AN640" s="856">
        <f t="shared" si="103"/>
        <v>0</v>
      </c>
      <c r="AO640" s="852">
        <f t="shared" si="109"/>
        <v>0</v>
      </c>
      <c r="AP640" s="853">
        <f t="shared" si="110"/>
        <v>0</v>
      </c>
      <c r="AQ640" s="854">
        <f>IFERROR(P640*'Input Sheet'!$F$8/(((AI640)*AK640*2)-AN640),0)</f>
        <v>0</v>
      </c>
      <c r="AR640" s="854">
        <f>IFERROR(($P640-$AF640)*'Input Sheet'!$F$8/(((AI640)*AK640*2)-AN640),0)</f>
        <v>0</v>
      </c>
    </row>
    <row r="641" spans="2:44" s="798" customFormat="1" ht="30" customHeight="1" thickBot="1" x14ac:dyDescent="0.3">
      <c r="B641" s="835"/>
      <c r="C641" s="836"/>
      <c r="D641" s="836"/>
      <c r="E641" s="837"/>
      <c r="F641" s="837"/>
      <c r="G641" s="838"/>
      <c r="H641" s="838"/>
      <c r="I641" s="839"/>
      <c r="J641" s="839"/>
      <c r="K641" s="840"/>
      <c r="L641" s="841"/>
      <c r="M641" s="841"/>
      <c r="N641" s="842"/>
      <c r="O641" s="842"/>
      <c r="P641" s="843"/>
      <c r="Q641" s="843"/>
      <c r="R641" s="843"/>
      <c r="S641" s="844">
        <f t="shared" si="104"/>
        <v>0</v>
      </c>
      <c r="T641" s="838"/>
      <c r="U641" s="842"/>
      <c r="V641" s="843"/>
      <c r="W641" s="843"/>
      <c r="X641" s="843"/>
      <c r="Y641" s="843"/>
      <c r="Z641" s="843"/>
      <c r="AA641" s="837"/>
      <c r="AB641" s="837"/>
      <c r="AC641" s="845">
        <f t="shared" si="105"/>
        <v>0</v>
      </c>
      <c r="AD641" s="846">
        <f t="shared" si="106"/>
        <v>0</v>
      </c>
      <c r="AE641" s="847">
        <f t="shared" si="107"/>
        <v>0</v>
      </c>
      <c r="AF641" s="855">
        <f t="shared" si="100"/>
        <v>0</v>
      </c>
      <c r="AG641" s="848">
        <f>IF('Input Sheet'!$C$15="Yes",'Input Sheet'!$F$8,0)</f>
        <v>0</v>
      </c>
      <c r="AH641" s="846">
        <f>IF('Input Sheet'!$C$15="Yes",Rates!$E$45,0)</f>
        <v>0</v>
      </c>
      <c r="AI641" s="849">
        <f>IF('Input Sheet'!$C$15="Yes",'Input Sheet'!$F$11,0)</f>
        <v>0</v>
      </c>
      <c r="AJ641" s="850">
        <f>IF('Input Sheet'!$C$15="Yes",'Input Sheet'!$F$7,0)</f>
        <v>0</v>
      </c>
      <c r="AK641" s="856">
        <f t="shared" si="101"/>
        <v>0</v>
      </c>
      <c r="AL641" s="856">
        <f t="shared" si="102"/>
        <v>0</v>
      </c>
      <c r="AM641" s="856">
        <f t="shared" si="108"/>
        <v>0</v>
      </c>
      <c r="AN641" s="856">
        <f t="shared" si="103"/>
        <v>0</v>
      </c>
      <c r="AO641" s="852">
        <f t="shared" si="109"/>
        <v>0</v>
      </c>
      <c r="AP641" s="853">
        <f t="shared" si="110"/>
        <v>0</v>
      </c>
      <c r="AQ641" s="854">
        <f>IFERROR(P641*'Input Sheet'!$F$8/(((AI641)*AK641*2)-AN641),0)</f>
        <v>0</v>
      </c>
      <c r="AR641" s="854">
        <f>IFERROR(($P641-$AF641)*'Input Sheet'!$F$8/(((AI641)*AK641*2)-AN641),0)</f>
        <v>0</v>
      </c>
    </row>
    <row r="642" spans="2:44" s="798" customFormat="1" ht="30" customHeight="1" thickBot="1" x14ac:dyDescent="0.3">
      <c r="B642" s="835"/>
      <c r="C642" s="836"/>
      <c r="D642" s="836"/>
      <c r="E642" s="837"/>
      <c r="F642" s="837"/>
      <c r="G642" s="838"/>
      <c r="H642" s="838"/>
      <c r="I642" s="839"/>
      <c r="J642" s="839"/>
      <c r="K642" s="840"/>
      <c r="L642" s="841"/>
      <c r="M642" s="841"/>
      <c r="N642" s="842"/>
      <c r="O642" s="842"/>
      <c r="P642" s="843"/>
      <c r="Q642" s="843"/>
      <c r="R642" s="843"/>
      <c r="S642" s="844">
        <f t="shared" si="104"/>
        <v>0</v>
      </c>
      <c r="T642" s="838"/>
      <c r="U642" s="842"/>
      <c r="V642" s="843"/>
      <c r="W642" s="843"/>
      <c r="X642" s="843"/>
      <c r="Y642" s="843"/>
      <c r="Z642" s="843"/>
      <c r="AA642" s="837"/>
      <c r="AB642" s="837"/>
      <c r="AC642" s="845">
        <f t="shared" si="105"/>
        <v>0</v>
      </c>
      <c r="AD642" s="846">
        <f t="shared" si="106"/>
        <v>0</v>
      </c>
      <c r="AE642" s="847">
        <f t="shared" si="107"/>
        <v>0</v>
      </c>
      <c r="AF642" s="855">
        <f t="shared" si="100"/>
        <v>0</v>
      </c>
      <c r="AG642" s="848">
        <f>IF('Input Sheet'!$C$15="Yes",'Input Sheet'!$F$8,0)</f>
        <v>0</v>
      </c>
      <c r="AH642" s="846">
        <f>IF('Input Sheet'!$C$15="Yes",Rates!$E$45,0)</f>
        <v>0</v>
      </c>
      <c r="AI642" s="849">
        <f>IF('Input Sheet'!$C$15="Yes",'Input Sheet'!$F$11,0)</f>
        <v>0</v>
      </c>
      <c r="AJ642" s="850">
        <f>IF('Input Sheet'!$C$15="Yes",'Input Sheet'!$F$7,0)</f>
        <v>0</v>
      </c>
      <c r="AK642" s="856">
        <f t="shared" si="101"/>
        <v>0</v>
      </c>
      <c r="AL642" s="856">
        <f t="shared" si="102"/>
        <v>0</v>
      </c>
      <c r="AM642" s="856">
        <f t="shared" si="108"/>
        <v>0</v>
      </c>
      <c r="AN642" s="856">
        <f t="shared" si="103"/>
        <v>0</v>
      </c>
      <c r="AO642" s="852">
        <f t="shared" si="109"/>
        <v>0</v>
      </c>
      <c r="AP642" s="853">
        <f t="shared" si="110"/>
        <v>0</v>
      </c>
      <c r="AQ642" s="854">
        <f>IFERROR(P642*'Input Sheet'!$F$8/(((AI642)*AK642*2)-AN642),0)</f>
        <v>0</v>
      </c>
      <c r="AR642" s="854">
        <f>IFERROR(($P642-$AF642)*'Input Sheet'!$F$8/(((AI642)*AK642*2)-AN642),0)</f>
        <v>0</v>
      </c>
    </row>
    <row r="643" spans="2:44" s="798" customFormat="1" ht="30" customHeight="1" thickBot="1" x14ac:dyDescent="0.3">
      <c r="B643" s="835"/>
      <c r="C643" s="836"/>
      <c r="D643" s="836"/>
      <c r="E643" s="837"/>
      <c r="F643" s="837"/>
      <c r="G643" s="838"/>
      <c r="H643" s="838"/>
      <c r="I643" s="839"/>
      <c r="J643" s="839"/>
      <c r="K643" s="840"/>
      <c r="L643" s="841"/>
      <c r="M643" s="841"/>
      <c r="N643" s="842"/>
      <c r="O643" s="842"/>
      <c r="P643" s="843"/>
      <c r="Q643" s="843"/>
      <c r="R643" s="843"/>
      <c r="S643" s="844">
        <f t="shared" si="104"/>
        <v>0</v>
      </c>
      <c r="T643" s="838"/>
      <c r="U643" s="842"/>
      <c r="V643" s="843"/>
      <c r="W643" s="843"/>
      <c r="X643" s="843"/>
      <c r="Y643" s="843"/>
      <c r="Z643" s="843"/>
      <c r="AA643" s="837"/>
      <c r="AB643" s="837"/>
      <c r="AC643" s="845">
        <f t="shared" si="105"/>
        <v>0</v>
      </c>
      <c r="AD643" s="846">
        <f t="shared" si="106"/>
        <v>0</v>
      </c>
      <c r="AE643" s="847">
        <f t="shared" si="107"/>
        <v>0</v>
      </c>
      <c r="AF643" s="855">
        <f t="shared" si="100"/>
        <v>0</v>
      </c>
      <c r="AG643" s="848">
        <f>IF('Input Sheet'!$C$15="Yes",'Input Sheet'!$F$8,0)</f>
        <v>0</v>
      </c>
      <c r="AH643" s="846">
        <f>IF('Input Sheet'!$C$15="Yes",Rates!$E$45,0)</f>
        <v>0</v>
      </c>
      <c r="AI643" s="849">
        <f>IF('Input Sheet'!$C$15="Yes",'Input Sheet'!$F$11,0)</f>
        <v>0</v>
      </c>
      <c r="AJ643" s="850">
        <f>IF('Input Sheet'!$C$15="Yes",'Input Sheet'!$F$7,0)</f>
        <v>0</v>
      </c>
      <c r="AK643" s="856">
        <f t="shared" si="101"/>
        <v>0</v>
      </c>
      <c r="AL643" s="856">
        <f t="shared" si="102"/>
        <v>0</v>
      </c>
      <c r="AM643" s="856">
        <f t="shared" si="108"/>
        <v>0</v>
      </c>
      <c r="AN643" s="856">
        <f t="shared" si="103"/>
        <v>0</v>
      </c>
      <c r="AO643" s="852">
        <f t="shared" si="109"/>
        <v>0</v>
      </c>
      <c r="AP643" s="853">
        <f t="shared" si="110"/>
        <v>0</v>
      </c>
      <c r="AQ643" s="854">
        <f>IFERROR(P643*'Input Sheet'!$F$8/(((AI643)*AK643*2)-AN643),0)</f>
        <v>0</v>
      </c>
      <c r="AR643" s="854">
        <f>IFERROR(($P643-$AF643)*'Input Sheet'!$F$8/(((AI643)*AK643*2)-AN643),0)</f>
        <v>0</v>
      </c>
    </row>
    <row r="644" spans="2:44" s="798" customFormat="1" ht="30" customHeight="1" thickBot="1" x14ac:dyDescent="0.3">
      <c r="B644" s="835"/>
      <c r="C644" s="836"/>
      <c r="D644" s="836"/>
      <c r="E644" s="837"/>
      <c r="F644" s="837"/>
      <c r="G644" s="838"/>
      <c r="H644" s="838"/>
      <c r="I644" s="839"/>
      <c r="J644" s="839"/>
      <c r="K644" s="840"/>
      <c r="L644" s="841"/>
      <c r="M644" s="841"/>
      <c r="N644" s="842"/>
      <c r="O644" s="842"/>
      <c r="P644" s="843"/>
      <c r="Q644" s="843"/>
      <c r="R644" s="843"/>
      <c r="S644" s="844">
        <f t="shared" si="104"/>
        <v>0</v>
      </c>
      <c r="T644" s="838"/>
      <c r="U644" s="842"/>
      <c r="V644" s="843"/>
      <c r="W644" s="843"/>
      <c r="X644" s="843"/>
      <c r="Y644" s="843"/>
      <c r="Z644" s="843"/>
      <c r="AA644" s="837"/>
      <c r="AB644" s="837"/>
      <c r="AC644" s="845">
        <f t="shared" si="105"/>
        <v>0</v>
      </c>
      <c r="AD644" s="846">
        <f t="shared" si="106"/>
        <v>0</v>
      </c>
      <c r="AE644" s="847">
        <f t="shared" si="107"/>
        <v>0</v>
      </c>
      <c r="AF644" s="855">
        <f t="shared" si="100"/>
        <v>0</v>
      </c>
      <c r="AG644" s="848">
        <f>IF('Input Sheet'!$C$15="Yes",'Input Sheet'!$F$8,0)</f>
        <v>0</v>
      </c>
      <c r="AH644" s="846">
        <f>IF('Input Sheet'!$C$15="Yes",Rates!$E$45,0)</f>
        <v>0</v>
      </c>
      <c r="AI644" s="849">
        <f>IF('Input Sheet'!$C$15="Yes",'Input Sheet'!$F$11,0)</f>
        <v>0</v>
      </c>
      <c r="AJ644" s="850">
        <f>IF('Input Sheet'!$C$15="Yes",'Input Sheet'!$F$7,0)</f>
        <v>0</v>
      </c>
      <c r="AK644" s="856">
        <f t="shared" si="101"/>
        <v>0</v>
      </c>
      <c r="AL644" s="856">
        <f t="shared" si="102"/>
        <v>0</v>
      </c>
      <c r="AM644" s="856">
        <f t="shared" si="108"/>
        <v>0</v>
      </c>
      <c r="AN644" s="856">
        <f t="shared" si="103"/>
        <v>0</v>
      </c>
      <c r="AO644" s="852">
        <f t="shared" si="109"/>
        <v>0</v>
      </c>
      <c r="AP644" s="853">
        <f t="shared" si="110"/>
        <v>0</v>
      </c>
      <c r="AQ644" s="854">
        <f>IFERROR(P644*'Input Sheet'!$F$8/(((AI644)*AK644*2)-AN644),0)</f>
        <v>0</v>
      </c>
      <c r="AR644" s="854">
        <f>IFERROR(($P644-$AF644)*'Input Sheet'!$F$8/(((AI644)*AK644*2)-AN644),0)</f>
        <v>0</v>
      </c>
    </row>
    <row r="645" spans="2:44" s="798" customFormat="1" ht="30" customHeight="1" thickBot="1" x14ac:dyDescent="0.3">
      <c r="B645" s="835"/>
      <c r="C645" s="836"/>
      <c r="D645" s="836"/>
      <c r="E645" s="837"/>
      <c r="F645" s="837"/>
      <c r="G645" s="838"/>
      <c r="H645" s="838"/>
      <c r="I645" s="839"/>
      <c r="J645" s="839"/>
      <c r="K645" s="840"/>
      <c r="L645" s="841"/>
      <c r="M645" s="841"/>
      <c r="N645" s="842"/>
      <c r="O645" s="842"/>
      <c r="P645" s="843"/>
      <c r="Q645" s="843"/>
      <c r="R645" s="843"/>
      <c r="S645" s="844">
        <f t="shared" si="104"/>
        <v>0</v>
      </c>
      <c r="T645" s="838"/>
      <c r="U645" s="842"/>
      <c r="V645" s="843"/>
      <c r="W645" s="843"/>
      <c r="X645" s="843"/>
      <c r="Y645" s="843"/>
      <c r="Z645" s="843"/>
      <c r="AA645" s="837"/>
      <c r="AB645" s="837"/>
      <c r="AC645" s="845">
        <f t="shared" si="105"/>
        <v>0</v>
      </c>
      <c r="AD645" s="846">
        <f t="shared" si="106"/>
        <v>0</v>
      </c>
      <c r="AE645" s="847">
        <f t="shared" si="107"/>
        <v>0</v>
      </c>
      <c r="AF645" s="855">
        <f t="shared" si="100"/>
        <v>0</v>
      </c>
      <c r="AG645" s="848">
        <f>IF('Input Sheet'!$C$15="Yes",'Input Sheet'!$F$8,0)</f>
        <v>0</v>
      </c>
      <c r="AH645" s="846">
        <f>IF('Input Sheet'!$C$15="Yes",Rates!$E$45,0)</f>
        <v>0</v>
      </c>
      <c r="AI645" s="849">
        <f>IF('Input Sheet'!$C$15="Yes",'Input Sheet'!$F$11,0)</f>
        <v>0</v>
      </c>
      <c r="AJ645" s="850">
        <f>IF('Input Sheet'!$C$15="Yes",'Input Sheet'!$F$7,0)</f>
        <v>0</v>
      </c>
      <c r="AK645" s="856">
        <f t="shared" si="101"/>
        <v>0</v>
      </c>
      <c r="AL645" s="856">
        <f t="shared" si="102"/>
        <v>0</v>
      </c>
      <c r="AM645" s="856">
        <f t="shared" si="108"/>
        <v>0</v>
      </c>
      <c r="AN645" s="856">
        <f t="shared" si="103"/>
        <v>0</v>
      </c>
      <c r="AO645" s="852">
        <f t="shared" si="109"/>
        <v>0</v>
      </c>
      <c r="AP645" s="853">
        <f t="shared" si="110"/>
        <v>0</v>
      </c>
      <c r="AQ645" s="854">
        <f>IFERROR(P645*'Input Sheet'!$F$8/(((AI645)*AK645*2)-AN645),0)</f>
        <v>0</v>
      </c>
      <c r="AR645" s="854">
        <f>IFERROR(($P645-$AF645)*'Input Sheet'!$F$8/(((AI645)*AK645*2)-AN645),0)</f>
        <v>0</v>
      </c>
    </row>
    <row r="646" spans="2:44" s="798" customFormat="1" ht="30" customHeight="1" thickBot="1" x14ac:dyDescent="0.3">
      <c r="B646" s="835"/>
      <c r="C646" s="836"/>
      <c r="D646" s="836"/>
      <c r="E646" s="837"/>
      <c r="F646" s="837"/>
      <c r="G646" s="838"/>
      <c r="H646" s="838"/>
      <c r="I646" s="839"/>
      <c r="J646" s="839"/>
      <c r="K646" s="840"/>
      <c r="L646" s="841"/>
      <c r="M646" s="841"/>
      <c r="N646" s="842"/>
      <c r="O646" s="842"/>
      <c r="P646" s="843"/>
      <c r="Q646" s="843"/>
      <c r="R646" s="843"/>
      <c r="S646" s="844">
        <f t="shared" si="104"/>
        <v>0</v>
      </c>
      <c r="T646" s="838"/>
      <c r="U646" s="842"/>
      <c r="V646" s="843"/>
      <c r="W646" s="843"/>
      <c r="X646" s="843"/>
      <c r="Y646" s="843"/>
      <c r="Z646" s="843"/>
      <c r="AA646" s="837"/>
      <c r="AB646" s="837"/>
      <c r="AC646" s="845">
        <f t="shared" si="105"/>
        <v>0</v>
      </c>
      <c r="AD646" s="846">
        <f t="shared" si="106"/>
        <v>0</v>
      </c>
      <c r="AE646" s="847">
        <f t="shared" si="107"/>
        <v>0</v>
      </c>
      <c r="AF646" s="855">
        <f t="shared" si="100"/>
        <v>0</v>
      </c>
      <c r="AG646" s="848">
        <f>IF('Input Sheet'!$C$15="Yes",'Input Sheet'!$F$8,0)</f>
        <v>0</v>
      </c>
      <c r="AH646" s="846">
        <f>IF('Input Sheet'!$C$15="Yes",Rates!$E$45,0)</f>
        <v>0</v>
      </c>
      <c r="AI646" s="849">
        <f>IF('Input Sheet'!$C$15="Yes",'Input Sheet'!$F$11,0)</f>
        <v>0</v>
      </c>
      <c r="AJ646" s="850">
        <f>IF('Input Sheet'!$C$15="Yes",'Input Sheet'!$F$7,0)</f>
        <v>0</v>
      </c>
      <c r="AK646" s="856">
        <f t="shared" si="101"/>
        <v>0</v>
      </c>
      <c r="AL646" s="856">
        <f t="shared" si="102"/>
        <v>0</v>
      </c>
      <c r="AM646" s="856">
        <f t="shared" si="108"/>
        <v>0</v>
      </c>
      <c r="AN646" s="856">
        <f t="shared" si="103"/>
        <v>0</v>
      </c>
      <c r="AO646" s="852">
        <f t="shared" si="109"/>
        <v>0</v>
      </c>
      <c r="AP646" s="853">
        <f t="shared" si="110"/>
        <v>0</v>
      </c>
      <c r="AQ646" s="854">
        <f>IFERROR(P646*'Input Sheet'!$F$8/(((AI646)*AK646*2)-AN646),0)</f>
        <v>0</v>
      </c>
      <c r="AR646" s="854">
        <f>IFERROR(($P646-$AF646)*'Input Sheet'!$F$8/(((AI646)*AK646*2)-AN646),0)</f>
        <v>0</v>
      </c>
    </row>
    <row r="647" spans="2:44" s="798" customFormat="1" ht="30" customHeight="1" thickBot="1" x14ac:dyDescent="0.3">
      <c r="B647" s="835"/>
      <c r="C647" s="836"/>
      <c r="D647" s="836"/>
      <c r="E647" s="837"/>
      <c r="F647" s="837"/>
      <c r="G647" s="838"/>
      <c r="H647" s="838"/>
      <c r="I647" s="839"/>
      <c r="J647" s="839"/>
      <c r="K647" s="840"/>
      <c r="L647" s="841"/>
      <c r="M647" s="841"/>
      <c r="N647" s="842"/>
      <c r="O647" s="842"/>
      <c r="P647" s="843"/>
      <c r="Q647" s="843"/>
      <c r="R647" s="843"/>
      <c r="S647" s="844">
        <f t="shared" si="104"/>
        <v>0</v>
      </c>
      <c r="T647" s="838"/>
      <c r="U647" s="842"/>
      <c r="V647" s="843"/>
      <c r="W647" s="843"/>
      <c r="X647" s="843"/>
      <c r="Y647" s="843"/>
      <c r="Z647" s="843"/>
      <c r="AA647" s="837"/>
      <c r="AB647" s="837"/>
      <c r="AC647" s="845">
        <f t="shared" si="105"/>
        <v>0</v>
      </c>
      <c r="AD647" s="846">
        <f t="shared" si="106"/>
        <v>0</v>
      </c>
      <c r="AE647" s="847">
        <f t="shared" si="107"/>
        <v>0</v>
      </c>
      <c r="AF647" s="855">
        <f t="shared" si="100"/>
        <v>0</v>
      </c>
      <c r="AG647" s="848">
        <f>IF('Input Sheet'!$C$15="Yes",'Input Sheet'!$F$8,0)</f>
        <v>0</v>
      </c>
      <c r="AH647" s="846">
        <f>IF('Input Sheet'!$C$15="Yes",Rates!$E$45,0)</f>
        <v>0</v>
      </c>
      <c r="AI647" s="849">
        <f>IF('Input Sheet'!$C$15="Yes",'Input Sheet'!$F$11,0)</f>
        <v>0</v>
      </c>
      <c r="AJ647" s="850">
        <f>IF('Input Sheet'!$C$15="Yes",'Input Sheet'!$F$7,0)</f>
        <v>0</v>
      </c>
      <c r="AK647" s="856">
        <f t="shared" si="101"/>
        <v>0</v>
      </c>
      <c r="AL647" s="856">
        <f t="shared" si="102"/>
        <v>0</v>
      </c>
      <c r="AM647" s="856">
        <f t="shared" si="108"/>
        <v>0</v>
      </c>
      <c r="AN647" s="856">
        <f t="shared" si="103"/>
        <v>0</v>
      </c>
      <c r="AO647" s="852">
        <f t="shared" si="109"/>
        <v>0</v>
      </c>
      <c r="AP647" s="853">
        <f t="shared" si="110"/>
        <v>0</v>
      </c>
      <c r="AQ647" s="854">
        <f>IFERROR(P647*'Input Sheet'!$F$8/(((AI647)*AK647*2)-AN647),0)</f>
        <v>0</v>
      </c>
      <c r="AR647" s="854">
        <f>IFERROR(($P647-$AF647)*'Input Sheet'!$F$8/(((AI647)*AK647*2)-AN647),0)</f>
        <v>0</v>
      </c>
    </row>
    <row r="648" spans="2:44" s="798" customFormat="1" ht="30" customHeight="1" thickBot="1" x14ac:dyDescent="0.3">
      <c r="B648" s="835"/>
      <c r="C648" s="836"/>
      <c r="D648" s="836"/>
      <c r="E648" s="837"/>
      <c r="F648" s="837"/>
      <c r="G648" s="838"/>
      <c r="H648" s="838"/>
      <c r="I648" s="839"/>
      <c r="J648" s="839"/>
      <c r="K648" s="840"/>
      <c r="L648" s="841"/>
      <c r="M648" s="841"/>
      <c r="N648" s="842"/>
      <c r="O648" s="842"/>
      <c r="P648" s="843"/>
      <c r="Q648" s="843"/>
      <c r="R648" s="843"/>
      <c r="S648" s="844">
        <f t="shared" si="104"/>
        <v>0</v>
      </c>
      <c r="T648" s="838"/>
      <c r="U648" s="842"/>
      <c r="V648" s="843"/>
      <c r="W648" s="843"/>
      <c r="X648" s="843"/>
      <c r="Y648" s="843"/>
      <c r="Z648" s="843"/>
      <c r="AA648" s="837"/>
      <c r="AB648" s="837"/>
      <c r="AC648" s="845">
        <f t="shared" si="105"/>
        <v>0</v>
      </c>
      <c r="AD648" s="846">
        <f t="shared" si="106"/>
        <v>0</v>
      </c>
      <c r="AE648" s="847">
        <f t="shared" si="107"/>
        <v>0</v>
      </c>
      <c r="AF648" s="855">
        <f t="shared" si="100"/>
        <v>0</v>
      </c>
      <c r="AG648" s="848">
        <f>IF('Input Sheet'!$C$15="Yes",'Input Sheet'!$F$8,0)</f>
        <v>0</v>
      </c>
      <c r="AH648" s="846">
        <f>IF('Input Sheet'!$C$15="Yes",Rates!$E$45,0)</f>
        <v>0</v>
      </c>
      <c r="AI648" s="849">
        <f>IF('Input Sheet'!$C$15="Yes",'Input Sheet'!$F$11,0)</f>
        <v>0</v>
      </c>
      <c r="AJ648" s="850">
        <f>IF('Input Sheet'!$C$15="Yes",'Input Sheet'!$F$7,0)</f>
        <v>0</v>
      </c>
      <c r="AK648" s="856">
        <f t="shared" si="101"/>
        <v>0</v>
      </c>
      <c r="AL648" s="856">
        <f t="shared" si="102"/>
        <v>0</v>
      </c>
      <c r="AM648" s="856">
        <f t="shared" si="108"/>
        <v>0</v>
      </c>
      <c r="AN648" s="856">
        <f t="shared" si="103"/>
        <v>0</v>
      </c>
      <c r="AO648" s="852">
        <f t="shared" si="109"/>
        <v>0</v>
      </c>
      <c r="AP648" s="853">
        <f t="shared" si="110"/>
        <v>0</v>
      </c>
      <c r="AQ648" s="854">
        <f>IFERROR(P648*'Input Sheet'!$F$8/(((AI648)*AK648*2)-AN648),0)</f>
        <v>0</v>
      </c>
      <c r="AR648" s="854">
        <f>IFERROR(($P648-$AF648)*'Input Sheet'!$F$8/(((AI648)*AK648*2)-AN648),0)</f>
        <v>0</v>
      </c>
    </row>
    <row r="649" spans="2:44" s="798" customFormat="1" ht="30" customHeight="1" thickBot="1" x14ac:dyDescent="0.3">
      <c r="B649" s="835"/>
      <c r="C649" s="836"/>
      <c r="D649" s="836"/>
      <c r="E649" s="837"/>
      <c r="F649" s="837"/>
      <c r="G649" s="838"/>
      <c r="H649" s="838"/>
      <c r="I649" s="839"/>
      <c r="J649" s="839"/>
      <c r="K649" s="840"/>
      <c r="L649" s="841"/>
      <c r="M649" s="841"/>
      <c r="N649" s="842"/>
      <c r="O649" s="842"/>
      <c r="P649" s="843"/>
      <c r="Q649" s="843"/>
      <c r="R649" s="843"/>
      <c r="S649" s="844">
        <f t="shared" si="104"/>
        <v>0</v>
      </c>
      <c r="T649" s="838"/>
      <c r="U649" s="842"/>
      <c r="V649" s="843"/>
      <c r="W649" s="843"/>
      <c r="X649" s="843"/>
      <c r="Y649" s="843"/>
      <c r="Z649" s="843"/>
      <c r="AA649" s="837"/>
      <c r="AB649" s="837"/>
      <c r="AC649" s="845">
        <f t="shared" si="105"/>
        <v>0</v>
      </c>
      <c r="AD649" s="846">
        <f t="shared" si="106"/>
        <v>0</v>
      </c>
      <c r="AE649" s="847">
        <f t="shared" si="107"/>
        <v>0</v>
      </c>
      <c r="AF649" s="855">
        <f t="shared" ref="AF649:AF668" si="111">SUM($Q649:$W649)</f>
        <v>0</v>
      </c>
      <c r="AG649" s="848">
        <f>IF('Input Sheet'!$C$15="Yes",'Input Sheet'!$F$8,0)</f>
        <v>0</v>
      </c>
      <c r="AH649" s="846">
        <f>IF('Input Sheet'!$C$15="Yes",Rates!$E$45,0)</f>
        <v>0</v>
      </c>
      <c r="AI649" s="849">
        <f>IF('Input Sheet'!$C$15="Yes",'Input Sheet'!$F$11,0)</f>
        <v>0</v>
      </c>
      <c r="AJ649" s="850">
        <f>IF('Input Sheet'!$C$15="Yes",'Input Sheet'!$F$7,0)</f>
        <v>0</v>
      </c>
      <c r="AK649" s="856">
        <f t="shared" ref="AK649:AK668" si="112">L649*S649</f>
        <v>0</v>
      </c>
      <c r="AL649" s="856">
        <f t="shared" ref="AL649:AL668" si="113">(AK649)-(AK649*AH649)-(AK649*AP649*(AJ649/12))</f>
        <v>0</v>
      </c>
      <c r="AM649" s="856">
        <f t="shared" si="108"/>
        <v>0</v>
      </c>
      <c r="AN649" s="856">
        <f t="shared" ref="AN649:AN668" si="114">AK649*AP649*AJ649/12</f>
        <v>0</v>
      </c>
      <c r="AO649" s="852">
        <f t="shared" si="109"/>
        <v>0</v>
      </c>
      <c r="AP649" s="853">
        <f t="shared" si="110"/>
        <v>0</v>
      </c>
      <c r="AQ649" s="854">
        <f>IFERROR(P649*'Input Sheet'!$F$8/(((AI649)*AK649*2)-AN649),0)</f>
        <v>0</v>
      </c>
      <c r="AR649" s="854">
        <f>IFERROR(($P649-$AF649)*'Input Sheet'!$F$8/(((AI649)*AK649*2)-AN649),0)</f>
        <v>0</v>
      </c>
    </row>
    <row r="650" spans="2:44" s="798" customFormat="1" ht="30" customHeight="1" thickBot="1" x14ac:dyDescent="0.3">
      <c r="B650" s="835"/>
      <c r="C650" s="836"/>
      <c r="D650" s="836"/>
      <c r="E650" s="837"/>
      <c r="F650" s="837"/>
      <c r="G650" s="838"/>
      <c r="H650" s="838"/>
      <c r="I650" s="839"/>
      <c r="J650" s="839"/>
      <c r="K650" s="840"/>
      <c r="L650" s="841"/>
      <c r="M650" s="841"/>
      <c r="N650" s="842"/>
      <c r="O650" s="842"/>
      <c r="P650" s="843"/>
      <c r="Q650" s="843"/>
      <c r="R650" s="843"/>
      <c r="S650" s="844">
        <f t="shared" ref="S650:S668" si="115">IFERROR(M650/L650,0)</f>
        <v>0</v>
      </c>
      <c r="T650" s="838"/>
      <c r="U650" s="842"/>
      <c r="V650" s="843"/>
      <c r="W650" s="843"/>
      <c r="X650" s="843"/>
      <c r="Y650" s="843"/>
      <c r="Z650" s="843"/>
      <c r="AA650" s="837"/>
      <c r="AB650" s="837"/>
      <c r="AC650" s="845">
        <f t="shared" ref="AC650:AC668" si="116">IFERROR(L650/K650,0)</f>
        <v>0</v>
      </c>
      <c r="AD650" s="846">
        <f t="shared" ref="AD650:AD668" si="117">IFERROR(P650*12/L650,0)</f>
        <v>0</v>
      </c>
      <c r="AE650" s="847">
        <f t="shared" ref="AE650:AE668" si="118">IFERROR(P650*12/K650,0)</f>
        <v>0</v>
      </c>
      <c r="AF650" s="855">
        <f t="shared" si="111"/>
        <v>0</v>
      </c>
      <c r="AG650" s="848">
        <f>IF('Input Sheet'!$C$15="Yes",'Input Sheet'!$F$8,0)</f>
        <v>0</v>
      </c>
      <c r="AH650" s="846">
        <f>IF('Input Sheet'!$C$15="Yes",Rates!$E$45,0)</f>
        <v>0</v>
      </c>
      <c r="AI650" s="849">
        <f>IF('Input Sheet'!$C$15="Yes",'Input Sheet'!$F$11,0)</f>
        <v>0</v>
      </c>
      <c r="AJ650" s="850">
        <f>IF('Input Sheet'!$C$15="Yes",'Input Sheet'!$F$7,0)</f>
        <v>0</v>
      </c>
      <c r="AK650" s="856">
        <f t="shared" si="112"/>
        <v>0</v>
      </c>
      <c r="AL650" s="856">
        <f t="shared" si="113"/>
        <v>0</v>
      </c>
      <c r="AM650" s="856">
        <f t="shared" ref="AM650:AM668" si="119">(AL650)+(AK650*0.75%)</f>
        <v>0</v>
      </c>
      <c r="AN650" s="856">
        <f t="shared" si="114"/>
        <v>0</v>
      </c>
      <c r="AO650" s="852">
        <f t="shared" ref="AO650:AO668" si="120">IFERROR(AM650/L650,0)</f>
        <v>0</v>
      </c>
      <c r="AP650" s="853">
        <f t="shared" ref="AP650:AP668" si="121">AI650</f>
        <v>0</v>
      </c>
      <c r="AQ650" s="854">
        <f>IFERROR(P650*'Input Sheet'!$F$8/(((AI650)*AK650*2)-AN650),0)</f>
        <v>0</v>
      </c>
      <c r="AR650" s="854">
        <f>IFERROR(($P650-$AF650)*'Input Sheet'!$F$8/(((AI650)*AK650*2)-AN650),0)</f>
        <v>0</v>
      </c>
    </row>
    <row r="651" spans="2:44" s="798" customFormat="1" ht="30" customHeight="1" thickBot="1" x14ac:dyDescent="0.3">
      <c r="B651" s="835"/>
      <c r="C651" s="836"/>
      <c r="D651" s="836"/>
      <c r="E651" s="837"/>
      <c r="F651" s="837"/>
      <c r="G651" s="838"/>
      <c r="H651" s="838"/>
      <c r="I651" s="839"/>
      <c r="J651" s="839"/>
      <c r="K651" s="840"/>
      <c r="L651" s="841"/>
      <c r="M651" s="841"/>
      <c r="N651" s="842"/>
      <c r="O651" s="842"/>
      <c r="P651" s="843"/>
      <c r="Q651" s="843"/>
      <c r="R651" s="843"/>
      <c r="S651" s="844">
        <f t="shared" si="115"/>
        <v>0</v>
      </c>
      <c r="T651" s="838"/>
      <c r="U651" s="842"/>
      <c r="V651" s="843"/>
      <c r="W651" s="843"/>
      <c r="X651" s="843"/>
      <c r="Y651" s="843"/>
      <c r="Z651" s="843"/>
      <c r="AA651" s="837"/>
      <c r="AB651" s="837"/>
      <c r="AC651" s="845">
        <f t="shared" si="116"/>
        <v>0</v>
      </c>
      <c r="AD651" s="846">
        <f t="shared" si="117"/>
        <v>0</v>
      </c>
      <c r="AE651" s="847">
        <f t="shared" si="118"/>
        <v>0</v>
      </c>
      <c r="AF651" s="855">
        <f t="shared" si="111"/>
        <v>0</v>
      </c>
      <c r="AG651" s="848">
        <f>IF('Input Sheet'!$C$15="Yes",'Input Sheet'!$F$8,0)</f>
        <v>0</v>
      </c>
      <c r="AH651" s="846">
        <f>IF('Input Sheet'!$C$15="Yes",Rates!$E$45,0)</f>
        <v>0</v>
      </c>
      <c r="AI651" s="849">
        <f>IF('Input Sheet'!$C$15="Yes",'Input Sheet'!$F$11,0)</f>
        <v>0</v>
      </c>
      <c r="AJ651" s="850">
        <f>IF('Input Sheet'!$C$15="Yes",'Input Sheet'!$F$7,0)</f>
        <v>0</v>
      </c>
      <c r="AK651" s="856">
        <f t="shared" si="112"/>
        <v>0</v>
      </c>
      <c r="AL651" s="856">
        <f t="shared" si="113"/>
        <v>0</v>
      </c>
      <c r="AM651" s="856">
        <f t="shared" si="119"/>
        <v>0</v>
      </c>
      <c r="AN651" s="856">
        <f t="shared" si="114"/>
        <v>0</v>
      </c>
      <c r="AO651" s="852">
        <f t="shared" si="120"/>
        <v>0</v>
      </c>
      <c r="AP651" s="853">
        <f t="shared" si="121"/>
        <v>0</v>
      </c>
      <c r="AQ651" s="854">
        <f>IFERROR(P651*'Input Sheet'!$F$8/(((AI651)*AK651*2)-AN651),0)</f>
        <v>0</v>
      </c>
      <c r="AR651" s="854">
        <f>IFERROR(($P651-$AF651)*'Input Sheet'!$F$8/(((AI651)*AK651*2)-AN651),0)</f>
        <v>0</v>
      </c>
    </row>
    <row r="652" spans="2:44" s="798" customFormat="1" ht="30" customHeight="1" thickBot="1" x14ac:dyDescent="0.3">
      <c r="B652" s="835"/>
      <c r="C652" s="836"/>
      <c r="D652" s="836"/>
      <c r="E652" s="837"/>
      <c r="F652" s="837"/>
      <c r="G652" s="838"/>
      <c r="H652" s="838"/>
      <c r="I652" s="839"/>
      <c r="J652" s="839"/>
      <c r="K652" s="840"/>
      <c r="L652" s="841"/>
      <c r="M652" s="841"/>
      <c r="N652" s="842"/>
      <c r="O652" s="842"/>
      <c r="P652" s="843"/>
      <c r="Q652" s="843"/>
      <c r="R652" s="843"/>
      <c r="S652" s="844">
        <f t="shared" si="115"/>
        <v>0</v>
      </c>
      <c r="T652" s="838"/>
      <c r="U652" s="842"/>
      <c r="V652" s="843"/>
      <c r="W652" s="843"/>
      <c r="X652" s="843"/>
      <c r="Y652" s="843"/>
      <c r="Z652" s="843"/>
      <c r="AA652" s="837"/>
      <c r="AB652" s="837"/>
      <c r="AC652" s="845">
        <f t="shared" si="116"/>
        <v>0</v>
      </c>
      <c r="AD652" s="846">
        <f t="shared" si="117"/>
        <v>0</v>
      </c>
      <c r="AE652" s="847">
        <f t="shared" si="118"/>
        <v>0</v>
      </c>
      <c r="AF652" s="855">
        <f t="shared" si="111"/>
        <v>0</v>
      </c>
      <c r="AG652" s="848">
        <f>IF('Input Sheet'!$C$15="Yes",'Input Sheet'!$F$8,0)</f>
        <v>0</v>
      </c>
      <c r="AH652" s="846">
        <f>IF('Input Sheet'!$C$15="Yes",Rates!$E$45,0)</f>
        <v>0</v>
      </c>
      <c r="AI652" s="849">
        <f>IF('Input Sheet'!$C$15="Yes",'Input Sheet'!$F$11,0)</f>
        <v>0</v>
      </c>
      <c r="AJ652" s="850">
        <f>IF('Input Sheet'!$C$15="Yes",'Input Sheet'!$F$7,0)</f>
        <v>0</v>
      </c>
      <c r="AK652" s="856">
        <f t="shared" si="112"/>
        <v>0</v>
      </c>
      <c r="AL652" s="856">
        <f t="shared" si="113"/>
        <v>0</v>
      </c>
      <c r="AM652" s="856">
        <f t="shared" si="119"/>
        <v>0</v>
      </c>
      <c r="AN652" s="856">
        <f t="shared" si="114"/>
        <v>0</v>
      </c>
      <c r="AO652" s="852">
        <f t="shared" si="120"/>
        <v>0</v>
      </c>
      <c r="AP652" s="853">
        <f t="shared" si="121"/>
        <v>0</v>
      </c>
      <c r="AQ652" s="854">
        <f>IFERROR(P652*'Input Sheet'!$F$8/(((AI652)*AK652*2)-AN652),0)</f>
        <v>0</v>
      </c>
      <c r="AR652" s="854">
        <f>IFERROR(($P652-$AF652)*'Input Sheet'!$F$8/(((AI652)*AK652*2)-AN652),0)</f>
        <v>0</v>
      </c>
    </row>
    <row r="653" spans="2:44" s="798" customFormat="1" ht="30" customHeight="1" thickBot="1" x14ac:dyDescent="0.3">
      <c r="B653" s="835"/>
      <c r="C653" s="836"/>
      <c r="D653" s="836"/>
      <c r="E653" s="837"/>
      <c r="F653" s="837"/>
      <c r="G653" s="838"/>
      <c r="H653" s="838"/>
      <c r="I653" s="839"/>
      <c r="J653" s="839"/>
      <c r="K653" s="840"/>
      <c r="L653" s="841"/>
      <c r="M653" s="841"/>
      <c r="N653" s="842"/>
      <c r="O653" s="842"/>
      <c r="P653" s="843"/>
      <c r="Q653" s="843"/>
      <c r="R653" s="843"/>
      <c r="S653" s="844">
        <f t="shared" si="115"/>
        <v>0</v>
      </c>
      <c r="T653" s="838"/>
      <c r="U653" s="842"/>
      <c r="V653" s="843"/>
      <c r="W653" s="843"/>
      <c r="X653" s="843"/>
      <c r="Y653" s="843"/>
      <c r="Z653" s="843"/>
      <c r="AA653" s="837"/>
      <c r="AB653" s="837"/>
      <c r="AC653" s="845">
        <f t="shared" si="116"/>
        <v>0</v>
      </c>
      <c r="AD653" s="846">
        <f t="shared" si="117"/>
        <v>0</v>
      </c>
      <c r="AE653" s="847">
        <f t="shared" si="118"/>
        <v>0</v>
      </c>
      <c r="AF653" s="855">
        <f t="shared" si="111"/>
        <v>0</v>
      </c>
      <c r="AG653" s="848">
        <f>IF('Input Sheet'!$C$15="Yes",'Input Sheet'!$F$8,0)</f>
        <v>0</v>
      </c>
      <c r="AH653" s="846">
        <f>IF('Input Sheet'!$C$15="Yes",Rates!$E$45,0)</f>
        <v>0</v>
      </c>
      <c r="AI653" s="849">
        <f>IF('Input Sheet'!$C$15="Yes",'Input Sheet'!$F$11,0)</f>
        <v>0</v>
      </c>
      <c r="AJ653" s="850">
        <f>IF('Input Sheet'!$C$15="Yes",'Input Sheet'!$F$7,0)</f>
        <v>0</v>
      </c>
      <c r="AK653" s="856">
        <f t="shared" si="112"/>
        <v>0</v>
      </c>
      <c r="AL653" s="856">
        <f t="shared" si="113"/>
        <v>0</v>
      </c>
      <c r="AM653" s="856">
        <f t="shared" si="119"/>
        <v>0</v>
      </c>
      <c r="AN653" s="856">
        <f t="shared" si="114"/>
        <v>0</v>
      </c>
      <c r="AO653" s="852">
        <f t="shared" si="120"/>
        <v>0</v>
      </c>
      <c r="AP653" s="853">
        <f t="shared" si="121"/>
        <v>0</v>
      </c>
      <c r="AQ653" s="854">
        <f>IFERROR(P653*'Input Sheet'!$F$8/(((AI653)*AK653*2)-AN653),0)</f>
        <v>0</v>
      </c>
      <c r="AR653" s="854">
        <f>IFERROR(($P653-$AF653)*'Input Sheet'!$F$8/(((AI653)*AK653*2)-AN653),0)</f>
        <v>0</v>
      </c>
    </row>
    <row r="654" spans="2:44" s="798" customFormat="1" ht="30" customHeight="1" thickBot="1" x14ac:dyDescent="0.3">
      <c r="B654" s="835"/>
      <c r="C654" s="836"/>
      <c r="D654" s="836"/>
      <c r="E654" s="837"/>
      <c r="F654" s="837"/>
      <c r="G654" s="838"/>
      <c r="H654" s="838"/>
      <c r="I654" s="839"/>
      <c r="J654" s="839"/>
      <c r="K654" s="840"/>
      <c r="L654" s="841"/>
      <c r="M654" s="841"/>
      <c r="N654" s="842"/>
      <c r="O654" s="842"/>
      <c r="P654" s="843"/>
      <c r="Q654" s="843"/>
      <c r="R654" s="843"/>
      <c r="S654" s="844">
        <f t="shared" si="115"/>
        <v>0</v>
      </c>
      <c r="T654" s="838"/>
      <c r="U654" s="842"/>
      <c r="V654" s="843"/>
      <c r="W654" s="843"/>
      <c r="X654" s="843"/>
      <c r="Y654" s="843"/>
      <c r="Z654" s="843"/>
      <c r="AA654" s="837"/>
      <c r="AB654" s="837"/>
      <c r="AC654" s="845">
        <f t="shared" si="116"/>
        <v>0</v>
      </c>
      <c r="AD654" s="846">
        <f t="shared" si="117"/>
        <v>0</v>
      </c>
      <c r="AE654" s="847">
        <f t="shared" si="118"/>
        <v>0</v>
      </c>
      <c r="AF654" s="855">
        <f t="shared" si="111"/>
        <v>0</v>
      </c>
      <c r="AG654" s="848">
        <f>IF('Input Sheet'!$C$15="Yes",'Input Sheet'!$F$8,0)</f>
        <v>0</v>
      </c>
      <c r="AH654" s="846">
        <f>IF('Input Sheet'!$C$15="Yes",Rates!$E$45,0)</f>
        <v>0</v>
      </c>
      <c r="AI654" s="849">
        <f>IF('Input Sheet'!$C$15="Yes",'Input Sheet'!$F$11,0)</f>
        <v>0</v>
      </c>
      <c r="AJ654" s="850">
        <f>IF('Input Sheet'!$C$15="Yes",'Input Sheet'!$F$7,0)</f>
        <v>0</v>
      </c>
      <c r="AK654" s="856">
        <f t="shared" si="112"/>
        <v>0</v>
      </c>
      <c r="AL654" s="856">
        <f t="shared" si="113"/>
        <v>0</v>
      </c>
      <c r="AM654" s="856">
        <f t="shared" si="119"/>
        <v>0</v>
      </c>
      <c r="AN654" s="856">
        <f t="shared" si="114"/>
        <v>0</v>
      </c>
      <c r="AO654" s="852">
        <f t="shared" si="120"/>
        <v>0</v>
      </c>
      <c r="AP654" s="853">
        <f t="shared" si="121"/>
        <v>0</v>
      </c>
      <c r="AQ654" s="854">
        <f>IFERROR(P654*'Input Sheet'!$F$8/(((AI654)*AK654*2)-AN654),0)</f>
        <v>0</v>
      </c>
      <c r="AR654" s="854">
        <f>IFERROR(($P654-$AF654)*'Input Sheet'!$F$8/(((AI654)*AK654*2)-AN654),0)</f>
        <v>0</v>
      </c>
    </row>
    <row r="655" spans="2:44" s="798" customFormat="1" ht="30" customHeight="1" thickBot="1" x14ac:dyDescent="0.3">
      <c r="B655" s="835"/>
      <c r="C655" s="836"/>
      <c r="D655" s="836"/>
      <c r="E655" s="837"/>
      <c r="F655" s="837"/>
      <c r="G655" s="838"/>
      <c r="H655" s="838"/>
      <c r="I655" s="839"/>
      <c r="J655" s="839"/>
      <c r="K655" s="840"/>
      <c r="L655" s="841"/>
      <c r="M655" s="841"/>
      <c r="N655" s="842"/>
      <c r="O655" s="842"/>
      <c r="P655" s="843"/>
      <c r="Q655" s="843"/>
      <c r="R655" s="843"/>
      <c r="S655" s="844">
        <f t="shared" si="115"/>
        <v>0</v>
      </c>
      <c r="T655" s="838"/>
      <c r="U655" s="842"/>
      <c r="V655" s="843"/>
      <c r="W655" s="843"/>
      <c r="X655" s="843"/>
      <c r="Y655" s="843"/>
      <c r="Z655" s="843"/>
      <c r="AA655" s="837"/>
      <c r="AB655" s="837"/>
      <c r="AC655" s="845">
        <f t="shared" si="116"/>
        <v>0</v>
      </c>
      <c r="AD655" s="846">
        <f t="shared" si="117"/>
        <v>0</v>
      </c>
      <c r="AE655" s="847">
        <f t="shared" si="118"/>
        <v>0</v>
      </c>
      <c r="AF655" s="855">
        <f t="shared" si="111"/>
        <v>0</v>
      </c>
      <c r="AG655" s="848">
        <f>IF('Input Sheet'!$C$15="Yes",'Input Sheet'!$F$8,0)</f>
        <v>0</v>
      </c>
      <c r="AH655" s="846">
        <f>IF('Input Sheet'!$C$15="Yes",Rates!$E$45,0)</f>
        <v>0</v>
      </c>
      <c r="AI655" s="849">
        <f>IF('Input Sheet'!$C$15="Yes",'Input Sheet'!$F$11,0)</f>
        <v>0</v>
      </c>
      <c r="AJ655" s="850">
        <f>IF('Input Sheet'!$C$15="Yes",'Input Sheet'!$F$7,0)</f>
        <v>0</v>
      </c>
      <c r="AK655" s="856">
        <f t="shared" si="112"/>
        <v>0</v>
      </c>
      <c r="AL655" s="856">
        <f t="shared" si="113"/>
        <v>0</v>
      </c>
      <c r="AM655" s="856">
        <f t="shared" si="119"/>
        <v>0</v>
      </c>
      <c r="AN655" s="856">
        <f t="shared" si="114"/>
        <v>0</v>
      </c>
      <c r="AO655" s="852">
        <f t="shared" si="120"/>
        <v>0</v>
      </c>
      <c r="AP655" s="853">
        <f t="shared" si="121"/>
        <v>0</v>
      </c>
      <c r="AQ655" s="854">
        <f>IFERROR(P655*'Input Sheet'!$F$8/(((AI655)*AK655*2)-AN655),0)</f>
        <v>0</v>
      </c>
      <c r="AR655" s="854">
        <f>IFERROR(($P655-$AF655)*'Input Sheet'!$F$8/(((AI655)*AK655*2)-AN655),0)</f>
        <v>0</v>
      </c>
    </row>
    <row r="656" spans="2:44" s="798" customFormat="1" ht="30" customHeight="1" thickBot="1" x14ac:dyDescent="0.3">
      <c r="B656" s="835"/>
      <c r="C656" s="836"/>
      <c r="D656" s="836"/>
      <c r="E656" s="837"/>
      <c r="F656" s="837"/>
      <c r="G656" s="838"/>
      <c r="H656" s="838"/>
      <c r="I656" s="839"/>
      <c r="J656" s="839"/>
      <c r="K656" s="840"/>
      <c r="L656" s="841"/>
      <c r="M656" s="841"/>
      <c r="N656" s="842"/>
      <c r="O656" s="842"/>
      <c r="P656" s="843"/>
      <c r="Q656" s="843"/>
      <c r="R656" s="843"/>
      <c r="S656" s="844">
        <f t="shared" si="115"/>
        <v>0</v>
      </c>
      <c r="T656" s="838"/>
      <c r="U656" s="842"/>
      <c r="V656" s="843"/>
      <c r="W656" s="843"/>
      <c r="X656" s="843"/>
      <c r="Y656" s="843"/>
      <c r="Z656" s="843"/>
      <c r="AA656" s="837"/>
      <c r="AB656" s="837"/>
      <c r="AC656" s="845">
        <f t="shared" si="116"/>
        <v>0</v>
      </c>
      <c r="AD656" s="846">
        <f t="shared" si="117"/>
        <v>0</v>
      </c>
      <c r="AE656" s="847">
        <f t="shared" si="118"/>
        <v>0</v>
      </c>
      <c r="AF656" s="855">
        <f t="shared" si="111"/>
        <v>0</v>
      </c>
      <c r="AG656" s="848">
        <f>IF('Input Sheet'!$C$15="Yes",'Input Sheet'!$F$8,0)</f>
        <v>0</v>
      </c>
      <c r="AH656" s="846">
        <f>IF('Input Sheet'!$C$15="Yes",Rates!$E$45,0)</f>
        <v>0</v>
      </c>
      <c r="AI656" s="849">
        <f>IF('Input Sheet'!$C$15="Yes",'Input Sheet'!$F$11,0)</f>
        <v>0</v>
      </c>
      <c r="AJ656" s="850">
        <f>IF('Input Sheet'!$C$15="Yes",'Input Sheet'!$F$7,0)</f>
        <v>0</v>
      </c>
      <c r="AK656" s="856">
        <f t="shared" si="112"/>
        <v>0</v>
      </c>
      <c r="AL656" s="856">
        <f t="shared" si="113"/>
        <v>0</v>
      </c>
      <c r="AM656" s="856">
        <f t="shared" si="119"/>
        <v>0</v>
      </c>
      <c r="AN656" s="856">
        <f t="shared" si="114"/>
        <v>0</v>
      </c>
      <c r="AO656" s="852">
        <f t="shared" si="120"/>
        <v>0</v>
      </c>
      <c r="AP656" s="853">
        <f t="shared" si="121"/>
        <v>0</v>
      </c>
      <c r="AQ656" s="854">
        <f>IFERROR(P656*'Input Sheet'!$F$8/(((AI656)*AK656*2)-AN656),0)</f>
        <v>0</v>
      </c>
      <c r="AR656" s="854">
        <f>IFERROR(($P656-$AF656)*'Input Sheet'!$F$8/(((AI656)*AK656*2)-AN656),0)</f>
        <v>0</v>
      </c>
    </row>
    <row r="657" spans="2:44" s="798" customFormat="1" ht="30" customHeight="1" thickBot="1" x14ac:dyDescent="0.3">
      <c r="B657" s="835"/>
      <c r="C657" s="836"/>
      <c r="D657" s="836"/>
      <c r="E657" s="837"/>
      <c r="F657" s="837"/>
      <c r="G657" s="838"/>
      <c r="H657" s="838"/>
      <c r="I657" s="839"/>
      <c r="J657" s="839"/>
      <c r="K657" s="840"/>
      <c r="L657" s="841"/>
      <c r="M657" s="841"/>
      <c r="N657" s="842"/>
      <c r="O657" s="842"/>
      <c r="P657" s="843"/>
      <c r="Q657" s="843"/>
      <c r="R657" s="843"/>
      <c r="S657" s="844">
        <f t="shared" si="115"/>
        <v>0</v>
      </c>
      <c r="T657" s="838"/>
      <c r="U657" s="842"/>
      <c r="V657" s="843"/>
      <c r="W657" s="843"/>
      <c r="X657" s="843"/>
      <c r="Y657" s="843"/>
      <c r="Z657" s="843"/>
      <c r="AA657" s="837"/>
      <c r="AB657" s="837"/>
      <c r="AC657" s="845">
        <f t="shared" si="116"/>
        <v>0</v>
      </c>
      <c r="AD657" s="846">
        <f t="shared" si="117"/>
        <v>0</v>
      </c>
      <c r="AE657" s="847">
        <f t="shared" si="118"/>
        <v>0</v>
      </c>
      <c r="AF657" s="855">
        <f t="shared" si="111"/>
        <v>0</v>
      </c>
      <c r="AG657" s="848">
        <f>IF('Input Sheet'!$C$15="Yes",'Input Sheet'!$F$8,0)</f>
        <v>0</v>
      </c>
      <c r="AH657" s="846">
        <f>IF('Input Sheet'!$C$15="Yes",Rates!$E$45,0)</f>
        <v>0</v>
      </c>
      <c r="AI657" s="849">
        <f>IF('Input Sheet'!$C$15="Yes",'Input Sheet'!$F$11,0)</f>
        <v>0</v>
      </c>
      <c r="AJ657" s="850">
        <f>IF('Input Sheet'!$C$15="Yes",'Input Sheet'!$F$7,0)</f>
        <v>0</v>
      </c>
      <c r="AK657" s="856">
        <f t="shared" si="112"/>
        <v>0</v>
      </c>
      <c r="AL657" s="856">
        <f t="shared" si="113"/>
        <v>0</v>
      </c>
      <c r="AM657" s="856">
        <f t="shared" si="119"/>
        <v>0</v>
      </c>
      <c r="AN657" s="856">
        <f t="shared" si="114"/>
        <v>0</v>
      </c>
      <c r="AO657" s="852">
        <f t="shared" si="120"/>
        <v>0</v>
      </c>
      <c r="AP657" s="853">
        <f t="shared" si="121"/>
        <v>0</v>
      </c>
      <c r="AQ657" s="854">
        <f>IFERROR(P657*'Input Sheet'!$F$8/(((AI657)*AK657*2)-AN657),0)</f>
        <v>0</v>
      </c>
      <c r="AR657" s="854">
        <f>IFERROR(($P657-$AF657)*'Input Sheet'!$F$8/(((AI657)*AK657*2)-AN657),0)</f>
        <v>0</v>
      </c>
    </row>
    <row r="658" spans="2:44" s="798" customFormat="1" ht="30" customHeight="1" thickBot="1" x14ac:dyDescent="0.3">
      <c r="B658" s="835"/>
      <c r="C658" s="836"/>
      <c r="D658" s="836"/>
      <c r="E658" s="837"/>
      <c r="F658" s="837"/>
      <c r="G658" s="838"/>
      <c r="H658" s="838"/>
      <c r="I658" s="839"/>
      <c r="J658" s="839"/>
      <c r="K658" s="840"/>
      <c r="L658" s="841"/>
      <c r="M658" s="841"/>
      <c r="N658" s="842"/>
      <c r="O658" s="842"/>
      <c r="P658" s="843"/>
      <c r="Q658" s="843"/>
      <c r="R658" s="843"/>
      <c r="S658" s="844">
        <f t="shared" si="115"/>
        <v>0</v>
      </c>
      <c r="T658" s="838"/>
      <c r="U658" s="842"/>
      <c r="V658" s="843"/>
      <c r="W658" s="843"/>
      <c r="X658" s="843"/>
      <c r="Y658" s="843"/>
      <c r="Z658" s="843"/>
      <c r="AA658" s="837"/>
      <c r="AB658" s="837"/>
      <c r="AC658" s="845">
        <f t="shared" si="116"/>
        <v>0</v>
      </c>
      <c r="AD658" s="846">
        <f t="shared" si="117"/>
        <v>0</v>
      </c>
      <c r="AE658" s="847">
        <f t="shared" si="118"/>
        <v>0</v>
      </c>
      <c r="AF658" s="855">
        <f t="shared" si="111"/>
        <v>0</v>
      </c>
      <c r="AG658" s="848">
        <f>IF('Input Sheet'!$C$15="Yes",'Input Sheet'!$F$8,0)</f>
        <v>0</v>
      </c>
      <c r="AH658" s="846">
        <f>IF('Input Sheet'!$C$15="Yes",Rates!$E$45,0)</f>
        <v>0</v>
      </c>
      <c r="AI658" s="849">
        <f>IF('Input Sheet'!$C$15="Yes",'Input Sheet'!$F$11,0)</f>
        <v>0</v>
      </c>
      <c r="AJ658" s="850">
        <f>IF('Input Sheet'!$C$15="Yes",'Input Sheet'!$F$7,0)</f>
        <v>0</v>
      </c>
      <c r="AK658" s="856">
        <f t="shared" si="112"/>
        <v>0</v>
      </c>
      <c r="AL658" s="856">
        <f t="shared" si="113"/>
        <v>0</v>
      </c>
      <c r="AM658" s="856">
        <f t="shared" si="119"/>
        <v>0</v>
      </c>
      <c r="AN658" s="856">
        <f t="shared" si="114"/>
        <v>0</v>
      </c>
      <c r="AO658" s="852">
        <f t="shared" si="120"/>
        <v>0</v>
      </c>
      <c r="AP658" s="853">
        <f t="shared" si="121"/>
        <v>0</v>
      </c>
      <c r="AQ658" s="854">
        <f>IFERROR(P658*'Input Sheet'!$F$8/(((AI658)*AK658*2)-AN658),0)</f>
        <v>0</v>
      </c>
      <c r="AR658" s="854">
        <f>IFERROR(($P658-$AF658)*'Input Sheet'!$F$8/(((AI658)*AK658*2)-AN658),0)</f>
        <v>0</v>
      </c>
    </row>
    <row r="659" spans="2:44" s="798" customFormat="1" ht="30" customHeight="1" thickBot="1" x14ac:dyDescent="0.3">
      <c r="B659" s="835"/>
      <c r="C659" s="836"/>
      <c r="D659" s="836"/>
      <c r="E659" s="837"/>
      <c r="F659" s="837"/>
      <c r="G659" s="838"/>
      <c r="H659" s="838"/>
      <c r="I659" s="839"/>
      <c r="J659" s="839"/>
      <c r="K659" s="840"/>
      <c r="L659" s="841"/>
      <c r="M659" s="841"/>
      <c r="N659" s="842"/>
      <c r="O659" s="842"/>
      <c r="P659" s="843"/>
      <c r="Q659" s="843"/>
      <c r="R659" s="843"/>
      <c r="S659" s="844">
        <f t="shared" si="115"/>
        <v>0</v>
      </c>
      <c r="T659" s="838"/>
      <c r="U659" s="842"/>
      <c r="V659" s="843"/>
      <c r="W659" s="843"/>
      <c r="X659" s="843"/>
      <c r="Y659" s="843"/>
      <c r="Z659" s="843"/>
      <c r="AA659" s="837"/>
      <c r="AB659" s="837"/>
      <c r="AC659" s="845">
        <f t="shared" si="116"/>
        <v>0</v>
      </c>
      <c r="AD659" s="846">
        <f t="shared" si="117"/>
        <v>0</v>
      </c>
      <c r="AE659" s="847">
        <f t="shared" si="118"/>
        <v>0</v>
      </c>
      <c r="AF659" s="855">
        <f t="shared" si="111"/>
        <v>0</v>
      </c>
      <c r="AG659" s="848">
        <f>IF('Input Sheet'!$C$15="Yes",'Input Sheet'!$F$8,0)</f>
        <v>0</v>
      </c>
      <c r="AH659" s="846">
        <f>IF('Input Sheet'!$C$15="Yes",Rates!$E$45,0)</f>
        <v>0</v>
      </c>
      <c r="AI659" s="849">
        <f>IF('Input Sheet'!$C$15="Yes",'Input Sheet'!$F$11,0)</f>
        <v>0</v>
      </c>
      <c r="AJ659" s="850">
        <f>IF('Input Sheet'!$C$15="Yes",'Input Sheet'!$F$7,0)</f>
        <v>0</v>
      </c>
      <c r="AK659" s="856">
        <f t="shared" si="112"/>
        <v>0</v>
      </c>
      <c r="AL659" s="856">
        <f t="shared" si="113"/>
        <v>0</v>
      </c>
      <c r="AM659" s="856">
        <f t="shared" si="119"/>
        <v>0</v>
      </c>
      <c r="AN659" s="856">
        <f t="shared" si="114"/>
        <v>0</v>
      </c>
      <c r="AO659" s="852">
        <f t="shared" si="120"/>
        <v>0</v>
      </c>
      <c r="AP659" s="853">
        <f t="shared" si="121"/>
        <v>0</v>
      </c>
      <c r="AQ659" s="854">
        <f>IFERROR(P659*'Input Sheet'!$F$8/(((AI659)*AK659*2)-AN659),0)</f>
        <v>0</v>
      </c>
      <c r="AR659" s="854">
        <f>IFERROR(($P659-$AF659)*'Input Sheet'!$F$8/(((AI659)*AK659*2)-AN659),0)</f>
        <v>0</v>
      </c>
    </row>
    <row r="660" spans="2:44" s="798" customFormat="1" ht="30" customHeight="1" thickBot="1" x14ac:dyDescent="0.3">
      <c r="B660" s="835"/>
      <c r="C660" s="836"/>
      <c r="D660" s="836"/>
      <c r="E660" s="837"/>
      <c r="F660" s="837"/>
      <c r="G660" s="838"/>
      <c r="H660" s="838"/>
      <c r="I660" s="839"/>
      <c r="J660" s="839"/>
      <c r="K660" s="840"/>
      <c r="L660" s="841"/>
      <c r="M660" s="841"/>
      <c r="N660" s="842"/>
      <c r="O660" s="842"/>
      <c r="P660" s="843">
        <v>10000</v>
      </c>
      <c r="Q660" s="843"/>
      <c r="R660" s="843"/>
      <c r="S660" s="844">
        <f t="shared" si="115"/>
        <v>0</v>
      </c>
      <c r="T660" s="838"/>
      <c r="U660" s="842"/>
      <c r="V660" s="843"/>
      <c r="W660" s="843"/>
      <c r="X660" s="843"/>
      <c r="Y660" s="843"/>
      <c r="Z660" s="843"/>
      <c r="AA660" s="837"/>
      <c r="AB660" s="837"/>
      <c r="AC660" s="845">
        <f t="shared" si="116"/>
        <v>0</v>
      </c>
      <c r="AD660" s="846">
        <f t="shared" si="117"/>
        <v>0</v>
      </c>
      <c r="AE660" s="847">
        <f t="shared" si="118"/>
        <v>0</v>
      </c>
      <c r="AF660" s="855">
        <f t="shared" si="111"/>
        <v>0</v>
      </c>
      <c r="AG660" s="848">
        <f>IF('Input Sheet'!$C$15="Yes",'Input Sheet'!$F$8,0)</f>
        <v>0</v>
      </c>
      <c r="AH660" s="846">
        <f>IF('Input Sheet'!$C$15="Yes",Rates!$E$45,0)</f>
        <v>0</v>
      </c>
      <c r="AI660" s="849">
        <f>IF('Input Sheet'!$C$15="Yes",'Input Sheet'!$F$11,0)</f>
        <v>0</v>
      </c>
      <c r="AJ660" s="850">
        <f>IF('Input Sheet'!$C$15="Yes",'Input Sheet'!$F$7,0)</f>
        <v>0</v>
      </c>
      <c r="AK660" s="856">
        <f t="shared" si="112"/>
        <v>0</v>
      </c>
      <c r="AL660" s="856">
        <f t="shared" si="113"/>
        <v>0</v>
      </c>
      <c r="AM660" s="856">
        <f t="shared" si="119"/>
        <v>0</v>
      </c>
      <c r="AN660" s="856">
        <f t="shared" si="114"/>
        <v>0</v>
      </c>
      <c r="AO660" s="852">
        <f t="shared" si="120"/>
        <v>0</v>
      </c>
      <c r="AP660" s="853">
        <f t="shared" si="121"/>
        <v>0</v>
      </c>
      <c r="AQ660" s="854">
        <f>IFERROR(P660*'Input Sheet'!$F$8/(((AI660)*AK660*2)-AN660),0)</f>
        <v>0</v>
      </c>
      <c r="AR660" s="854">
        <f>IFERROR(($P660-$AF660)*'Input Sheet'!$F$8/(((AI660)*AK660*2)-AN660),0)</f>
        <v>0</v>
      </c>
    </row>
    <row r="661" spans="2:44" s="798" customFormat="1" ht="30" customHeight="1" thickBot="1" x14ac:dyDescent="0.3">
      <c r="B661" s="835"/>
      <c r="C661" s="836"/>
      <c r="D661" s="836"/>
      <c r="E661" s="837"/>
      <c r="F661" s="837"/>
      <c r="G661" s="838"/>
      <c r="H661" s="838"/>
      <c r="I661" s="839"/>
      <c r="J661" s="839"/>
      <c r="K661" s="840"/>
      <c r="L661" s="841"/>
      <c r="M661" s="841"/>
      <c r="N661" s="842"/>
      <c r="O661" s="842"/>
      <c r="P661" s="843"/>
      <c r="Q661" s="843"/>
      <c r="R661" s="843"/>
      <c r="S661" s="844">
        <f t="shared" si="115"/>
        <v>0</v>
      </c>
      <c r="T661" s="838"/>
      <c r="U661" s="842"/>
      <c r="V661" s="843"/>
      <c r="W661" s="843"/>
      <c r="X661" s="843"/>
      <c r="Y661" s="843"/>
      <c r="Z661" s="843"/>
      <c r="AA661" s="837"/>
      <c r="AB661" s="837"/>
      <c r="AC661" s="845">
        <f t="shared" si="116"/>
        <v>0</v>
      </c>
      <c r="AD661" s="846">
        <f t="shared" si="117"/>
        <v>0</v>
      </c>
      <c r="AE661" s="847">
        <f t="shared" si="118"/>
        <v>0</v>
      </c>
      <c r="AF661" s="855">
        <f t="shared" si="111"/>
        <v>0</v>
      </c>
      <c r="AG661" s="848">
        <f>IF('Input Sheet'!$C$15="Yes",'Input Sheet'!$F$8,0)</f>
        <v>0</v>
      </c>
      <c r="AH661" s="846">
        <f>IF('Input Sheet'!$C$15="Yes",Rates!$E$45,0)</f>
        <v>0</v>
      </c>
      <c r="AI661" s="849">
        <f>IF('Input Sheet'!$C$15="Yes",'Input Sheet'!$F$11,0)</f>
        <v>0</v>
      </c>
      <c r="AJ661" s="850">
        <f>IF('Input Sheet'!$C$15="Yes",'Input Sheet'!$F$7,0)</f>
        <v>0</v>
      </c>
      <c r="AK661" s="856">
        <f t="shared" si="112"/>
        <v>0</v>
      </c>
      <c r="AL661" s="856">
        <f t="shared" si="113"/>
        <v>0</v>
      </c>
      <c r="AM661" s="856">
        <f t="shared" si="119"/>
        <v>0</v>
      </c>
      <c r="AN661" s="856">
        <f t="shared" si="114"/>
        <v>0</v>
      </c>
      <c r="AO661" s="852">
        <f t="shared" si="120"/>
        <v>0</v>
      </c>
      <c r="AP661" s="853">
        <f t="shared" si="121"/>
        <v>0</v>
      </c>
      <c r="AQ661" s="854">
        <f>IFERROR(P661*'Input Sheet'!$F$8/(((AI661)*AK661*2)-AN661),0)</f>
        <v>0</v>
      </c>
      <c r="AR661" s="854">
        <f>IFERROR(($P661-$AF661)*'Input Sheet'!$F$8/(((AI661)*AK661*2)-AN661),0)</f>
        <v>0</v>
      </c>
    </row>
    <row r="662" spans="2:44" s="798" customFormat="1" ht="30" customHeight="1" thickBot="1" x14ac:dyDescent="0.3">
      <c r="B662" s="835"/>
      <c r="C662" s="836"/>
      <c r="D662" s="836"/>
      <c r="E662" s="837"/>
      <c r="F662" s="837"/>
      <c r="G662" s="838"/>
      <c r="H662" s="838"/>
      <c r="I662" s="839"/>
      <c r="J662" s="839"/>
      <c r="K662" s="840"/>
      <c r="L662" s="841"/>
      <c r="M662" s="841"/>
      <c r="N662" s="842"/>
      <c r="O662" s="842"/>
      <c r="P662" s="843"/>
      <c r="Q662" s="843"/>
      <c r="R662" s="843"/>
      <c r="S662" s="844">
        <f t="shared" si="115"/>
        <v>0</v>
      </c>
      <c r="T662" s="838"/>
      <c r="U662" s="842"/>
      <c r="V662" s="843"/>
      <c r="W662" s="843"/>
      <c r="X662" s="843"/>
      <c r="Y662" s="843"/>
      <c r="Z662" s="843"/>
      <c r="AA662" s="837"/>
      <c r="AB662" s="837"/>
      <c r="AC662" s="845">
        <f t="shared" si="116"/>
        <v>0</v>
      </c>
      <c r="AD662" s="846">
        <f t="shared" si="117"/>
        <v>0</v>
      </c>
      <c r="AE662" s="847">
        <f t="shared" si="118"/>
        <v>0</v>
      </c>
      <c r="AF662" s="855">
        <f t="shared" si="111"/>
        <v>0</v>
      </c>
      <c r="AG662" s="848">
        <f>IF('Input Sheet'!$C$15="Yes",'Input Sheet'!$F$8,0)</f>
        <v>0</v>
      </c>
      <c r="AH662" s="846">
        <f>IF('Input Sheet'!$C$15="Yes",Rates!$E$45,0)</f>
        <v>0</v>
      </c>
      <c r="AI662" s="849">
        <f>IF('Input Sheet'!$C$15="Yes",'Input Sheet'!$F$11,0)</f>
        <v>0</v>
      </c>
      <c r="AJ662" s="850">
        <f>IF('Input Sheet'!$C$15="Yes",'Input Sheet'!$F$7,0)</f>
        <v>0</v>
      </c>
      <c r="AK662" s="856">
        <f t="shared" si="112"/>
        <v>0</v>
      </c>
      <c r="AL662" s="856">
        <f t="shared" si="113"/>
        <v>0</v>
      </c>
      <c r="AM662" s="856">
        <f t="shared" si="119"/>
        <v>0</v>
      </c>
      <c r="AN662" s="856">
        <f t="shared" si="114"/>
        <v>0</v>
      </c>
      <c r="AO662" s="852">
        <f t="shared" si="120"/>
        <v>0</v>
      </c>
      <c r="AP662" s="853">
        <f t="shared" si="121"/>
        <v>0</v>
      </c>
      <c r="AQ662" s="854">
        <f>IFERROR(P662*'Input Sheet'!$F$8/(((AI662)*AK662*2)-AN662),0)</f>
        <v>0</v>
      </c>
      <c r="AR662" s="854">
        <f>IFERROR(($P662-$AF662)*'Input Sheet'!$F$8/(((AI662)*AK662*2)-AN662),0)</f>
        <v>0</v>
      </c>
    </row>
    <row r="663" spans="2:44" s="798" customFormat="1" ht="30" customHeight="1" thickBot="1" x14ac:dyDescent="0.3">
      <c r="B663" s="835"/>
      <c r="C663" s="836"/>
      <c r="D663" s="836"/>
      <c r="E663" s="837"/>
      <c r="F663" s="837"/>
      <c r="G663" s="838"/>
      <c r="H663" s="838"/>
      <c r="I663" s="839"/>
      <c r="J663" s="839"/>
      <c r="K663" s="840"/>
      <c r="L663" s="841"/>
      <c r="M663" s="841"/>
      <c r="N663" s="842"/>
      <c r="O663" s="842"/>
      <c r="P663" s="843"/>
      <c r="Q663" s="843"/>
      <c r="R663" s="843"/>
      <c r="S663" s="844">
        <f t="shared" si="115"/>
        <v>0</v>
      </c>
      <c r="T663" s="838"/>
      <c r="U663" s="842"/>
      <c r="V663" s="843"/>
      <c r="W663" s="843"/>
      <c r="X663" s="843"/>
      <c r="Y663" s="843"/>
      <c r="Z663" s="843"/>
      <c r="AA663" s="837"/>
      <c r="AB663" s="837"/>
      <c r="AC663" s="845">
        <f t="shared" si="116"/>
        <v>0</v>
      </c>
      <c r="AD663" s="846">
        <f t="shared" si="117"/>
        <v>0</v>
      </c>
      <c r="AE663" s="847">
        <f t="shared" si="118"/>
        <v>0</v>
      </c>
      <c r="AF663" s="855">
        <f t="shared" si="111"/>
        <v>0</v>
      </c>
      <c r="AG663" s="848">
        <f>IF('Input Sheet'!$C$15="Yes",'Input Sheet'!$F$8,0)</f>
        <v>0</v>
      </c>
      <c r="AH663" s="846">
        <f>IF('Input Sheet'!$C$15="Yes",Rates!$E$45,0)</f>
        <v>0</v>
      </c>
      <c r="AI663" s="849">
        <f>IF('Input Sheet'!$C$15="Yes",'Input Sheet'!$F$11,0)</f>
        <v>0</v>
      </c>
      <c r="AJ663" s="850">
        <f>IF('Input Sheet'!$C$15="Yes",'Input Sheet'!$F$7,0)</f>
        <v>0</v>
      </c>
      <c r="AK663" s="856">
        <f t="shared" si="112"/>
        <v>0</v>
      </c>
      <c r="AL663" s="856">
        <f t="shared" si="113"/>
        <v>0</v>
      </c>
      <c r="AM663" s="856">
        <f t="shared" si="119"/>
        <v>0</v>
      </c>
      <c r="AN663" s="856">
        <f t="shared" si="114"/>
        <v>0</v>
      </c>
      <c r="AO663" s="852">
        <f t="shared" si="120"/>
        <v>0</v>
      </c>
      <c r="AP663" s="853">
        <f t="shared" si="121"/>
        <v>0</v>
      </c>
      <c r="AQ663" s="854">
        <f>IFERROR(P663*'Input Sheet'!$F$8/(((AI663)*AK663*2)-AN663),0)</f>
        <v>0</v>
      </c>
      <c r="AR663" s="854">
        <f>IFERROR(($P663-$AF663)*'Input Sheet'!$F$8/(((AI663)*AK663*2)-AN663),0)</f>
        <v>0</v>
      </c>
    </row>
    <row r="664" spans="2:44" s="798" customFormat="1" ht="30" customHeight="1" thickBot="1" x14ac:dyDescent="0.3">
      <c r="B664" s="835"/>
      <c r="C664" s="836"/>
      <c r="D664" s="836"/>
      <c r="E664" s="837"/>
      <c r="F664" s="837"/>
      <c r="G664" s="838"/>
      <c r="H664" s="838"/>
      <c r="I664" s="839"/>
      <c r="J664" s="839"/>
      <c r="K664" s="840"/>
      <c r="L664" s="841"/>
      <c r="M664" s="841"/>
      <c r="N664" s="842"/>
      <c r="O664" s="842"/>
      <c r="P664" s="843"/>
      <c r="Q664" s="843"/>
      <c r="R664" s="843"/>
      <c r="S664" s="844">
        <f t="shared" si="115"/>
        <v>0</v>
      </c>
      <c r="T664" s="838"/>
      <c r="U664" s="842"/>
      <c r="V664" s="843"/>
      <c r="W664" s="843"/>
      <c r="X664" s="843"/>
      <c r="Y664" s="843"/>
      <c r="Z664" s="843"/>
      <c r="AA664" s="837"/>
      <c r="AB664" s="837"/>
      <c r="AC664" s="845">
        <f t="shared" si="116"/>
        <v>0</v>
      </c>
      <c r="AD664" s="846">
        <f t="shared" si="117"/>
        <v>0</v>
      </c>
      <c r="AE664" s="847">
        <f t="shared" si="118"/>
        <v>0</v>
      </c>
      <c r="AF664" s="855">
        <f t="shared" si="111"/>
        <v>0</v>
      </c>
      <c r="AG664" s="848">
        <f>IF('Input Sheet'!$C$15="Yes",'Input Sheet'!$F$8,0)</f>
        <v>0</v>
      </c>
      <c r="AH664" s="846">
        <f>IF('Input Sheet'!$C$15="Yes",Rates!$E$45,0)</f>
        <v>0</v>
      </c>
      <c r="AI664" s="849">
        <f>IF('Input Sheet'!$C$15="Yes",'Input Sheet'!$F$11,0)</f>
        <v>0</v>
      </c>
      <c r="AJ664" s="850">
        <f>IF('Input Sheet'!$C$15="Yes",'Input Sheet'!$F$7,0)</f>
        <v>0</v>
      </c>
      <c r="AK664" s="856">
        <f t="shared" si="112"/>
        <v>0</v>
      </c>
      <c r="AL664" s="856">
        <f t="shared" si="113"/>
        <v>0</v>
      </c>
      <c r="AM664" s="856">
        <f t="shared" si="119"/>
        <v>0</v>
      </c>
      <c r="AN664" s="856">
        <f t="shared" si="114"/>
        <v>0</v>
      </c>
      <c r="AO664" s="852">
        <f t="shared" si="120"/>
        <v>0</v>
      </c>
      <c r="AP664" s="853">
        <f t="shared" si="121"/>
        <v>0</v>
      </c>
      <c r="AQ664" s="854">
        <f>IFERROR(P664*'Input Sheet'!$F$8/(((AI664)*AK664*2)-AN664),0)</f>
        <v>0</v>
      </c>
      <c r="AR664" s="854">
        <f>IFERROR(($P664-$AF664)*'Input Sheet'!$F$8/(((AI664)*AK664*2)-AN664),0)</f>
        <v>0</v>
      </c>
    </row>
    <row r="665" spans="2:44" s="798" customFormat="1" ht="30" customHeight="1" thickBot="1" x14ac:dyDescent="0.3">
      <c r="B665" s="835"/>
      <c r="C665" s="836"/>
      <c r="D665" s="836"/>
      <c r="E665" s="837"/>
      <c r="F665" s="837"/>
      <c r="G665" s="838"/>
      <c r="H665" s="838"/>
      <c r="I665" s="839"/>
      <c r="J665" s="839"/>
      <c r="K665" s="840"/>
      <c r="L665" s="841"/>
      <c r="M665" s="841"/>
      <c r="N665" s="842"/>
      <c r="O665" s="842"/>
      <c r="P665" s="843"/>
      <c r="Q665" s="843"/>
      <c r="R665" s="843"/>
      <c r="S665" s="844">
        <f t="shared" si="115"/>
        <v>0</v>
      </c>
      <c r="T665" s="838"/>
      <c r="U665" s="842"/>
      <c r="V665" s="843"/>
      <c r="W665" s="843"/>
      <c r="X665" s="843"/>
      <c r="Y665" s="843"/>
      <c r="Z665" s="843"/>
      <c r="AA665" s="837"/>
      <c r="AB665" s="837"/>
      <c r="AC665" s="845">
        <f t="shared" si="116"/>
        <v>0</v>
      </c>
      <c r="AD665" s="846">
        <f t="shared" si="117"/>
        <v>0</v>
      </c>
      <c r="AE665" s="847">
        <f t="shared" si="118"/>
        <v>0</v>
      </c>
      <c r="AF665" s="855">
        <f t="shared" si="111"/>
        <v>0</v>
      </c>
      <c r="AG665" s="848">
        <f>IF('Input Sheet'!$C$15="Yes",'Input Sheet'!$F$8,0)</f>
        <v>0</v>
      </c>
      <c r="AH665" s="846">
        <f>IF('Input Sheet'!$C$15="Yes",Rates!$E$45,0)</f>
        <v>0</v>
      </c>
      <c r="AI665" s="849">
        <f>IF('Input Sheet'!$C$15="Yes",'Input Sheet'!$F$11,0)</f>
        <v>0</v>
      </c>
      <c r="AJ665" s="850">
        <f>IF('Input Sheet'!$C$15="Yes",'Input Sheet'!$F$7,0)</f>
        <v>0</v>
      </c>
      <c r="AK665" s="856">
        <f t="shared" si="112"/>
        <v>0</v>
      </c>
      <c r="AL665" s="856">
        <f t="shared" si="113"/>
        <v>0</v>
      </c>
      <c r="AM665" s="856">
        <f t="shared" si="119"/>
        <v>0</v>
      </c>
      <c r="AN665" s="856">
        <f t="shared" si="114"/>
        <v>0</v>
      </c>
      <c r="AO665" s="852">
        <f t="shared" si="120"/>
        <v>0</v>
      </c>
      <c r="AP665" s="853">
        <f t="shared" si="121"/>
        <v>0</v>
      </c>
      <c r="AQ665" s="854">
        <f>IFERROR(P665*'Input Sheet'!$F$8/(((AI665)*AK665*2)-AN665),0)</f>
        <v>0</v>
      </c>
      <c r="AR665" s="854">
        <f>IFERROR(($P665-$AF665)*'Input Sheet'!$F$8/(((AI665)*AK665*2)-AN665),0)</f>
        <v>0</v>
      </c>
    </row>
    <row r="666" spans="2:44" s="798" customFormat="1" ht="30" customHeight="1" thickBot="1" x14ac:dyDescent="0.3">
      <c r="B666" s="835"/>
      <c r="C666" s="836"/>
      <c r="D666" s="836"/>
      <c r="E666" s="837"/>
      <c r="F666" s="837"/>
      <c r="G666" s="838"/>
      <c r="H666" s="838"/>
      <c r="I666" s="839"/>
      <c r="J666" s="839"/>
      <c r="K666" s="840"/>
      <c r="L666" s="841"/>
      <c r="M666" s="841"/>
      <c r="N666" s="842"/>
      <c r="O666" s="842"/>
      <c r="P666" s="843"/>
      <c r="Q666" s="843"/>
      <c r="R666" s="843"/>
      <c r="S666" s="844">
        <f t="shared" si="115"/>
        <v>0</v>
      </c>
      <c r="T666" s="838"/>
      <c r="U666" s="842"/>
      <c r="V666" s="843"/>
      <c r="W666" s="843"/>
      <c r="X666" s="843"/>
      <c r="Y666" s="843"/>
      <c r="Z666" s="843"/>
      <c r="AA666" s="837"/>
      <c r="AB666" s="837"/>
      <c r="AC666" s="845">
        <f t="shared" si="116"/>
        <v>0</v>
      </c>
      <c r="AD666" s="846">
        <f t="shared" si="117"/>
        <v>0</v>
      </c>
      <c r="AE666" s="847">
        <f t="shared" si="118"/>
        <v>0</v>
      </c>
      <c r="AF666" s="855">
        <f t="shared" si="111"/>
        <v>0</v>
      </c>
      <c r="AG666" s="848">
        <f>IF('Input Sheet'!$C$15="Yes",'Input Sheet'!$F$8,0)</f>
        <v>0</v>
      </c>
      <c r="AH666" s="846">
        <f>IF('Input Sheet'!$C$15="Yes",Rates!$E$45,0)</f>
        <v>0</v>
      </c>
      <c r="AI666" s="849">
        <f>IF('Input Sheet'!$C$15="Yes",'Input Sheet'!$F$11,0)</f>
        <v>0</v>
      </c>
      <c r="AJ666" s="850">
        <f>IF('Input Sheet'!$C$15="Yes",'Input Sheet'!$F$7,0)</f>
        <v>0</v>
      </c>
      <c r="AK666" s="856">
        <f t="shared" si="112"/>
        <v>0</v>
      </c>
      <c r="AL666" s="856">
        <f t="shared" si="113"/>
        <v>0</v>
      </c>
      <c r="AM666" s="856">
        <f t="shared" si="119"/>
        <v>0</v>
      </c>
      <c r="AN666" s="856">
        <f t="shared" si="114"/>
        <v>0</v>
      </c>
      <c r="AO666" s="852">
        <f t="shared" si="120"/>
        <v>0</v>
      </c>
      <c r="AP666" s="853">
        <f t="shared" si="121"/>
        <v>0</v>
      </c>
      <c r="AQ666" s="854">
        <f>IFERROR(P666*'Input Sheet'!$F$8/(((AI666)*AK666*2)-AN666),0)</f>
        <v>0</v>
      </c>
      <c r="AR666" s="854">
        <f>IFERROR(($P666-$AF666)*'Input Sheet'!$F$8/(((AI666)*AK666*2)-AN666),0)</f>
        <v>0</v>
      </c>
    </row>
    <row r="667" spans="2:44" s="798" customFormat="1" ht="30" customHeight="1" thickBot="1" x14ac:dyDescent="0.3">
      <c r="B667" s="835"/>
      <c r="C667" s="836"/>
      <c r="D667" s="836"/>
      <c r="E667" s="837"/>
      <c r="F667" s="837"/>
      <c r="G667" s="838"/>
      <c r="H667" s="838"/>
      <c r="I667" s="839"/>
      <c r="J667" s="839"/>
      <c r="K667" s="840"/>
      <c r="L667" s="841"/>
      <c r="M667" s="841"/>
      <c r="N667" s="842"/>
      <c r="O667" s="842"/>
      <c r="P667" s="843"/>
      <c r="Q667" s="843"/>
      <c r="R667" s="843"/>
      <c r="S667" s="844">
        <f t="shared" si="115"/>
        <v>0</v>
      </c>
      <c r="T667" s="838"/>
      <c r="U667" s="842"/>
      <c r="V667" s="843"/>
      <c r="W667" s="843"/>
      <c r="X667" s="843"/>
      <c r="Y667" s="843"/>
      <c r="Z667" s="843"/>
      <c r="AA667" s="837"/>
      <c r="AB667" s="837"/>
      <c r="AC667" s="845">
        <f t="shared" si="116"/>
        <v>0</v>
      </c>
      <c r="AD667" s="846">
        <f t="shared" si="117"/>
        <v>0</v>
      </c>
      <c r="AE667" s="847">
        <f t="shared" si="118"/>
        <v>0</v>
      </c>
      <c r="AF667" s="855">
        <f t="shared" si="111"/>
        <v>0</v>
      </c>
      <c r="AG667" s="848">
        <f>IF('Input Sheet'!$C$15="Yes",'Input Sheet'!$F$8,0)</f>
        <v>0</v>
      </c>
      <c r="AH667" s="846">
        <f>IF('Input Sheet'!$C$15="Yes",Rates!$E$45,0)</f>
        <v>0</v>
      </c>
      <c r="AI667" s="849">
        <f>IF('Input Sheet'!$C$15="Yes",'Input Sheet'!$F$11,0)</f>
        <v>0</v>
      </c>
      <c r="AJ667" s="850">
        <f>IF('Input Sheet'!$C$15="Yes",'Input Sheet'!$F$7,0)</f>
        <v>0</v>
      </c>
      <c r="AK667" s="856">
        <f t="shared" si="112"/>
        <v>0</v>
      </c>
      <c r="AL667" s="856">
        <f t="shared" si="113"/>
        <v>0</v>
      </c>
      <c r="AM667" s="856">
        <f t="shared" si="119"/>
        <v>0</v>
      </c>
      <c r="AN667" s="856">
        <f t="shared" si="114"/>
        <v>0</v>
      </c>
      <c r="AO667" s="852">
        <f t="shared" si="120"/>
        <v>0</v>
      </c>
      <c r="AP667" s="853">
        <f t="shared" si="121"/>
        <v>0</v>
      </c>
      <c r="AQ667" s="854">
        <f>IFERROR(P667*'Input Sheet'!$F$8/(((AI667)*AK667*2)-AN667),0)</f>
        <v>0</v>
      </c>
      <c r="AR667" s="854">
        <f>IFERROR(($P667-$AF667)*'Input Sheet'!$F$8/(((AI667)*AK667*2)-AN667),0)</f>
        <v>0</v>
      </c>
    </row>
    <row r="668" spans="2:44" s="798" customFormat="1" ht="30" customHeight="1" x14ac:dyDescent="0.25">
      <c r="B668" s="835"/>
      <c r="C668" s="836"/>
      <c r="D668" s="836"/>
      <c r="E668" s="837"/>
      <c r="F668" s="837"/>
      <c r="G668" s="838"/>
      <c r="H668" s="838"/>
      <c r="I668" s="839"/>
      <c r="J668" s="839"/>
      <c r="K668" s="840"/>
      <c r="L668" s="841"/>
      <c r="M668" s="841"/>
      <c r="N668" s="842"/>
      <c r="O668" s="842"/>
      <c r="P668" s="843"/>
      <c r="Q668" s="843"/>
      <c r="R668" s="843"/>
      <c r="S668" s="844">
        <f t="shared" si="115"/>
        <v>0</v>
      </c>
      <c r="T668" s="838"/>
      <c r="U668" s="842"/>
      <c r="V668" s="843"/>
      <c r="W668" s="843"/>
      <c r="X668" s="843"/>
      <c r="Y668" s="843"/>
      <c r="Z668" s="843"/>
      <c r="AA668" s="837"/>
      <c r="AB668" s="837"/>
      <c r="AC668" s="845">
        <f t="shared" si="116"/>
        <v>0</v>
      </c>
      <c r="AD668" s="846">
        <f t="shared" si="117"/>
        <v>0</v>
      </c>
      <c r="AE668" s="847">
        <f t="shared" si="118"/>
        <v>0</v>
      </c>
      <c r="AF668" s="855">
        <f t="shared" si="111"/>
        <v>0</v>
      </c>
      <c r="AG668" s="848">
        <f>IF('Input Sheet'!$C$15="Yes",'Input Sheet'!$F$8,0)</f>
        <v>0</v>
      </c>
      <c r="AH668" s="846">
        <f>IF('Input Sheet'!$C$15="Yes",Rates!$E$45,0)</f>
        <v>0</v>
      </c>
      <c r="AI668" s="849">
        <f>IF('Input Sheet'!$C$15="Yes",'Input Sheet'!$F$11,0)</f>
        <v>0</v>
      </c>
      <c r="AJ668" s="850">
        <f>IF('Input Sheet'!$C$15="Yes",'Input Sheet'!$F$7,0)</f>
        <v>0</v>
      </c>
      <c r="AK668" s="856">
        <f t="shared" si="112"/>
        <v>0</v>
      </c>
      <c r="AL668" s="856">
        <f t="shared" si="113"/>
        <v>0</v>
      </c>
      <c r="AM668" s="856">
        <f t="shared" si="119"/>
        <v>0</v>
      </c>
      <c r="AN668" s="856">
        <f t="shared" si="114"/>
        <v>0</v>
      </c>
      <c r="AO668" s="852">
        <f t="shared" si="120"/>
        <v>0</v>
      </c>
      <c r="AP668" s="853">
        <f t="shared" si="121"/>
        <v>0</v>
      </c>
      <c r="AQ668" s="854">
        <f>IFERROR(P668*'Input Sheet'!$F$8/(((AI668)*AK668*2)-AN668),0)</f>
        <v>0</v>
      </c>
      <c r="AR668" s="854">
        <f>IFERROR(($P668-$AF668)*'Input Sheet'!$F$8/(((AI668)*AK668*2)-AN668),0)</f>
        <v>0</v>
      </c>
    </row>
  </sheetData>
  <sheetProtection selectLockedCells="1"/>
  <mergeCells count="2">
    <mergeCell ref="AC6:AR6"/>
    <mergeCell ref="B6:AB6"/>
  </mergeCells>
  <conditionalFormatting sqref="AQ9:AQ668">
    <cfRule type="expression" dxfId="64" priority="3">
      <formula>OR(AQ9&lt;125%, AQ9&gt;200%)</formula>
    </cfRule>
  </conditionalFormatting>
  <conditionalFormatting sqref="AR9:AR668">
    <cfRule type="expression" dxfId="63" priority="2">
      <formula>OR(AR9&lt;125%, AR9&gt;200%)</formula>
    </cfRule>
  </conditionalFormatting>
  <conditionalFormatting sqref="L10:M668">
    <cfRule type="cellIs" dxfId="62" priority="1" operator="greaterThan">
      <formula>4000000</formula>
    </cfRule>
  </conditionalFormatting>
  <conditionalFormatting sqref="L9:M9">
    <cfRule type="cellIs" dxfId="61" priority="4" stopIfTrue="1" operator="greaterThan">
      <formula>4000000</formula>
    </cfRule>
  </conditionalFormatting>
  <dataValidations count="3">
    <dataValidation type="list" allowBlank="1" showInputMessage="1" showErrorMessage="1" sqref="G9:G668" xr:uid="{4B9BC86F-4929-4F90-A082-750E4F9A3341}">
      <formula1>"Leasehold,Freehold"</formula1>
    </dataValidation>
    <dataValidation type="list" allowBlank="1" showInputMessage="1" showErrorMessage="1" sqref="AB9:AB668" xr:uid="{8836F1A3-72A4-42A8-B385-5ECEC52D6878}">
      <formula1>"On Time,Late,Partial,Missed"</formula1>
    </dataValidation>
    <dataValidation type="list" allowBlank="1" showInputMessage="1" showErrorMessage="1" sqref="N9:N668" xr:uid="{9984393F-C959-44A6-B9C2-848542DB4D64}">
      <formula1>"Vacant,Occupied"</formula1>
    </dataValidation>
  </dataValidations>
  <pageMargins left="0.7" right="0.7" top="0.75" bottom="0.75" header="0.3" footer="0.3"/>
  <pageSetup scale="1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8EF9-2C7A-471A-A49F-F76E821813BB}">
  <sheetPr codeName="Sheet2"/>
  <dimension ref="A1:AQ321"/>
  <sheetViews>
    <sheetView zoomScaleNormal="100" workbookViewId="0">
      <selection activeCell="XFD18" sqref="XFD18"/>
    </sheetView>
  </sheetViews>
  <sheetFormatPr defaultRowHeight="15" x14ac:dyDescent="0.25"/>
  <cols>
    <col min="1" max="1" width="5.140625" style="91" customWidth="1"/>
    <col min="2" max="2" width="9.28515625" customWidth="1"/>
    <col min="4" max="4" width="17.28515625" customWidth="1"/>
    <col min="5" max="5" width="16.140625" customWidth="1"/>
    <col min="6" max="6" width="14.7109375" customWidth="1"/>
    <col min="7" max="7" width="12.140625" customWidth="1"/>
    <col min="8" max="8" width="12.140625" hidden="1" customWidth="1"/>
    <col min="9" max="9" width="15.85546875" customWidth="1"/>
    <col min="10" max="10" width="16" customWidth="1"/>
    <col min="11" max="11" width="13.85546875" customWidth="1"/>
    <col min="12" max="13" width="10.7109375" bestFit="1" customWidth="1"/>
    <col min="14" max="15" width="10.7109375" hidden="1" customWidth="1"/>
    <col min="17" max="18" width="10.7109375" bestFit="1" customWidth="1"/>
    <col min="21" max="21" width="9.85546875" customWidth="1"/>
    <col min="23" max="23" width="12.85546875" customWidth="1"/>
    <col min="25" max="25" width="12" customWidth="1"/>
    <col min="26" max="26" width="13.42578125" customWidth="1"/>
    <col min="30" max="30" width="10.28515625" customWidth="1"/>
    <col min="31" max="31" width="13.42578125" customWidth="1"/>
    <col min="32" max="43" width="9.140625" style="91"/>
  </cols>
  <sheetData>
    <row r="1" spans="2:31" s="91" customFormat="1" x14ac:dyDescent="0.25"/>
    <row r="2" spans="2:31" s="91" customFormat="1" ht="15.75" thickBot="1" x14ac:dyDescent="0.3"/>
    <row r="3" spans="2:31" ht="15.75" thickBot="1" x14ac:dyDescent="0.3">
      <c r="B3" s="1179" t="s">
        <v>208</v>
      </c>
      <c r="C3" s="1179"/>
      <c r="D3" s="1179"/>
      <c r="E3" s="335" t="s">
        <v>69</v>
      </c>
      <c r="F3" s="91"/>
      <c r="G3" s="1179" t="s">
        <v>44</v>
      </c>
      <c r="H3" s="1179"/>
      <c r="I3" s="1179"/>
      <c r="J3" s="435">
        <f>'Input Sheet'!$C$10</f>
        <v>0</v>
      </c>
      <c r="K3" s="91"/>
      <c r="L3" s="1176" t="s">
        <v>211</v>
      </c>
      <c r="M3" s="1177"/>
      <c r="N3" s="1177"/>
      <c r="O3" s="1177"/>
      <c r="P3" s="1178"/>
      <c r="Q3" s="91"/>
      <c r="R3" s="91"/>
      <c r="S3" s="91"/>
      <c r="T3" s="91"/>
      <c r="U3" s="91"/>
      <c r="V3" s="91"/>
      <c r="W3" s="91"/>
      <c r="X3" s="91"/>
      <c r="Y3" s="91"/>
      <c r="Z3" s="91"/>
      <c r="AA3" s="91"/>
      <c r="AB3" s="91"/>
      <c r="AC3" s="91"/>
      <c r="AD3" s="91"/>
      <c r="AE3" s="91"/>
    </row>
    <row r="4" spans="2:31" ht="30.75" thickBot="1" x14ac:dyDescent="0.3">
      <c r="B4" s="91"/>
      <c r="C4" s="91"/>
      <c r="D4" s="91"/>
      <c r="E4" s="91"/>
      <c r="F4" s="91"/>
      <c r="G4" s="1188" t="str">
        <f>IF(K4&gt;100,"Redemption Date", "Loan End Date")</f>
        <v>Loan End Date</v>
      </c>
      <c r="H4" s="1188"/>
      <c r="I4" s="1188"/>
      <c r="J4" s="474">
        <f>IF(K4&gt;100,K4,EDATE(J3,J10))</f>
        <v>731</v>
      </c>
      <c r="K4" s="473">
        <f>SUM(H19:H54)</f>
        <v>0</v>
      </c>
      <c r="L4" s="381" t="s">
        <v>209</v>
      </c>
      <c r="M4" s="441" t="s">
        <v>213</v>
      </c>
      <c r="N4" s="416"/>
      <c r="O4" s="416"/>
      <c r="P4" s="382" t="s">
        <v>210</v>
      </c>
      <c r="Q4" s="91"/>
      <c r="R4" s="466"/>
      <c r="S4" s="91"/>
      <c r="T4" s="91"/>
      <c r="U4" s="91"/>
      <c r="V4" s="91"/>
      <c r="W4" s="91"/>
      <c r="X4" s="91"/>
      <c r="Y4" s="91"/>
      <c r="Z4" s="91"/>
      <c r="AA4" s="91"/>
      <c r="AB4" s="91"/>
      <c r="AC4" s="91"/>
      <c r="AD4" s="91"/>
      <c r="AE4" s="91"/>
    </row>
    <row r="5" spans="2:31" x14ac:dyDescent="0.25">
      <c r="B5" s="1179" t="s">
        <v>0</v>
      </c>
      <c r="C5" s="1179"/>
      <c r="D5" s="1179"/>
      <c r="E5" s="333">
        <f>IF($E$3="Fusion",'Input Sheet'!$F$12,IF($E$3="Variable",'Input Sheet'!I12))</f>
        <v>0</v>
      </c>
      <c r="F5" s="203"/>
      <c r="G5" s="1180"/>
      <c r="H5" s="1180"/>
      <c r="I5" s="1180"/>
      <c r="J5" s="447"/>
      <c r="K5" s="91"/>
      <c r="L5" s="342">
        <v>45057</v>
      </c>
      <c r="M5" s="442">
        <f>IF(L5="","",EOMONTH(L5,0)+1)</f>
        <v>45078</v>
      </c>
      <c r="N5" s="417"/>
      <c r="O5" s="417"/>
      <c r="P5" s="343">
        <v>4.4999999999999998E-2</v>
      </c>
      <c r="Q5" s="91"/>
      <c r="R5" s="91"/>
      <c r="S5" s="91"/>
      <c r="T5" s="91"/>
      <c r="U5" s="91"/>
      <c r="V5" s="91"/>
      <c r="W5" s="91"/>
      <c r="X5" s="91"/>
      <c r="Y5" s="91"/>
      <c r="Z5" s="91"/>
      <c r="AA5" s="91"/>
      <c r="AB5" s="91"/>
      <c r="AC5" s="91"/>
      <c r="AD5" s="91"/>
      <c r="AE5" s="91"/>
    </row>
    <row r="6" spans="2:31" x14ac:dyDescent="0.25">
      <c r="B6" s="1179" t="s">
        <v>46</v>
      </c>
      <c r="C6" s="1179"/>
      <c r="D6" s="1179"/>
      <c r="E6" s="333">
        <f>IF($E$3="Fusion",'Input Sheet'!F14,IF($E$3="Variable",'Input Sheet'!I14))</f>
        <v>0</v>
      </c>
      <c r="F6" s="203"/>
      <c r="G6" s="1179" t="s">
        <v>45</v>
      </c>
      <c r="H6" s="1179"/>
      <c r="I6" s="1179"/>
      <c r="J6" s="336">
        <f>IF($E$3="Fusion",'Input Sheet'!F8,IF($E$3="Variable",'Input Sheet'!I8))</f>
        <v>24</v>
      </c>
      <c r="K6" s="91"/>
      <c r="L6" s="342">
        <v>45099</v>
      </c>
      <c r="M6" s="443">
        <f t="shared" ref="M6:M14" si="0">IF(L6="","",EOMONTH(L6,0)+1)</f>
        <v>45108</v>
      </c>
      <c r="N6" s="417"/>
      <c r="O6" s="417"/>
      <c r="P6" s="343">
        <v>0.05</v>
      </c>
      <c r="Q6" s="91"/>
      <c r="R6" s="91"/>
      <c r="S6" s="91"/>
      <c r="T6" s="91"/>
      <c r="U6" s="91"/>
      <c r="V6" s="91"/>
      <c r="W6" s="91"/>
      <c r="X6" s="91"/>
      <c r="Y6" s="91"/>
      <c r="Z6" s="91"/>
      <c r="AA6" s="91"/>
      <c r="AB6" s="91"/>
      <c r="AC6" s="91"/>
      <c r="AD6" s="91"/>
      <c r="AE6" s="91"/>
    </row>
    <row r="7" spans="2:31" x14ac:dyDescent="0.25">
      <c r="B7" s="1179" t="s">
        <v>18</v>
      </c>
      <c r="C7" s="1179"/>
      <c r="D7" s="1179"/>
      <c r="E7" s="333">
        <f>IF($E$3="Fusion",'Input Sheet'!F15,IF($E$3="Variable",'Input Sheet'!I15))</f>
        <v>0</v>
      </c>
      <c r="F7" s="203"/>
      <c r="G7" s="1179" t="s">
        <v>236</v>
      </c>
      <c r="H7" s="1179"/>
      <c r="I7" s="1179"/>
      <c r="J7" s="336">
        <f>IF($E$3="Fusion",'Input Sheet'!F7,IF($E$3="Variable",'Input Sheet'!I7))</f>
        <v>6</v>
      </c>
      <c r="K7" s="91"/>
      <c r="L7" s="342">
        <v>45141</v>
      </c>
      <c r="M7" s="443">
        <f t="shared" si="0"/>
        <v>45170</v>
      </c>
      <c r="N7" s="417"/>
      <c r="O7" s="417"/>
      <c r="P7" s="343">
        <v>5.2499999999999998E-2</v>
      </c>
      <c r="Q7" s="91"/>
      <c r="R7" s="91"/>
      <c r="S7" s="91"/>
      <c r="T7" s="91"/>
      <c r="U7" s="91"/>
      <c r="V7" s="91"/>
      <c r="W7" s="91"/>
      <c r="X7" s="91"/>
      <c r="Y7" s="91"/>
      <c r="Z7" s="91"/>
      <c r="AA7" s="91"/>
      <c r="AB7" s="91"/>
      <c r="AC7" s="91"/>
      <c r="AD7" s="91"/>
      <c r="AE7" s="91"/>
    </row>
    <row r="8" spans="2:31" x14ac:dyDescent="0.25">
      <c r="B8" s="1179" t="s">
        <v>1</v>
      </c>
      <c r="C8" s="1179"/>
      <c r="D8" s="1179"/>
      <c r="E8" s="333">
        <f>'Input Sheet'!C28</f>
        <v>0</v>
      </c>
      <c r="F8" s="203"/>
      <c r="G8" s="1179" t="s">
        <v>235</v>
      </c>
      <c r="H8" s="1179"/>
      <c r="I8" s="1179"/>
      <c r="J8" s="334">
        <f>$J$6-$J$7</f>
        <v>18</v>
      </c>
      <c r="K8" s="91"/>
      <c r="L8" s="342">
        <v>45505</v>
      </c>
      <c r="M8" s="443">
        <f t="shared" si="0"/>
        <v>45536</v>
      </c>
      <c r="N8" s="417"/>
      <c r="O8" s="417"/>
      <c r="P8" s="343">
        <v>4.7500000000000001E-2</v>
      </c>
      <c r="Q8" s="91"/>
      <c r="R8" s="91"/>
      <c r="S8" s="91"/>
      <c r="T8" s="91"/>
      <c r="U8" s="91"/>
      <c r="V8" s="91"/>
      <c r="W8" s="91"/>
      <c r="X8" s="91"/>
      <c r="Y8" s="91"/>
      <c r="Z8" s="91"/>
      <c r="AA8" s="91"/>
      <c r="AB8" s="91"/>
      <c r="AC8" s="91"/>
      <c r="AD8" s="91"/>
      <c r="AE8" s="91"/>
    </row>
    <row r="9" spans="2:31" x14ac:dyDescent="0.25">
      <c r="B9" s="1179" t="s">
        <v>229</v>
      </c>
      <c r="C9" s="1179"/>
      <c r="D9" s="1179"/>
      <c r="E9" s="333" t="e">
        <f>IF(E3="Fusion",('Input Sheet'!$F$11-'Input Sheet'!$F$9)/12*$E$5*$J$7,'Input Sheet'!I11*$E$5*$J$7)</f>
        <v>#VALUE!</v>
      </c>
      <c r="F9" s="203"/>
      <c r="G9" s="1179" t="s">
        <v>225</v>
      </c>
      <c r="H9" s="1179"/>
      <c r="I9" s="1179"/>
      <c r="J9" s="462"/>
      <c r="K9" s="91"/>
      <c r="L9" s="342">
        <v>45542</v>
      </c>
      <c r="M9" s="443">
        <f t="shared" si="0"/>
        <v>45566</v>
      </c>
      <c r="N9" s="417"/>
      <c r="O9" s="417"/>
      <c r="P9" s="343">
        <v>4.7500000000000001E-2</v>
      </c>
      <c r="Q9" s="91"/>
      <c r="R9" s="91"/>
      <c r="S9" s="91"/>
      <c r="T9" s="91"/>
      <c r="U9" s="91"/>
      <c r="V9" s="91"/>
      <c r="W9" s="463"/>
      <c r="X9" s="91"/>
      <c r="Y9" s="91"/>
      <c r="Z9" s="91"/>
      <c r="AA9" s="91"/>
      <c r="AB9" s="91"/>
      <c r="AC9" s="91"/>
      <c r="AD9" s="91"/>
      <c r="AE9" s="91"/>
    </row>
    <row r="10" spans="2:31" x14ac:dyDescent="0.25">
      <c r="B10" s="1179" t="s">
        <v>212</v>
      </c>
      <c r="C10" s="1179"/>
      <c r="D10" s="1179"/>
      <c r="E10" s="346" t="e">
        <f>IF($E$3="Fusion",('Input Sheet'!F11-BBR-'Input Sheet'!F9)/12,IF($E$3="Variable",'Input Sheet'!I5,IF($E$3="Fixed",'Input Sheet'!L5)))</f>
        <v>#VALUE!</v>
      </c>
      <c r="F10" s="203"/>
      <c r="G10" s="1179" t="s">
        <v>48</v>
      </c>
      <c r="H10" s="1179"/>
      <c r="I10" s="1179"/>
      <c r="J10" s="334">
        <f>J6+J9</f>
        <v>24</v>
      </c>
      <c r="K10" s="91"/>
      <c r="L10" s="342">
        <v>45694</v>
      </c>
      <c r="M10" s="443">
        <f t="shared" si="0"/>
        <v>45717</v>
      </c>
      <c r="N10" s="417"/>
      <c r="O10" s="417"/>
      <c r="P10" s="343">
        <v>4.4999999999999998E-2</v>
      </c>
      <c r="Q10" s="91"/>
      <c r="R10" s="91"/>
      <c r="S10" s="91"/>
      <c r="T10" s="91"/>
      <c r="U10" s="91"/>
      <c r="V10" s="91"/>
      <c r="W10" s="91"/>
      <c r="X10" s="91"/>
      <c r="Y10" s="91"/>
      <c r="Z10" s="91"/>
      <c r="AA10" s="91"/>
      <c r="AB10" s="91"/>
      <c r="AC10" s="91"/>
      <c r="AD10" s="91"/>
      <c r="AE10" s="91"/>
    </row>
    <row r="11" spans="2:31" x14ac:dyDescent="0.25">
      <c r="B11" s="1179" t="s">
        <v>234</v>
      </c>
      <c r="C11" s="1179"/>
      <c r="D11" s="1179"/>
      <c r="E11" s="346" t="e">
        <f>IF($E$3="Fusion",('Input Sheet'!F11-'Input Sheet'!$F$9)/12,IF($E$3="Variable",'Input Sheet'!I5+'Input Sheet'!$C$42))</f>
        <v>#VALUE!</v>
      </c>
      <c r="F11" s="203"/>
      <c r="G11" s="1179" t="s">
        <v>49</v>
      </c>
      <c r="H11" s="1179"/>
      <c r="I11" s="1179"/>
      <c r="J11" s="334">
        <f>IF($J$4="",J7,IF(J10-J12&lt;3,3,J10-J12))</f>
        <v>6</v>
      </c>
      <c r="K11" s="91"/>
      <c r="L11" s="342">
        <v>45785</v>
      </c>
      <c r="M11" s="443">
        <f t="shared" si="0"/>
        <v>45809</v>
      </c>
      <c r="N11" s="417"/>
      <c r="O11" s="417"/>
      <c r="P11" s="343">
        <v>4.2500000000000003E-2</v>
      </c>
      <c r="Q11" s="91"/>
      <c r="R11" s="91"/>
      <c r="S11" s="91"/>
      <c r="T11" s="91"/>
      <c r="U11" s="91"/>
      <c r="V11" s="91"/>
      <c r="W11" s="91"/>
      <c r="X11" s="91"/>
      <c r="Y11" s="91"/>
      <c r="Z11" s="91"/>
      <c r="AA11" s="91"/>
      <c r="AB11" s="91"/>
      <c r="AC11" s="91"/>
      <c r="AD11" s="91"/>
      <c r="AE11" s="91"/>
    </row>
    <row r="12" spans="2:31" x14ac:dyDescent="0.25">
      <c r="B12" s="1180" t="s">
        <v>230</v>
      </c>
      <c r="C12" s="1180"/>
      <c r="D12" s="1180"/>
      <c r="E12" s="437" t="b">
        <f>IF(E3="Fixed",'Input Sheet'!L30,IF('Payment Schedule'!E3="Variable",'Input Sheet'!I30))</f>
        <v>0</v>
      </c>
      <c r="F12" s="203"/>
      <c r="G12" s="1179" t="s">
        <v>50</v>
      </c>
      <c r="H12" s="1179"/>
      <c r="I12" s="1179"/>
      <c r="J12" s="334">
        <f>IF(J10-J7&gt;=0,J10-J7,0)</f>
        <v>18</v>
      </c>
      <c r="K12" s="91"/>
      <c r="L12" s="342"/>
      <c r="M12" s="443" t="str">
        <f t="shared" si="0"/>
        <v/>
      </c>
      <c r="N12" s="417"/>
      <c r="O12" s="417"/>
      <c r="P12" s="343"/>
      <c r="Q12" s="91"/>
      <c r="R12" s="91"/>
      <c r="S12" s="91"/>
      <c r="T12" s="91"/>
      <c r="U12" s="91"/>
      <c r="V12" s="91"/>
      <c r="W12" s="91"/>
      <c r="X12" s="91"/>
      <c r="Y12" s="91"/>
      <c r="Z12" s="91"/>
      <c r="AA12" s="91"/>
      <c r="AB12" s="91"/>
      <c r="AC12" s="91"/>
      <c r="AD12" s="91"/>
      <c r="AE12" s="91"/>
    </row>
    <row r="13" spans="2:31" x14ac:dyDescent="0.25">
      <c r="B13" s="1184" t="s">
        <v>233</v>
      </c>
      <c r="C13" s="1185"/>
      <c r="D13" s="1185"/>
      <c r="E13" s="1185"/>
      <c r="F13" s="203"/>
      <c r="G13" s="144"/>
      <c r="H13" s="144"/>
      <c r="I13" s="144"/>
      <c r="J13" s="203"/>
      <c r="K13" s="91"/>
      <c r="L13" s="342"/>
      <c r="M13" s="443" t="str">
        <f t="shared" si="0"/>
        <v/>
      </c>
      <c r="N13" s="417"/>
      <c r="O13" s="417"/>
      <c r="P13" s="343"/>
      <c r="Q13" s="91"/>
      <c r="R13" s="91"/>
      <c r="S13" s="91"/>
      <c r="T13" s="91"/>
      <c r="U13" s="91"/>
      <c r="V13" s="91"/>
      <c r="W13" s="91"/>
      <c r="X13" s="91"/>
      <c r="Y13" s="91"/>
      <c r="Z13" s="91"/>
      <c r="AA13" s="91"/>
      <c r="AB13" s="91"/>
      <c r="AC13" s="91"/>
      <c r="AD13" s="91"/>
      <c r="AE13" s="91"/>
    </row>
    <row r="14" spans="2:31" ht="15.75" thickBot="1" x14ac:dyDescent="0.3">
      <c r="B14" s="1185"/>
      <c r="C14" s="1185"/>
      <c r="D14" s="1185"/>
      <c r="E14" s="1185"/>
      <c r="F14" s="203"/>
      <c r="G14" s="91"/>
      <c r="H14" s="91"/>
      <c r="I14" s="91"/>
      <c r="J14" s="91"/>
      <c r="K14" s="91"/>
      <c r="L14" s="344"/>
      <c r="M14" s="444" t="str">
        <f t="shared" si="0"/>
        <v/>
      </c>
      <c r="N14" s="418"/>
      <c r="O14" s="418"/>
      <c r="P14" s="345"/>
      <c r="Q14" s="91"/>
      <c r="R14" s="91"/>
      <c r="S14" s="91"/>
      <c r="T14" s="91"/>
      <c r="U14" s="91"/>
      <c r="V14" s="91"/>
      <c r="W14" s="91"/>
      <c r="X14" s="91"/>
      <c r="Y14" s="91"/>
      <c r="Z14" s="91"/>
      <c r="AA14" s="91"/>
      <c r="AB14" s="91"/>
      <c r="AC14" s="91"/>
      <c r="AD14" s="91"/>
      <c r="AE14" s="91"/>
    </row>
    <row r="15" spans="2:31" x14ac:dyDescent="0.25">
      <c r="B15" s="436"/>
      <c r="C15" s="436"/>
      <c r="D15" s="436"/>
      <c r="E15" s="264"/>
      <c r="F15" s="1186" t="s">
        <v>253</v>
      </c>
      <c r="G15" s="1186"/>
      <c r="H15" s="91"/>
      <c r="I15" s="91"/>
      <c r="J15" s="91"/>
      <c r="K15" s="91"/>
      <c r="L15" s="91"/>
      <c r="M15" s="91"/>
      <c r="N15" s="91"/>
      <c r="O15" s="91"/>
      <c r="P15" s="91"/>
      <c r="Q15" s="91"/>
      <c r="R15" s="91"/>
      <c r="S15" s="91"/>
      <c r="T15" s="91"/>
      <c r="U15" s="91"/>
      <c r="V15" s="91"/>
      <c r="W15" s="91"/>
      <c r="X15" s="91"/>
      <c r="Y15" s="91"/>
      <c r="Z15" s="91"/>
      <c r="AA15" s="91"/>
      <c r="AB15" s="91"/>
      <c r="AC15" s="91"/>
      <c r="AD15" s="91"/>
      <c r="AE15" s="91"/>
    </row>
    <row r="16" spans="2:31" ht="15.75" thickBot="1" x14ac:dyDescent="0.3">
      <c r="B16" s="91"/>
      <c r="C16" s="91"/>
      <c r="D16" s="91"/>
      <c r="E16" s="91"/>
      <c r="F16" s="1187"/>
      <c r="G16" s="1187"/>
      <c r="H16" s="91"/>
      <c r="I16" s="91"/>
      <c r="J16" s="91"/>
      <c r="K16" s="91"/>
      <c r="L16" s="91"/>
      <c r="M16" s="91"/>
      <c r="N16" s="91"/>
      <c r="O16" s="91"/>
      <c r="P16" s="91"/>
      <c r="Q16" s="91"/>
      <c r="R16" s="91"/>
      <c r="S16" s="91"/>
      <c r="T16" s="91"/>
      <c r="U16" s="91"/>
      <c r="V16" s="91"/>
      <c r="W16" s="91"/>
      <c r="X16" s="91"/>
      <c r="Y16" s="91"/>
      <c r="Z16" s="91"/>
      <c r="AA16" s="91"/>
      <c r="AB16" s="91"/>
      <c r="AC16" s="91"/>
      <c r="AD16" s="91"/>
      <c r="AE16" s="91"/>
    </row>
    <row r="17" spans="2:31" ht="15.75" thickBot="1" x14ac:dyDescent="0.3">
      <c r="B17" s="91"/>
      <c r="C17" s="91"/>
      <c r="D17" s="91"/>
      <c r="E17" s="91"/>
      <c r="F17" s="1181" t="s">
        <v>214</v>
      </c>
      <c r="G17" s="1182"/>
      <c r="H17" s="448"/>
      <c r="I17" s="1181" t="s">
        <v>207</v>
      </c>
      <c r="J17" s="1183"/>
      <c r="K17" s="1183"/>
      <c r="L17" s="1182"/>
      <c r="M17" s="445"/>
      <c r="N17" s="445"/>
      <c r="O17" s="446"/>
      <c r="P17" s="1176" t="s">
        <v>53</v>
      </c>
      <c r="Q17" s="1177"/>
      <c r="R17" s="1177"/>
      <c r="S17" s="1177"/>
      <c r="T17" s="1178"/>
      <c r="U17" s="1176" t="s">
        <v>54</v>
      </c>
      <c r="V17" s="1177"/>
      <c r="W17" s="1177"/>
      <c r="X17" s="1177"/>
      <c r="Y17" s="1177"/>
      <c r="Z17" s="1177"/>
      <c r="AA17" s="1176" t="s">
        <v>57</v>
      </c>
      <c r="AB17" s="1177"/>
      <c r="AC17" s="1177"/>
      <c r="AD17" s="1177"/>
      <c r="AE17" s="1178"/>
    </row>
    <row r="18" spans="2:31" ht="64.5" thickBot="1" x14ac:dyDescent="0.3">
      <c r="C18" s="356" t="s">
        <v>205</v>
      </c>
      <c r="D18" s="357" t="s">
        <v>206</v>
      </c>
      <c r="E18" s="430" t="s">
        <v>237</v>
      </c>
      <c r="F18" s="431" t="s">
        <v>251</v>
      </c>
      <c r="G18" s="432" t="s">
        <v>52</v>
      </c>
      <c r="H18" s="469" t="s">
        <v>252</v>
      </c>
      <c r="I18" s="425" t="s">
        <v>217</v>
      </c>
      <c r="J18" s="425" t="s">
        <v>215</v>
      </c>
      <c r="K18" s="425" t="s">
        <v>216</v>
      </c>
      <c r="L18" s="426" t="s">
        <v>238</v>
      </c>
      <c r="M18" s="428" t="s">
        <v>220</v>
      </c>
      <c r="N18" s="427" t="s">
        <v>226</v>
      </c>
      <c r="O18" s="427" t="s">
        <v>227</v>
      </c>
      <c r="P18" s="429" t="s">
        <v>74</v>
      </c>
      <c r="Q18" s="425" t="s">
        <v>217</v>
      </c>
      <c r="R18" s="425" t="s">
        <v>215</v>
      </c>
      <c r="S18" s="425" t="s">
        <v>216</v>
      </c>
      <c r="T18" s="426" t="s">
        <v>218</v>
      </c>
      <c r="U18" s="429" t="s">
        <v>239</v>
      </c>
      <c r="V18" s="425" t="s">
        <v>55</v>
      </c>
      <c r="W18" s="425" t="s">
        <v>241</v>
      </c>
      <c r="X18" s="425" t="s">
        <v>240</v>
      </c>
      <c r="Y18" s="425" t="s">
        <v>56</v>
      </c>
      <c r="Z18" s="425" t="s">
        <v>242</v>
      </c>
      <c r="AA18" s="429" t="s">
        <v>219</v>
      </c>
      <c r="AB18" s="425" t="s">
        <v>243</v>
      </c>
      <c r="AC18" s="425" t="s">
        <v>244</v>
      </c>
      <c r="AD18" s="425" t="s">
        <v>245</v>
      </c>
      <c r="AE18" s="426" t="s">
        <v>246</v>
      </c>
    </row>
    <row r="19" spans="2:31" ht="15.75" thickBot="1" x14ac:dyDescent="0.3">
      <c r="B19" s="354">
        <v>1</v>
      </c>
      <c r="C19" s="464">
        <f>EDATE('Input Sheet'!$C$10,0)</f>
        <v>0</v>
      </c>
      <c r="D19" s="386" t="str">
        <f t="shared" ref="D19:D47" si="1">IF(B19&gt;$J$10,"",IF(B19&lt;=$J$7,"Rolled","Serviced"))</f>
        <v>Rolled</v>
      </c>
      <c r="E19" s="387" t="e">
        <f t="shared" ref="E19:E47" si="2">IF(B19&gt;$J$10,"",$E$10)</f>
        <v>#VALUE!</v>
      </c>
      <c r="F19" s="352"/>
      <c r="G19" s="358">
        <f>IF(B19&gt;$J$10,"",$E$5-SUM(F19:$F$19))</f>
        <v>0</v>
      </c>
      <c r="H19" s="470" t="b">
        <f>IF(AND(F19&gt;0,G18&gt;0,F19&gt;=G18),EDATE(C19,0))</f>
        <v>0</v>
      </c>
      <c r="I19" s="337">
        <f>IF(B19&gt;$J$10,"",'Input Sheet'!$C$42)</f>
        <v>3.3333333333333335E-3</v>
      </c>
      <c r="J19" s="477" t="e">
        <f t="shared" ref="J19:J47" si="3">IF(B19&gt;$J$10,"",$E$11)</f>
        <v>#VALUE!</v>
      </c>
      <c r="K19" s="337" t="e">
        <f t="shared" ref="K19:K47" si="4">IF(B19&gt;$J$10,"",J19*12)</f>
        <v>#VALUE!</v>
      </c>
      <c r="L19" s="465" t="str">
        <f t="shared" ref="L19:L47" si="5">IFERROR(IF(B19&gt;$J$11,G19*J19,$E$5*J19),"")</f>
        <v/>
      </c>
      <c r="M19" s="414" t="str">
        <f>IF(AND(B19&lt;21,$E$3="Fusion",F19&lt;&gt;""),F19*3%,"")</f>
        <v/>
      </c>
      <c r="N19" s="414"/>
      <c r="O19" s="414"/>
      <c r="P19" s="422" t="str">
        <f t="shared" ref="P19:P47" si="6">IFERROR(IF(B19&gt;$J$10,"",IF($E$3="Fixed",BBR,INDEX($P$5:$P$14,MATCH(EOMONTH(C19,-1)+1,$M$5:$M$14)))),"")</f>
        <v/>
      </c>
      <c r="Q19" s="422" t="str">
        <f>IFERROR(IF(B19&gt;$J$10,"",P19/12),"")</f>
        <v/>
      </c>
      <c r="R19" s="422" t="str">
        <f>IFERROR(IF(B19&gt;$J$10,"",E19+Q19),"")</f>
        <v/>
      </c>
      <c r="S19" s="422" t="str">
        <f>IFERROR(IF(B19&gt;$J$10,"",R19*12),"")</f>
        <v/>
      </c>
      <c r="T19" s="465">
        <f>IFERROR(IF(B19&gt;$J$10,"",G19*R19),0)</f>
        <v>0</v>
      </c>
      <c r="U19" s="360" t="e">
        <f t="shared" ref="U19:U47" si="7">IF(D19="Rolled",J19*$E$5,"")</f>
        <v>#VALUE!</v>
      </c>
      <c r="V19" s="478" t="str">
        <f t="shared" ref="V19:V47" si="8">IF(B19&lt;4,"",IF(B19&gt;$J$11,"",T19-L19))</f>
        <v/>
      </c>
      <c r="W19" s="479">
        <f>IF(B19&gt;$J$11,"",SUM($V$19:V19))</f>
        <v>0</v>
      </c>
      <c r="X19" s="480"/>
      <c r="Y19" s="478">
        <f>IF(B19&gt;$J$11,"",SUM($X$19:X19))</f>
        <v>0</v>
      </c>
      <c r="Z19" s="479">
        <f t="shared" ref="Z19:Z21" si="9">IFERROR(ROUNDDOWN(W19-Y19,0),"")</f>
        <v>0</v>
      </c>
      <c r="AA19" s="359"/>
      <c r="AB19" s="369" t="str">
        <f t="shared" ref="AB19:AB47" si="10">IF(AND(D19="Serviced", B19&gt;=$J$11+1),T19,"")</f>
        <v/>
      </c>
      <c r="AC19" s="370"/>
      <c r="AD19" s="369" t="str">
        <f t="shared" ref="AD19:AD47" si="11">IFERROR(IF(AND(D19="Serviced",B19&gt;=($J$11+1)),(AB19-AC19),""),0)</f>
        <v/>
      </c>
      <c r="AE19" s="361">
        <f>IF(B19&gt;$J$10,0,IF(B19&lt;=$J$11,0,ROUND(SUM($AD$19:AD19),0)))</f>
        <v>0</v>
      </c>
    </row>
    <row r="20" spans="2:31" ht="16.5" thickTop="1" thickBot="1" x14ac:dyDescent="0.3">
      <c r="B20" s="355">
        <v>2</v>
      </c>
      <c r="C20" s="420">
        <f>EDATE(C19,1)</f>
        <v>31</v>
      </c>
      <c r="D20" s="349" t="str">
        <f t="shared" si="1"/>
        <v>Rolled</v>
      </c>
      <c r="E20" s="388" t="e">
        <f t="shared" si="2"/>
        <v>#VALUE!</v>
      </c>
      <c r="F20" s="352"/>
      <c r="G20" s="340">
        <f>IF(B20&gt;$J$10,"",$E$5-SUM(F$19:$F20))</f>
        <v>0</v>
      </c>
      <c r="H20" s="471" t="b">
        <f t="shared" ref="H20:H47" si="12">IF(AND(F20&gt;0,G19&gt;0,F20&gt;=G19),EDATE(C20,0))</f>
        <v>0</v>
      </c>
      <c r="I20" s="337">
        <f>IF(B20&gt;$J$10,"",'Input Sheet'!$C$42)</f>
        <v>3.3333333333333335E-3</v>
      </c>
      <c r="J20" s="477" t="e">
        <f t="shared" si="3"/>
        <v>#VALUE!</v>
      </c>
      <c r="K20" s="337" t="e">
        <f t="shared" si="4"/>
        <v>#VALUE!</v>
      </c>
      <c r="L20" s="467" t="str">
        <f t="shared" si="5"/>
        <v/>
      </c>
      <c r="M20" s="414" t="str">
        <f>IF(AND(B20&lt;21,$E$3="Fusion",F20&lt;&gt;""),F20*3%,"")</f>
        <v/>
      </c>
      <c r="N20" s="414"/>
      <c r="O20" s="414"/>
      <c r="P20" s="337" t="str">
        <f t="shared" si="6"/>
        <v/>
      </c>
      <c r="Q20" s="337" t="str">
        <f t="shared" ref="Q20:Q47" si="13">IFERROR(IF(B20&gt;$J$10,"",P20/12),"")</f>
        <v/>
      </c>
      <c r="R20" s="337" t="str">
        <f t="shared" ref="R20:R47" si="14">IFERROR(IF(B20&gt;$J$10,"",E20+Q20),"")</f>
        <v/>
      </c>
      <c r="S20" s="337" t="str">
        <f t="shared" ref="S20:S47" si="15">IFERROR(IF(B20&gt;$J$10,"",R20*12),"")</f>
        <v/>
      </c>
      <c r="T20" s="467">
        <f t="shared" ref="T20:T47" si="16">IFERROR(IF(B20&gt;$J$10,"",G20*R20),0)</f>
        <v>0</v>
      </c>
      <c r="U20" s="360" t="e">
        <f t="shared" si="7"/>
        <v>#VALUE!</v>
      </c>
      <c r="V20" s="478" t="str">
        <f t="shared" si="8"/>
        <v/>
      </c>
      <c r="W20" s="362">
        <f>IF(B20&gt;$J$11,"",SUM($V$19:V20))</f>
        <v>0</v>
      </c>
      <c r="X20" s="480"/>
      <c r="Y20" s="478">
        <f>IF(B20&gt;$J$11,"",SUM($X$19:X20))</f>
        <v>0</v>
      </c>
      <c r="Z20" s="362">
        <f t="shared" si="9"/>
        <v>0</v>
      </c>
      <c r="AA20" s="347"/>
      <c r="AB20" s="481" t="str">
        <f t="shared" si="10"/>
        <v/>
      </c>
      <c r="AC20" s="482"/>
      <c r="AD20" s="481" t="str">
        <f t="shared" si="11"/>
        <v/>
      </c>
      <c r="AE20" s="363">
        <f>IF(B20&gt;$J$10,0,IF(B20&lt;=$J$11,0,ROUND(SUM($AD$19:AD20),0)))</f>
        <v>0</v>
      </c>
    </row>
    <row r="21" spans="2:31" ht="16.5" thickTop="1" thickBot="1" x14ac:dyDescent="0.3">
      <c r="B21" s="355">
        <v>3</v>
      </c>
      <c r="C21" s="420">
        <f t="shared" ref="C21:C54" si="17">EDATE(C20,1)</f>
        <v>59</v>
      </c>
      <c r="D21" s="349" t="str">
        <f t="shared" si="1"/>
        <v>Rolled</v>
      </c>
      <c r="E21" s="388" t="e">
        <f t="shared" si="2"/>
        <v>#VALUE!</v>
      </c>
      <c r="F21" s="352"/>
      <c r="G21" s="340">
        <f>IF(B21&gt;$J$10,"",$E$5-SUM(F$19:$F21))</f>
        <v>0</v>
      </c>
      <c r="H21" s="471" t="b">
        <f t="shared" si="12"/>
        <v>0</v>
      </c>
      <c r="I21" s="337">
        <f>IF(B21&gt;$J$10,"",'Input Sheet'!$C$42)</f>
        <v>3.3333333333333335E-3</v>
      </c>
      <c r="J21" s="477" t="e">
        <f t="shared" si="3"/>
        <v>#VALUE!</v>
      </c>
      <c r="K21" s="337" t="e">
        <f t="shared" si="4"/>
        <v>#VALUE!</v>
      </c>
      <c r="L21" s="467" t="str">
        <f t="shared" si="5"/>
        <v/>
      </c>
      <c r="M21" s="414" t="str">
        <f t="shared" ref="M21:M24" si="18">IF(AND(B21&lt;21,$E$3="Fusion",F21&lt;&gt;""),F21*3%,"")</f>
        <v/>
      </c>
      <c r="N21" s="414"/>
      <c r="O21" s="414"/>
      <c r="P21" s="337" t="str">
        <f t="shared" si="6"/>
        <v/>
      </c>
      <c r="Q21" s="337" t="str">
        <f t="shared" si="13"/>
        <v/>
      </c>
      <c r="R21" s="337" t="str">
        <f t="shared" si="14"/>
        <v/>
      </c>
      <c r="S21" s="337" t="str">
        <f t="shared" si="15"/>
        <v/>
      </c>
      <c r="T21" s="467">
        <f t="shared" si="16"/>
        <v>0</v>
      </c>
      <c r="U21" s="360" t="e">
        <f t="shared" si="7"/>
        <v>#VALUE!</v>
      </c>
      <c r="V21" s="478" t="str">
        <f t="shared" si="8"/>
        <v/>
      </c>
      <c r="W21" s="362">
        <f>IF(B21&gt;$J$11,"",SUM($V$19:V21))</f>
        <v>0</v>
      </c>
      <c r="X21" s="480"/>
      <c r="Y21" s="478">
        <f>IF(B21&gt;$J$11,"",SUM($X$19:X21))</f>
        <v>0</v>
      </c>
      <c r="Z21" s="362">
        <f t="shared" si="9"/>
        <v>0</v>
      </c>
      <c r="AA21" s="347"/>
      <c r="AB21" s="481" t="str">
        <f t="shared" si="10"/>
        <v/>
      </c>
      <c r="AC21" s="482"/>
      <c r="AD21" s="481" t="str">
        <f t="shared" si="11"/>
        <v/>
      </c>
      <c r="AE21" s="363">
        <f>IF(B21&gt;$J$10,0,IF(B21&lt;=$J$11,0,ROUND(SUM($AD$19:AD21),0)))</f>
        <v>0</v>
      </c>
    </row>
    <row r="22" spans="2:31" ht="16.5" thickTop="1" thickBot="1" x14ac:dyDescent="0.3">
      <c r="B22" s="355">
        <v>4</v>
      </c>
      <c r="C22" s="420">
        <f t="shared" si="17"/>
        <v>88</v>
      </c>
      <c r="D22" s="349" t="str">
        <f t="shared" si="1"/>
        <v>Rolled</v>
      </c>
      <c r="E22" s="388" t="e">
        <f t="shared" si="2"/>
        <v>#VALUE!</v>
      </c>
      <c r="F22" s="352"/>
      <c r="G22" s="340">
        <f>IF(B22&gt;$J$10,"",$E$5-SUM(F$19:$F22))</f>
        <v>0</v>
      </c>
      <c r="H22" s="471" t="b">
        <f t="shared" si="12"/>
        <v>0</v>
      </c>
      <c r="I22" s="337">
        <f>IF(B22&gt;$J$10,"",'Input Sheet'!$C$42)</f>
        <v>3.3333333333333335E-3</v>
      </c>
      <c r="J22" s="477" t="e">
        <f t="shared" si="3"/>
        <v>#VALUE!</v>
      </c>
      <c r="K22" s="337" t="e">
        <f t="shared" si="4"/>
        <v>#VALUE!</v>
      </c>
      <c r="L22" s="467" t="str">
        <f t="shared" si="5"/>
        <v/>
      </c>
      <c r="M22" s="414" t="str">
        <f t="shared" si="18"/>
        <v/>
      </c>
      <c r="N22" s="414"/>
      <c r="O22" s="414"/>
      <c r="P22" s="337" t="str">
        <f t="shared" si="6"/>
        <v/>
      </c>
      <c r="Q22" s="337" t="str">
        <f t="shared" si="13"/>
        <v/>
      </c>
      <c r="R22" s="337" t="str">
        <f t="shared" si="14"/>
        <v/>
      </c>
      <c r="S22" s="337" t="str">
        <f t="shared" si="15"/>
        <v/>
      </c>
      <c r="T22" s="467">
        <f t="shared" si="16"/>
        <v>0</v>
      </c>
      <c r="U22" s="360" t="e">
        <f t="shared" si="7"/>
        <v>#VALUE!</v>
      </c>
      <c r="V22" s="478" t="e">
        <f t="shared" si="8"/>
        <v>#VALUE!</v>
      </c>
      <c r="W22" s="362" t="e">
        <f>IF(B22&gt;$J$11,"",SUM($V$19:V22))</f>
        <v>#VALUE!</v>
      </c>
      <c r="X22" s="480"/>
      <c r="Y22" s="478">
        <f>IF(B22&gt;$J$11,"",SUM($X$19:X22))</f>
        <v>0</v>
      </c>
      <c r="Z22" s="362" t="str">
        <f>IFERROR(ROUNDDOWN(W22-Y22,0),"")</f>
        <v/>
      </c>
      <c r="AA22" s="347"/>
      <c r="AB22" s="481" t="str">
        <f t="shared" si="10"/>
        <v/>
      </c>
      <c r="AC22" s="482"/>
      <c r="AD22" s="481" t="str">
        <f t="shared" si="11"/>
        <v/>
      </c>
      <c r="AE22" s="363">
        <f>IF(B22&gt;$J$10,0,IF(B22&lt;=$J$11,0,ROUND(SUM($AD$19:AD22),0)))</f>
        <v>0</v>
      </c>
    </row>
    <row r="23" spans="2:31" ht="16.5" thickTop="1" thickBot="1" x14ac:dyDescent="0.3">
      <c r="B23" s="355">
        <v>5</v>
      </c>
      <c r="C23" s="420">
        <f t="shared" si="17"/>
        <v>119</v>
      </c>
      <c r="D23" s="349" t="str">
        <f t="shared" si="1"/>
        <v>Rolled</v>
      </c>
      <c r="E23" s="388" t="e">
        <f t="shared" si="2"/>
        <v>#VALUE!</v>
      </c>
      <c r="F23" s="352"/>
      <c r="G23" s="340">
        <f>IF(B23&gt;$J$10,"",$E$5-SUM(F$19:$F23))</f>
        <v>0</v>
      </c>
      <c r="H23" s="471" t="b">
        <f t="shared" si="12"/>
        <v>0</v>
      </c>
      <c r="I23" s="337">
        <f>IF(B23&gt;$J$10,"",'Input Sheet'!$C$42)</f>
        <v>3.3333333333333335E-3</v>
      </c>
      <c r="J23" s="477" t="e">
        <f t="shared" si="3"/>
        <v>#VALUE!</v>
      </c>
      <c r="K23" s="337" t="e">
        <f t="shared" si="4"/>
        <v>#VALUE!</v>
      </c>
      <c r="L23" s="467" t="str">
        <f t="shared" si="5"/>
        <v/>
      </c>
      <c r="M23" s="414" t="str">
        <f t="shared" si="18"/>
        <v/>
      </c>
      <c r="N23" s="414"/>
      <c r="O23" s="414"/>
      <c r="P23" s="337" t="str">
        <f t="shared" si="6"/>
        <v/>
      </c>
      <c r="Q23" s="337" t="str">
        <f t="shared" si="13"/>
        <v/>
      </c>
      <c r="R23" s="337" t="str">
        <f t="shared" si="14"/>
        <v/>
      </c>
      <c r="S23" s="337" t="str">
        <f t="shared" si="15"/>
        <v/>
      </c>
      <c r="T23" s="467">
        <f t="shared" si="16"/>
        <v>0</v>
      </c>
      <c r="U23" s="360" t="e">
        <f t="shared" si="7"/>
        <v>#VALUE!</v>
      </c>
      <c r="V23" s="478" t="e">
        <f t="shared" si="8"/>
        <v>#VALUE!</v>
      </c>
      <c r="W23" s="362" t="e">
        <f>IF(B23&gt;$J$11,"",SUM($V$19:V23))</f>
        <v>#VALUE!</v>
      </c>
      <c r="X23" s="480"/>
      <c r="Y23" s="478">
        <f>IF(B23&gt;$J$11,"",SUM($X$19:X23))</f>
        <v>0</v>
      </c>
      <c r="Z23" s="362" t="str">
        <f t="shared" ref="Z23:Z47" si="19">IFERROR(ROUNDDOWN(W23-Y23,0),"")</f>
        <v/>
      </c>
      <c r="AA23" s="347"/>
      <c r="AB23" s="481" t="str">
        <f t="shared" si="10"/>
        <v/>
      </c>
      <c r="AC23" s="482"/>
      <c r="AD23" s="481" t="str">
        <f t="shared" si="11"/>
        <v/>
      </c>
      <c r="AE23" s="363">
        <f>IF(B23&gt;$J$10,0,IF(B23&lt;=$J$11,0,ROUND(SUM($AD$19:AD23),0)))</f>
        <v>0</v>
      </c>
    </row>
    <row r="24" spans="2:31" ht="16.5" thickTop="1" thickBot="1" x14ac:dyDescent="0.3">
      <c r="B24" s="355">
        <v>6</v>
      </c>
      <c r="C24" s="420">
        <f t="shared" si="17"/>
        <v>149</v>
      </c>
      <c r="D24" s="349" t="str">
        <f t="shared" si="1"/>
        <v>Rolled</v>
      </c>
      <c r="E24" s="388" t="e">
        <f t="shared" si="2"/>
        <v>#VALUE!</v>
      </c>
      <c r="F24" s="352"/>
      <c r="G24" s="340">
        <f>IF(B24&gt;$J$10,"",$E$5-SUM(F$19:$F24))</f>
        <v>0</v>
      </c>
      <c r="H24" s="471" t="b">
        <f t="shared" si="12"/>
        <v>0</v>
      </c>
      <c r="I24" s="337">
        <f>IF(B24&gt;$J$10,"",'Input Sheet'!$C$42)</f>
        <v>3.3333333333333335E-3</v>
      </c>
      <c r="J24" s="477" t="e">
        <f t="shared" si="3"/>
        <v>#VALUE!</v>
      </c>
      <c r="K24" s="337" t="e">
        <f t="shared" si="4"/>
        <v>#VALUE!</v>
      </c>
      <c r="L24" s="467" t="str">
        <f t="shared" si="5"/>
        <v/>
      </c>
      <c r="M24" s="414" t="str">
        <f t="shared" si="18"/>
        <v/>
      </c>
      <c r="N24" s="414"/>
      <c r="O24" s="414"/>
      <c r="P24" s="337" t="str">
        <f t="shared" si="6"/>
        <v/>
      </c>
      <c r="Q24" s="337" t="str">
        <f t="shared" si="13"/>
        <v/>
      </c>
      <c r="R24" s="337" t="str">
        <f t="shared" si="14"/>
        <v/>
      </c>
      <c r="S24" s="337" t="str">
        <f t="shared" si="15"/>
        <v/>
      </c>
      <c r="T24" s="467">
        <f t="shared" si="16"/>
        <v>0</v>
      </c>
      <c r="U24" s="360" t="e">
        <f t="shared" si="7"/>
        <v>#VALUE!</v>
      </c>
      <c r="V24" s="478" t="e">
        <f t="shared" si="8"/>
        <v>#VALUE!</v>
      </c>
      <c r="W24" s="362" t="e">
        <f>IF(B24&gt;$J$11,"",SUM($V$19:V24))</f>
        <v>#VALUE!</v>
      </c>
      <c r="X24" s="480"/>
      <c r="Y24" s="478">
        <f>IF(B24&gt;$J$11,"",SUM($X$19:X24))</f>
        <v>0</v>
      </c>
      <c r="Z24" s="362" t="str">
        <f t="shared" si="19"/>
        <v/>
      </c>
      <c r="AA24" s="347"/>
      <c r="AB24" s="481" t="str">
        <f t="shared" si="10"/>
        <v/>
      </c>
      <c r="AC24" s="482"/>
      <c r="AD24" s="481" t="str">
        <f t="shared" si="11"/>
        <v/>
      </c>
      <c r="AE24" s="363">
        <f>IF(B24&gt;$J$10,0,IF(B24&lt;=$J$11,0,ROUND(SUM($AD$19:AD24),0)))</f>
        <v>0</v>
      </c>
    </row>
    <row r="25" spans="2:31" ht="16.5" thickTop="1" thickBot="1" x14ac:dyDescent="0.3">
      <c r="B25" s="355">
        <v>7</v>
      </c>
      <c r="C25" s="420">
        <f t="shared" si="17"/>
        <v>180</v>
      </c>
      <c r="D25" s="349" t="str">
        <f t="shared" si="1"/>
        <v>Serviced</v>
      </c>
      <c r="E25" s="388" t="e">
        <f t="shared" si="2"/>
        <v>#VALUE!</v>
      </c>
      <c r="F25" s="352"/>
      <c r="G25" s="340">
        <f>IF(B25&gt;$J$10,"",$E$5-SUM(F$19:$F25))</f>
        <v>0</v>
      </c>
      <c r="H25" s="471" t="b">
        <f t="shared" si="12"/>
        <v>0</v>
      </c>
      <c r="I25" s="337">
        <f>IF(B25&gt;$J$10,"",'Input Sheet'!$C$42)</f>
        <v>3.3333333333333335E-3</v>
      </c>
      <c r="J25" s="477" t="e">
        <f t="shared" si="3"/>
        <v>#VALUE!</v>
      </c>
      <c r="K25" s="337" t="e">
        <f t="shared" si="4"/>
        <v>#VALUE!</v>
      </c>
      <c r="L25" s="467" t="str">
        <f t="shared" si="5"/>
        <v/>
      </c>
      <c r="M25" s="414" t="str">
        <f t="shared" ref="M25:M30" si="20">IFERROR(IF(AND($E$3="Fusion",F25&gt;0),IF(F25&gt;=O24,(F25-O24)*3%,""),""),"")</f>
        <v/>
      </c>
      <c r="N25" s="414">
        <f t="shared" ref="N25:N54" si="21">$E$5*25%</f>
        <v>0</v>
      </c>
      <c r="O25" s="414">
        <f>IF(N25-SUM($F$25:F25)&gt;0,N25-SUM($F$25:F25),0)</f>
        <v>0</v>
      </c>
      <c r="P25" s="337" t="str">
        <f t="shared" si="6"/>
        <v/>
      </c>
      <c r="Q25" s="337" t="str">
        <f t="shared" si="13"/>
        <v/>
      </c>
      <c r="R25" s="337" t="str">
        <f t="shared" si="14"/>
        <v/>
      </c>
      <c r="S25" s="337" t="str">
        <f t="shared" si="15"/>
        <v/>
      </c>
      <c r="T25" s="467">
        <f t="shared" si="16"/>
        <v>0</v>
      </c>
      <c r="U25" s="360" t="str">
        <f t="shared" si="7"/>
        <v/>
      </c>
      <c r="V25" s="478" t="str">
        <f t="shared" si="8"/>
        <v/>
      </c>
      <c r="W25" s="362" t="str">
        <f>IF(B25&gt;$J$11,"",SUM($V$19:V25))</f>
        <v/>
      </c>
      <c r="X25" s="480"/>
      <c r="Y25" s="478" t="str">
        <f>IF(B25&gt;$J$11,"",SUM($X$19:X25))</f>
        <v/>
      </c>
      <c r="Z25" s="362" t="str">
        <f t="shared" si="19"/>
        <v/>
      </c>
      <c r="AA25" s="347"/>
      <c r="AB25" s="481">
        <f t="shared" si="10"/>
        <v>0</v>
      </c>
      <c r="AC25" s="482"/>
      <c r="AD25" s="481">
        <f t="shared" si="11"/>
        <v>0</v>
      </c>
      <c r="AE25" s="363">
        <f>IF(B25&gt;$J$10,0,IF(B25&lt;=$J$11,0,ROUND(SUM($AD$19:AD25),0)))</f>
        <v>0</v>
      </c>
    </row>
    <row r="26" spans="2:31" ht="16.5" thickTop="1" thickBot="1" x14ac:dyDescent="0.3">
      <c r="B26" s="355">
        <v>8</v>
      </c>
      <c r="C26" s="420">
        <f t="shared" si="17"/>
        <v>210</v>
      </c>
      <c r="D26" s="349" t="str">
        <f t="shared" si="1"/>
        <v>Serviced</v>
      </c>
      <c r="E26" s="388" t="e">
        <f t="shared" si="2"/>
        <v>#VALUE!</v>
      </c>
      <c r="F26" s="352"/>
      <c r="G26" s="340">
        <f>IF(B26&gt;$J$10,"",$E$5-SUM(F$19:$F26))</f>
        <v>0</v>
      </c>
      <c r="H26" s="471" t="b">
        <f t="shared" si="12"/>
        <v>0</v>
      </c>
      <c r="I26" s="337">
        <f>IF(B26&gt;$J$10,"",'Input Sheet'!$C$42)</f>
        <v>3.3333333333333335E-3</v>
      </c>
      <c r="J26" s="477" t="e">
        <f t="shared" si="3"/>
        <v>#VALUE!</v>
      </c>
      <c r="K26" s="337" t="e">
        <f t="shared" si="4"/>
        <v>#VALUE!</v>
      </c>
      <c r="L26" s="467" t="str">
        <f t="shared" si="5"/>
        <v/>
      </c>
      <c r="M26" s="414" t="str">
        <f t="shared" si="20"/>
        <v/>
      </c>
      <c r="N26" s="414">
        <f t="shared" si="21"/>
        <v>0</v>
      </c>
      <c r="O26" s="414">
        <f>IF(N26-SUM($F$25:F26)&gt;0,N26-SUM($F$25:F26),0)</f>
        <v>0</v>
      </c>
      <c r="P26" s="337" t="str">
        <f t="shared" si="6"/>
        <v/>
      </c>
      <c r="Q26" s="337" t="str">
        <f t="shared" si="13"/>
        <v/>
      </c>
      <c r="R26" s="337" t="str">
        <f t="shared" si="14"/>
        <v/>
      </c>
      <c r="S26" s="337" t="str">
        <f t="shared" si="15"/>
        <v/>
      </c>
      <c r="T26" s="467">
        <f t="shared" si="16"/>
        <v>0</v>
      </c>
      <c r="U26" s="360" t="str">
        <f t="shared" si="7"/>
        <v/>
      </c>
      <c r="V26" s="478" t="str">
        <f t="shared" si="8"/>
        <v/>
      </c>
      <c r="W26" s="362" t="str">
        <f>IF(B26&gt;$J$11,"",SUM($V$19:V26))</f>
        <v/>
      </c>
      <c r="X26" s="480"/>
      <c r="Y26" s="478" t="str">
        <f>IF(B26&gt;$J$11,"",SUM($X$19:X26))</f>
        <v/>
      </c>
      <c r="Z26" s="362" t="str">
        <f t="shared" si="19"/>
        <v/>
      </c>
      <c r="AA26" s="347"/>
      <c r="AB26" s="481">
        <f t="shared" si="10"/>
        <v>0</v>
      </c>
      <c r="AC26" s="482"/>
      <c r="AD26" s="481">
        <f t="shared" si="11"/>
        <v>0</v>
      </c>
      <c r="AE26" s="363">
        <f>IF(B26&gt;$J$10,0,IF(B26&lt;=$J$11,0,ROUND(SUM($AD$19:AD26),0)))</f>
        <v>0</v>
      </c>
    </row>
    <row r="27" spans="2:31" ht="16.5" thickTop="1" thickBot="1" x14ac:dyDescent="0.3">
      <c r="B27" s="355">
        <v>9</v>
      </c>
      <c r="C27" s="420">
        <f t="shared" si="17"/>
        <v>241</v>
      </c>
      <c r="D27" s="349" t="str">
        <f t="shared" si="1"/>
        <v>Serviced</v>
      </c>
      <c r="E27" s="388" t="e">
        <f t="shared" si="2"/>
        <v>#VALUE!</v>
      </c>
      <c r="F27" s="352"/>
      <c r="G27" s="340">
        <f>IF(B27&gt;$J$10,"",$E$5-SUM(F$19:$F27))</f>
        <v>0</v>
      </c>
      <c r="H27" s="471" t="b">
        <f t="shared" si="12"/>
        <v>0</v>
      </c>
      <c r="I27" s="337">
        <f>IF(B27&gt;$J$10,"",'Input Sheet'!$C$42)</f>
        <v>3.3333333333333335E-3</v>
      </c>
      <c r="J27" s="477" t="e">
        <f t="shared" si="3"/>
        <v>#VALUE!</v>
      </c>
      <c r="K27" s="337" t="e">
        <f t="shared" si="4"/>
        <v>#VALUE!</v>
      </c>
      <c r="L27" s="467" t="str">
        <f t="shared" si="5"/>
        <v/>
      </c>
      <c r="M27" s="414" t="str">
        <f t="shared" si="20"/>
        <v/>
      </c>
      <c r="N27" s="414">
        <f t="shared" si="21"/>
        <v>0</v>
      </c>
      <c r="O27" s="414">
        <f>IF(N27-SUM($F$25:F27)&gt;0,N27-SUM($F$25:F27),0)</f>
        <v>0</v>
      </c>
      <c r="P27" s="337" t="str">
        <f t="shared" si="6"/>
        <v/>
      </c>
      <c r="Q27" s="337" t="str">
        <f t="shared" si="13"/>
        <v/>
      </c>
      <c r="R27" s="337" t="str">
        <f t="shared" si="14"/>
        <v/>
      </c>
      <c r="S27" s="337" t="str">
        <f t="shared" si="15"/>
        <v/>
      </c>
      <c r="T27" s="467">
        <f t="shared" si="16"/>
        <v>0</v>
      </c>
      <c r="U27" s="360" t="str">
        <f t="shared" si="7"/>
        <v/>
      </c>
      <c r="V27" s="478" t="str">
        <f t="shared" si="8"/>
        <v/>
      </c>
      <c r="W27" s="362" t="str">
        <f>IF(B27&gt;$J$11,"",SUM($V$19:V27))</f>
        <v/>
      </c>
      <c r="X27" s="480"/>
      <c r="Y27" s="478" t="str">
        <f>IF(B27&gt;$J$11,"",SUM($X$19:X27))</f>
        <v/>
      </c>
      <c r="Z27" s="362" t="str">
        <f t="shared" si="19"/>
        <v/>
      </c>
      <c r="AA27" s="347"/>
      <c r="AB27" s="481">
        <f t="shared" si="10"/>
        <v>0</v>
      </c>
      <c r="AC27" s="482"/>
      <c r="AD27" s="481">
        <f t="shared" si="11"/>
        <v>0</v>
      </c>
      <c r="AE27" s="363">
        <f>IF(B27&gt;$J$10,0,IF(B27&lt;=$J$11,0,ROUND(SUM($AD$19:AD27),0)))</f>
        <v>0</v>
      </c>
    </row>
    <row r="28" spans="2:31" ht="16.5" thickTop="1" thickBot="1" x14ac:dyDescent="0.3">
      <c r="B28" s="355">
        <v>10</v>
      </c>
      <c r="C28" s="420">
        <f t="shared" si="17"/>
        <v>272</v>
      </c>
      <c r="D28" s="349" t="str">
        <f t="shared" si="1"/>
        <v>Serviced</v>
      </c>
      <c r="E28" s="388" t="e">
        <f t="shared" si="2"/>
        <v>#VALUE!</v>
      </c>
      <c r="F28" s="352"/>
      <c r="G28" s="340">
        <f>IF(B28&gt;$J$10,"",$E$5-SUM(F$19:$F28))</f>
        <v>0</v>
      </c>
      <c r="H28" s="471" t="b">
        <f t="shared" si="12"/>
        <v>0</v>
      </c>
      <c r="I28" s="337">
        <f>IF(B28&gt;$J$10,"",'Input Sheet'!$C$42)</f>
        <v>3.3333333333333335E-3</v>
      </c>
      <c r="J28" s="477" t="e">
        <f t="shared" si="3"/>
        <v>#VALUE!</v>
      </c>
      <c r="K28" s="337" t="e">
        <f t="shared" si="4"/>
        <v>#VALUE!</v>
      </c>
      <c r="L28" s="467" t="str">
        <f t="shared" si="5"/>
        <v/>
      </c>
      <c r="M28" s="414" t="str">
        <f t="shared" si="20"/>
        <v/>
      </c>
      <c r="N28" s="414">
        <f t="shared" si="21"/>
        <v>0</v>
      </c>
      <c r="O28" s="414">
        <f>IF(N28-SUM($F$25:F28)&gt;0,N28-SUM($F$25:F28),0)</f>
        <v>0</v>
      </c>
      <c r="P28" s="337" t="str">
        <f t="shared" si="6"/>
        <v/>
      </c>
      <c r="Q28" s="337" t="str">
        <f t="shared" si="13"/>
        <v/>
      </c>
      <c r="R28" s="337" t="str">
        <f t="shared" si="14"/>
        <v/>
      </c>
      <c r="S28" s="337" t="str">
        <f t="shared" si="15"/>
        <v/>
      </c>
      <c r="T28" s="467">
        <f t="shared" si="16"/>
        <v>0</v>
      </c>
      <c r="U28" s="360" t="str">
        <f t="shared" si="7"/>
        <v/>
      </c>
      <c r="V28" s="478" t="str">
        <f t="shared" si="8"/>
        <v/>
      </c>
      <c r="W28" s="362" t="str">
        <f>IF(B28&gt;$J$11,"",SUM($V$19:V28))</f>
        <v/>
      </c>
      <c r="X28" s="480"/>
      <c r="Y28" s="478" t="str">
        <f>IF(B28&gt;$J$11,"",SUM($X$19:X28))</f>
        <v/>
      </c>
      <c r="Z28" s="362" t="str">
        <f t="shared" si="19"/>
        <v/>
      </c>
      <c r="AA28" s="347"/>
      <c r="AB28" s="481">
        <f t="shared" si="10"/>
        <v>0</v>
      </c>
      <c r="AC28" s="482"/>
      <c r="AD28" s="481">
        <f t="shared" si="11"/>
        <v>0</v>
      </c>
      <c r="AE28" s="363">
        <f>IF(B28&gt;$J$10,0,IF(B28&lt;=$J$11,0,ROUND(SUM($AD$19:AD28),0)))</f>
        <v>0</v>
      </c>
    </row>
    <row r="29" spans="2:31" ht="16.5" thickTop="1" thickBot="1" x14ac:dyDescent="0.3">
      <c r="B29" s="355">
        <v>11</v>
      </c>
      <c r="C29" s="420">
        <f t="shared" si="17"/>
        <v>302</v>
      </c>
      <c r="D29" s="349" t="str">
        <f t="shared" si="1"/>
        <v>Serviced</v>
      </c>
      <c r="E29" s="388" t="e">
        <f t="shared" si="2"/>
        <v>#VALUE!</v>
      </c>
      <c r="F29" s="352"/>
      <c r="G29" s="340">
        <f>IF(B29&gt;$J$10,"",$E$5-SUM(F$19:$F29))</f>
        <v>0</v>
      </c>
      <c r="H29" s="471" t="b">
        <f t="shared" si="12"/>
        <v>0</v>
      </c>
      <c r="I29" s="337">
        <f>IF(B29&gt;$J$10,"",'Input Sheet'!$C$42)</f>
        <v>3.3333333333333335E-3</v>
      </c>
      <c r="J29" s="477" t="e">
        <f t="shared" si="3"/>
        <v>#VALUE!</v>
      </c>
      <c r="K29" s="337" t="e">
        <f t="shared" si="4"/>
        <v>#VALUE!</v>
      </c>
      <c r="L29" s="467" t="str">
        <f t="shared" si="5"/>
        <v/>
      </c>
      <c r="M29" s="414" t="str">
        <f t="shared" si="20"/>
        <v/>
      </c>
      <c r="N29" s="414">
        <f t="shared" si="21"/>
        <v>0</v>
      </c>
      <c r="O29" s="414">
        <f>IF(N29-SUM($F$25:F29)&gt;0,N29-SUM($F$25:F29),0)</f>
        <v>0</v>
      </c>
      <c r="P29" s="337" t="str">
        <f t="shared" si="6"/>
        <v/>
      </c>
      <c r="Q29" s="337" t="str">
        <f t="shared" si="13"/>
        <v/>
      </c>
      <c r="R29" s="337" t="str">
        <f t="shared" si="14"/>
        <v/>
      </c>
      <c r="S29" s="337" t="str">
        <f t="shared" si="15"/>
        <v/>
      </c>
      <c r="T29" s="467">
        <f t="shared" si="16"/>
        <v>0</v>
      </c>
      <c r="U29" s="360" t="str">
        <f t="shared" si="7"/>
        <v/>
      </c>
      <c r="V29" s="478" t="str">
        <f t="shared" si="8"/>
        <v/>
      </c>
      <c r="W29" s="362" t="str">
        <f>IF(B29&gt;$J$11,"",SUM($V$19:V29))</f>
        <v/>
      </c>
      <c r="X29" s="480"/>
      <c r="Y29" s="478" t="str">
        <f>IF(B29&gt;$J$11,"",SUM($X$19:X29))</f>
        <v/>
      </c>
      <c r="Z29" s="362" t="str">
        <f t="shared" si="19"/>
        <v/>
      </c>
      <c r="AA29" s="347"/>
      <c r="AB29" s="481">
        <f t="shared" si="10"/>
        <v>0</v>
      </c>
      <c r="AC29" s="482"/>
      <c r="AD29" s="481">
        <f t="shared" si="11"/>
        <v>0</v>
      </c>
      <c r="AE29" s="363">
        <f>IF(B29&gt;$J$10,0,IF(B29&lt;=$J$11,0,ROUND(SUM($AD$19:AD29),0)))</f>
        <v>0</v>
      </c>
    </row>
    <row r="30" spans="2:31" ht="16.5" thickTop="1" thickBot="1" x14ac:dyDescent="0.3">
      <c r="B30" s="355">
        <v>12</v>
      </c>
      <c r="C30" s="420">
        <f t="shared" si="17"/>
        <v>333</v>
      </c>
      <c r="D30" s="349" t="str">
        <f t="shared" si="1"/>
        <v>Serviced</v>
      </c>
      <c r="E30" s="388" t="e">
        <f t="shared" si="2"/>
        <v>#VALUE!</v>
      </c>
      <c r="F30" s="352"/>
      <c r="G30" s="340">
        <f>IF(B30&gt;$J$10,"",$E$5-SUM(F$19:$F30))</f>
        <v>0</v>
      </c>
      <c r="H30" s="471" t="b">
        <f t="shared" si="12"/>
        <v>0</v>
      </c>
      <c r="I30" s="337">
        <f>IF(B30&gt;$J$10,"",'Input Sheet'!$C$42)</f>
        <v>3.3333333333333335E-3</v>
      </c>
      <c r="J30" s="477" t="e">
        <f t="shared" si="3"/>
        <v>#VALUE!</v>
      </c>
      <c r="K30" s="337" t="e">
        <f t="shared" si="4"/>
        <v>#VALUE!</v>
      </c>
      <c r="L30" s="467" t="str">
        <f t="shared" si="5"/>
        <v/>
      </c>
      <c r="M30" s="414" t="str">
        <f t="shared" si="20"/>
        <v/>
      </c>
      <c r="N30" s="414">
        <f t="shared" si="21"/>
        <v>0</v>
      </c>
      <c r="O30" s="414">
        <f>IF(N30-SUM($F$25:F30)&gt;0,N30-SUM($F$25:F30),0)</f>
        <v>0</v>
      </c>
      <c r="P30" s="337" t="str">
        <f t="shared" si="6"/>
        <v/>
      </c>
      <c r="Q30" s="337" t="str">
        <f t="shared" si="13"/>
        <v/>
      </c>
      <c r="R30" s="337" t="str">
        <f t="shared" si="14"/>
        <v/>
      </c>
      <c r="S30" s="337" t="str">
        <f t="shared" si="15"/>
        <v/>
      </c>
      <c r="T30" s="467">
        <f t="shared" si="16"/>
        <v>0</v>
      </c>
      <c r="U30" s="360" t="str">
        <f t="shared" si="7"/>
        <v/>
      </c>
      <c r="V30" s="478" t="str">
        <f t="shared" si="8"/>
        <v/>
      </c>
      <c r="W30" s="362" t="str">
        <f>IF(B30&gt;$J$11,"",SUM($V$19:V30))</f>
        <v/>
      </c>
      <c r="X30" s="480"/>
      <c r="Y30" s="478" t="str">
        <f>IF(B30&gt;$J$11,"",SUM($X$19:X30))</f>
        <v/>
      </c>
      <c r="Z30" s="362" t="str">
        <f t="shared" si="19"/>
        <v/>
      </c>
      <c r="AA30" s="347"/>
      <c r="AB30" s="481">
        <f t="shared" si="10"/>
        <v>0</v>
      </c>
      <c r="AC30" s="482"/>
      <c r="AD30" s="481">
        <f t="shared" si="11"/>
        <v>0</v>
      </c>
      <c r="AE30" s="363">
        <f>IF(B30&gt;$J$10,0,IF(B30&lt;=$J$11,0,ROUND(SUM($AD$19:AD30),0)))</f>
        <v>0</v>
      </c>
    </row>
    <row r="31" spans="2:31" ht="16.5" thickTop="1" thickBot="1" x14ac:dyDescent="0.3">
      <c r="B31" s="355">
        <v>13</v>
      </c>
      <c r="C31" s="420">
        <f t="shared" si="17"/>
        <v>363</v>
      </c>
      <c r="D31" s="349" t="str">
        <f t="shared" si="1"/>
        <v>Serviced</v>
      </c>
      <c r="E31" s="388" t="e">
        <f t="shared" si="2"/>
        <v>#VALUE!</v>
      </c>
      <c r="F31" s="352"/>
      <c r="G31" s="340">
        <f>IF(B31&gt;$J$10,"",$E$5-SUM(F$19:$F31))</f>
        <v>0</v>
      </c>
      <c r="H31" s="471" t="b">
        <f t="shared" si="12"/>
        <v>0</v>
      </c>
      <c r="I31" s="337">
        <f>IF(B31&gt;$J$10,"",'Input Sheet'!$C$42)</f>
        <v>3.3333333333333335E-3</v>
      </c>
      <c r="J31" s="477" t="e">
        <f t="shared" si="3"/>
        <v>#VALUE!</v>
      </c>
      <c r="K31" s="337" t="e">
        <f t="shared" si="4"/>
        <v>#VALUE!</v>
      </c>
      <c r="L31" s="467" t="str">
        <f t="shared" si="5"/>
        <v/>
      </c>
      <c r="M31" s="414" t="str">
        <f t="shared" ref="M31:M42" si="22">IFERROR(IF(AND($E$3="Fusion",F31&gt;0),IF(F31&gt;=O30,(F31-O30)*1.5%,""),""),"")</f>
        <v/>
      </c>
      <c r="N31" s="414">
        <f t="shared" si="21"/>
        <v>0</v>
      </c>
      <c r="O31" s="414">
        <f>IF(N31-SUM($F$25:F31)&gt;0,N31-SUM($F$25:F31),0)</f>
        <v>0</v>
      </c>
      <c r="P31" s="337" t="str">
        <f t="shared" si="6"/>
        <v/>
      </c>
      <c r="Q31" s="337" t="str">
        <f t="shared" si="13"/>
        <v/>
      </c>
      <c r="R31" s="337" t="str">
        <f t="shared" si="14"/>
        <v/>
      </c>
      <c r="S31" s="337" t="str">
        <f t="shared" si="15"/>
        <v/>
      </c>
      <c r="T31" s="467">
        <f t="shared" si="16"/>
        <v>0</v>
      </c>
      <c r="U31" s="360" t="str">
        <f t="shared" si="7"/>
        <v/>
      </c>
      <c r="V31" s="478" t="str">
        <f t="shared" si="8"/>
        <v/>
      </c>
      <c r="W31" s="362" t="str">
        <f>IF(B31&gt;$J$11,"",SUM($V$19:V31))</f>
        <v/>
      </c>
      <c r="X31" s="480"/>
      <c r="Y31" s="478" t="str">
        <f>IF(B31&gt;$J$11,"",SUM($X$19:X31))</f>
        <v/>
      </c>
      <c r="Z31" s="362" t="str">
        <f t="shared" si="19"/>
        <v/>
      </c>
      <c r="AA31" s="347"/>
      <c r="AB31" s="481">
        <f t="shared" si="10"/>
        <v>0</v>
      </c>
      <c r="AC31" s="482"/>
      <c r="AD31" s="481">
        <f t="shared" si="11"/>
        <v>0</v>
      </c>
      <c r="AE31" s="363">
        <f>IF(B31&gt;$J$10,0,IF(B31&lt;=$J$11,0,ROUND(SUM($AD$19:AD31),0)))</f>
        <v>0</v>
      </c>
    </row>
    <row r="32" spans="2:31" ht="16.5" thickTop="1" thickBot="1" x14ac:dyDescent="0.3">
      <c r="B32" s="355">
        <v>14</v>
      </c>
      <c r="C32" s="420">
        <f t="shared" si="17"/>
        <v>394</v>
      </c>
      <c r="D32" s="349" t="str">
        <f t="shared" si="1"/>
        <v>Serviced</v>
      </c>
      <c r="E32" s="388" t="e">
        <f t="shared" si="2"/>
        <v>#VALUE!</v>
      </c>
      <c r="F32" s="352"/>
      <c r="G32" s="340">
        <f>IF(B32&gt;$J$10,"",$E$5-SUM(F$19:$F32))</f>
        <v>0</v>
      </c>
      <c r="H32" s="471" t="b">
        <f t="shared" si="12"/>
        <v>0</v>
      </c>
      <c r="I32" s="337">
        <f>IF(B32&gt;$J$10,"",'Input Sheet'!$C$42)</f>
        <v>3.3333333333333335E-3</v>
      </c>
      <c r="J32" s="477" t="e">
        <f t="shared" si="3"/>
        <v>#VALUE!</v>
      </c>
      <c r="K32" s="337" t="e">
        <f t="shared" si="4"/>
        <v>#VALUE!</v>
      </c>
      <c r="L32" s="467" t="str">
        <f t="shared" si="5"/>
        <v/>
      </c>
      <c r="M32" s="414" t="str">
        <f t="shared" si="22"/>
        <v/>
      </c>
      <c r="N32" s="414">
        <f t="shared" si="21"/>
        <v>0</v>
      </c>
      <c r="O32" s="414">
        <f>IF(N32-SUM($F$25:F32)&gt;0,N32-SUM($F$25:F32),0)</f>
        <v>0</v>
      </c>
      <c r="P32" s="337" t="str">
        <f t="shared" si="6"/>
        <v/>
      </c>
      <c r="Q32" s="337" t="str">
        <f t="shared" si="13"/>
        <v/>
      </c>
      <c r="R32" s="337" t="str">
        <f t="shared" si="14"/>
        <v/>
      </c>
      <c r="S32" s="337" t="str">
        <f t="shared" si="15"/>
        <v/>
      </c>
      <c r="T32" s="467">
        <f t="shared" si="16"/>
        <v>0</v>
      </c>
      <c r="U32" s="360" t="str">
        <f t="shared" si="7"/>
        <v/>
      </c>
      <c r="V32" s="478" t="str">
        <f t="shared" si="8"/>
        <v/>
      </c>
      <c r="W32" s="362" t="str">
        <f>IF(B32&gt;$J$11,"",SUM($V$19:V32))</f>
        <v/>
      </c>
      <c r="X32" s="480"/>
      <c r="Y32" s="478" t="str">
        <f>IF(B32&gt;$J$11,"",SUM($X$19:X32))</f>
        <v/>
      </c>
      <c r="Z32" s="362" t="str">
        <f t="shared" si="19"/>
        <v/>
      </c>
      <c r="AA32" s="347"/>
      <c r="AB32" s="481">
        <f t="shared" si="10"/>
        <v>0</v>
      </c>
      <c r="AC32" s="482"/>
      <c r="AD32" s="481">
        <f t="shared" si="11"/>
        <v>0</v>
      </c>
      <c r="AE32" s="363">
        <f>IF(B32&gt;$J$10,0,IF(B32&lt;=$J$11,0,ROUND(SUM($AD$19:AD32),0)))</f>
        <v>0</v>
      </c>
    </row>
    <row r="33" spans="2:31" ht="16.5" thickTop="1" thickBot="1" x14ac:dyDescent="0.3">
      <c r="B33" s="355">
        <v>15</v>
      </c>
      <c r="C33" s="420">
        <f t="shared" si="17"/>
        <v>425</v>
      </c>
      <c r="D33" s="349" t="str">
        <f t="shared" si="1"/>
        <v>Serviced</v>
      </c>
      <c r="E33" s="388" t="e">
        <f t="shared" si="2"/>
        <v>#VALUE!</v>
      </c>
      <c r="F33" s="352"/>
      <c r="G33" s="340">
        <f>IF(B33&gt;$J$10,"",$E$5-SUM(F$19:$F33))</f>
        <v>0</v>
      </c>
      <c r="H33" s="471" t="b">
        <f t="shared" si="12"/>
        <v>0</v>
      </c>
      <c r="I33" s="337">
        <f>IF(B33&gt;$J$10,"",'Input Sheet'!$C$42)</f>
        <v>3.3333333333333335E-3</v>
      </c>
      <c r="J33" s="477" t="e">
        <f t="shared" si="3"/>
        <v>#VALUE!</v>
      </c>
      <c r="K33" s="337" t="e">
        <f t="shared" si="4"/>
        <v>#VALUE!</v>
      </c>
      <c r="L33" s="467" t="str">
        <f t="shared" si="5"/>
        <v/>
      </c>
      <c r="M33" s="414" t="str">
        <f t="shared" si="22"/>
        <v/>
      </c>
      <c r="N33" s="414">
        <f t="shared" si="21"/>
        <v>0</v>
      </c>
      <c r="O33" s="414">
        <f>IF(N33-SUM($F$25:F33)&gt;0,N33-SUM($F$25:F33),0)</f>
        <v>0</v>
      </c>
      <c r="P33" s="337" t="str">
        <f t="shared" si="6"/>
        <v/>
      </c>
      <c r="Q33" s="337" t="str">
        <f t="shared" si="13"/>
        <v/>
      </c>
      <c r="R33" s="337" t="str">
        <f t="shared" si="14"/>
        <v/>
      </c>
      <c r="S33" s="337" t="str">
        <f t="shared" si="15"/>
        <v/>
      </c>
      <c r="T33" s="467">
        <f t="shared" si="16"/>
        <v>0</v>
      </c>
      <c r="U33" s="360" t="str">
        <f t="shared" si="7"/>
        <v/>
      </c>
      <c r="V33" s="478" t="str">
        <f t="shared" si="8"/>
        <v/>
      </c>
      <c r="W33" s="362" t="str">
        <f>IF(B33&gt;$J$11,"",SUM($V$19:V33))</f>
        <v/>
      </c>
      <c r="X33" s="480"/>
      <c r="Y33" s="478" t="str">
        <f>IF(B33&gt;$J$11,"",SUM($X$19:X33))</f>
        <v/>
      </c>
      <c r="Z33" s="362" t="str">
        <f t="shared" si="19"/>
        <v/>
      </c>
      <c r="AA33" s="347"/>
      <c r="AB33" s="481">
        <f t="shared" si="10"/>
        <v>0</v>
      </c>
      <c r="AC33" s="482"/>
      <c r="AD33" s="481">
        <f t="shared" si="11"/>
        <v>0</v>
      </c>
      <c r="AE33" s="363">
        <f>IF(B33&gt;$J$10,0,IF(B33&lt;=$J$11,0,ROUND(SUM($AD$19:AD33),0)))</f>
        <v>0</v>
      </c>
    </row>
    <row r="34" spans="2:31" ht="16.5" thickTop="1" thickBot="1" x14ac:dyDescent="0.3">
      <c r="B34" s="355">
        <v>16</v>
      </c>
      <c r="C34" s="420">
        <f t="shared" si="17"/>
        <v>453</v>
      </c>
      <c r="D34" s="349" t="str">
        <f t="shared" si="1"/>
        <v>Serviced</v>
      </c>
      <c r="E34" s="388" t="e">
        <f t="shared" si="2"/>
        <v>#VALUE!</v>
      </c>
      <c r="F34" s="352"/>
      <c r="G34" s="340">
        <f>IF(B34&gt;$J$10,"",$E$5-SUM(F$19:$F34))</f>
        <v>0</v>
      </c>
      <c r="H34" s="471" t="b">
        <f t="shared" si="12"/>
        <v>0</v>
      </c>
      <c r="I34" s="337">
        <f>IF(B34&gt;$J$10,"",'Input Sheet'!$C$42)</f>
        <v>3.3333333333333335E-3</v>
      </c>
      <c r="J34" s="477" t="e">
        <f t="shared" si="3"/>
        <v>#VALUE!</v>
      </c>
      <c r="K34" s="337" t="e">
        <f t="shared" si="4"/>
        <v>#VALUE!</v>
      </c>
      <c r="L34" s="467" t="str">
        <f t="shared" si="5"/>
        <v/>
      </c>
      <c r="M34" s="414" t="str">
        <f t="shared" si="22"/>
        <v/>
      </c>
      <c r="N34" s="414">
        <f t="shared" si="21"/>
        <v>0</v>
      </c>
      <c r="O34" s="414">
        <f>IF(N34-SUM($F$25:F34)&gt;0,N34-SUM($F$25:F34),0)</f>
        <v>0</v>
      </c>
      <c r="P34" s="337" t="str">
        <f t="shared" si="6"/>
        <v/>
      </c>
      <c r="Q34" s="337" t="str">
        <f t="shared" si="13"/>
        <v/>
      </c>
      <c r="R34" s="337" t="str">
        <f t="shared" si="14"/>
        <v/>
      </c>
      <c r="S34" s="337" t="str">
        <f t="shared" si="15"/>
        <v/>
      </c>
      <c r="T34" s="467">
        <f t="shared" si="16"/>
        <v>0</v>
      </c>
      <c r="U34" s="360" t="str">
        <f t="shared" si="7"/>
        <v/>
      </c>
      <c r="V34" s="478" t="str">
        <f t="shared" si="8"/>
        <v/>
      </c>
      <c r="W34" s="362" t="str">
        <f>IF(B34&gt;$J$11,"",SUM($V$19:V34))</f>
        <v/>
      </c>
      <c r="X34" s="480"/>
      <c r="Y34" s="478" t="str">
        <f>IF(B34&gt;$J$11,"",SUM($X$19:X34))</f>
        <v/>
      </c>
      <c r="Z34" s="362" t="str">
        <f t="shared" si="19"/>
        <v/>
      </c>
      <c r="AA34" s="347"/>
      <c r="AB34" s="481">
        <f t="shared" si="10"/>
        <v>0</v>
      </c>
      <c r="AC34" s="482"/>
      <c r="AD34" s="481">
        <f t="shared" si="11"/>
        <v>0</v>
      </c>
      <c r="AE34" s="363">
        <f>IF(B34&gt;$J$10,0,IF(B34&lt;=$J$11,0,ROUND(SUM($AD$19:AD34),0)))</f>
        <v>0</v>
      </c>
    </row>
    <row r="35" spans="2:31" ht="16.5" thickTop="1" thickBot="1" x14ac:dyDescent="0.3">
      <c r="B35" s="355">
        <v>17</v>
      </c>
      <c r="C35" s="420">
        <f t="shared" si="17"/>
        <v>484</v>
      </c>
      <c r="D35" s="349" t="str">
        <f t="shared" si="1"/>
        <v>Serviced</v>
      </c>
      <c r="E35" s="388" t="e">
        <f t="shared" si="2"/>
        <v>#VALUE!</v>
      </c>
      <c r="F35" s="352"/>
      <c r="G35" s="340">
        <f>IF(B35&gt;$J$10,"",$E$5-SUM(F$19:$F35))</f>
        <v>0</v>
      </c>
      <c r="H35" s="471" t="b">
        <f t="shared" si="12"/>
        <v>0</v>
      </c>
      <c r="I35" s="337">
        <f>IF(B35&gt;$J$10,"",'Input Sheet'!$C$42)</f>
        <v>3.3333333333333335E-3</v>
      </c>
      <c r="J35" s="477" t="e">
        <f t="shared" si="3"/>
        <v>#VALUE!</v>
      </c>
      <c r="K35" s="337" t="e">
        <f t="shared" si="4"/>
        <v>#VALUE!</v>
      </c>
      <c r="L35" s="467" t="str">
        <f t="shared" si="5"/>
        <v/>
      </c>
      <c r="M35" s="414" t="str">
        <f t="shared" si="22"/>
        <v/>
      </c>
      <c r="N35" s="414">
        <f t="shared" si="21"/>
        <v>0</v>
      </c>
      <c r="O35" s="414">
        <f>IF(N35-SUM($F$25:F35)&gt;0,N35-SUM($F$25:F35),0)</f>
        <v>0</v>
      </c>
      <c r="P35" s="337" t="str">
        <f t="shared" si="6"/>
        <v/>
      </c>
      <c r="Q35" s="337" t="str">
        <f t="shared" si="13"/>
        <v/>
      </c>
      <c r="R35" s="337" t="str">
        <f t="shared" si="14"/>
        <v/>
      </c>
      <c r="S35" s="337" t="str">
        <f t="shared" si="15"/>
        <v/>
      </c>
      <c r="T35" s="467">
        <f t="shared" si="16"/>
        <v>0</v>
      </c>
      <c r="U35" s="360" t="str">
        <f t="shared" si="7"/>
        <v/>
      </c>
      <c r="V35" s="478" t="str">
        <f t="shared" si="8"/>
        <v/>
      </c>
      <c r="W35" s="362" t="str">
        <f>IF(B35&gt;$J$11,"",SUM($V$19:V35))</f>
        <v/>
      </c>
      <c r="X35" s="480"/>
      <c r="Y35" s="478" t="str">
        <f>IF(B35&gt;$J$11,"",SUM($X$19:X35))</f>
        <v/>
      </c>
      <c r="Z35" s="362" t="str">
        <f t="shared" si="19"/>
        <v/>
      </c>
      <c r="AA35" s="347"/>
      <c r="AB35" s="481">
        <f t="shared" si="10"/>
        <v>0</v>
      </c>
      <c r="AC35" s="482"/>
      <c r="AD35" s="481">
        <f t="shared" si="11"/>
        <v>0</v>
      </c>
      <c r="AE35" s="363">
        <f>IF(B35&gt;$J$10,0,IF(B35&lt;=$J$11,0,ROUND(SUM($AD$19:AD35),0)))</f>
        <v>0</v>
      </c>
    </row>
    <row r="36" spans="2:31" ht="16.5" thickTop="1" thickBot="1" x14ac:dyDescent="0.3">
      <c r="B36" s="355">
        <v>18</v>
      </c>
      <c r="C36" s="420">
        <f t="shared" si="17"/>
        <v>514</v>
      </c>
      <c r="D36" s="349" t="str">
        <f t="shared" si="1"/>
        <v>Serviced</v>
      </c>
      <c r="E36" s="388" t="e">
        <f t="shared" si="2"/>
        <v>#VALUE!</v>
      </c>
      <c r="F36" s="352"/>
      <c r="G36" s="340">
        <f>IF(B36&gt;$J$10,"",$E$5-SUM(F$19:$F36))</f>
        <v>0</v>
      </c>
      <c r="H36" s="471" t="b">
        <f t="shared" si="12"/>
        <v>0</v>
      </c>
      <c r="I36" s="337">
        <f>IF(B36&gt;$J$10,"",'Input Sheet'!$C$42)</f>
        <v>3.3333333333333335E-3</v>
      </c>
      <c r="J36" s="477" t="e">
        <f t="shared" si="3"/>
        <v>#VALUE!</v>
      </c>
      <c r="K36" s="337" t="e">
        <f t="shared" si="4"/>
        <v>#VALUE!</v>
      </c>
      <c r="L36" s="467" t="str">
        <f t="shared" si="5"/>
        <v/>
      </c>
      <c r="M36" s="414" t="str">
        <f t="shared" si="22"/>
        <v/>
      </c>
      <c r="N36" s="414">
        <f t="shared" si="21"/>
        <v>0</v>
      </c>
      <c r="O36" s="414">
        <f>IF(N36-SUM($F$25:F36)&gt;0,N36-SUM($F$25:F36),0)</f>
        <v>0</v>
      </c>
      <c r="P36" s="337" t="str">
        <f t="shared" si="6"/>
        <v/>
      </c>
      <c r="Q36" s="337" t="str">
        <f t="shared" si="13"/>
        <v/>
      </c>
      <c r="R36" s="337" t="str">
        <f t="shared" si="14"/>
        <v/>
      </c>
      <c r="S36" s="337" t="str">
        <f t="shared" si="15"/>
        <v/>
      </c>
      <c r="T36" s="467">
        <f t="shared" si="16"/>
        <v>0</v>
      </c>
      <c r="U36" s="360" t="str">
        <f t="shared" si="7"/>
        <v/>
      </c>
      <c r="V36" s="478" t="str">
        <f t="shared" si="8"/>
        <v/>
      </c>
      <c r="W36" s="362" t="str">
        <f>IF(B36&gt;$J$11,"",SUM($V$19:V36))</f>
        <v/>
      </c>
      <c r="X36" s="480"/>
      <c r="Y36" s="478" t="str">
        <f>IF(B36&gt;$J$11,"",SUM($X$19:X36))</f>
        <v/>
      </c>
      <c r="Z36" s="362" t="str">
        <f t="shared" si="19"/>
        <v/>
      </c>
      <c r="AA36" s="347"/>
      <c r="AB36" s="481">
        <f t="shared" si="10"/>
        <v>0</v>
      </c>
      <c r="AC36" s="482"/>
      <c r="AD36" s="481">
        <f t="shared" si="11"/>
        <v>0</v>
      </c>
      <c r="AE36" s="363">
        <f>IF(B36&gt;$J$10,0,IF(B36&lt;=$J$11,0,ROUND(SUM($AD$19:AD36),0)))</f>
        <v>0</v>
      </c>
    </row>
    <row r="37" spans="2:31" ht="16.5" thickTop="1" thickBot="1" x14ac:dyDescent="0.3">
      <c r="B37" s="355">
        <v>19</v>
      </c>
      <c r="C37" s="420">
        <f t="shared" si="17"/>
        <v>545</v>
      </c>
      <c r="D37" s="349" t="str">
        <f t="shared" si="1"/>
        <v>Serviced</v>
      </c>
      <c r="E37" s="388" t="e">
        <f t="shared" si="2"/>
        <v>#VALUE!</v>
      </c>
      <c r="F37" s="352"/>
      <c r="G37" s="340">
        <f>IF(B37&gt;$J$10,"",$E$5-SUM(F$19:$F37))</f>
        <v>0</v>
      </c>
      <c r="H37" s="471" t="b">
        <f t="shared" si="12"/>
        <v>0</v>
      </c>
      <c r="I37" s="337">
        <f>IF(B37&gt;$J$10,"",'Input Sheet'!$C$42)</f>
        <v>3.3333333333333335E-3</v>
      </c>
      <c r="J37" s="477" t="e">
        <f t="shared" si="3"/>
        <v>#VALUE!</v>
      </c>
      <c r="K37" s="337" t="e">
        <f t="shared" si="4"/>
        <v>#VALUE!</v>
      </c>
      <c r="L37" s="467" t="str">
        <f t="shared" si="5"/>
        <v/>
      </c>
      <c r="M37" s="414" t="str">
        <f t="shared" si="22"/>
        <v/>
      </c>
      <c r="N37" s="414">
        <f t="shared" si="21"/>
        <v>0</v>
      </c>
      <c r="O37" s="414">
        <f>IF(N37-SUM($F$25:F37)&gt;0,N37-SUM($F$25:F37),0)</f>
        <v>0</v>
      </c>
      <c r="P37" s="337" t="str">
        <f t="shared" si="6"/>
        <v/>
      </c>
      <c r="Q37" s="337" t="str">
        <f t="shared" si="13"/>
        <v/>
      </c>
      <c r="R37" s="337" t="str">
        <f t="shared" si="14"/>
        <v/>
      </c>
      <c r="S37" s="337" t="str">
        <f t="shared" si="15"/>
        <v/>
      </c>
      <c r="T37" s="467">
        <f t="shared" si="16"/>
        <v>0</v>
      </c>
      <c r="U37" s="360" t="str">
        <f t="shared" si="7"/>
        <v/>
      </c>
      <c r="V37" s="478" t="str">
        <f t="shared" si="8"/>
        <v/>
      </c>
      <c r="W37" s="362" t="str">
        <f>IF(B37&gt;$J$11,"",SUM($V$19:V37))</f>
        <v/>
      </c>
      <c r="X37" s="480"/>
      <c r="Y37" s="478" t="str">
        <f>IF(B37&gt;$J$11,"",SUM($X$19:X37))</f>
        <v/>
      </c>
      <c r="Z37" s="362" t="str">
        <f t="shared" si="19"/>
        <v/>
      </c>
      <c r="AA37" s="347"/>
      <c r="AB37" s="481">
        <f t="shared" si="10"/>
        <v>0</v>
      </c>
      <c r="AC37" s="482"/>
      <c r="AD37" s="481">
        <f t="shared" si="11"/>
        <v>0</v>
      </c>
      <c r="AE37" s="363">
        <f>IF(B37&gt;$J$10,0,IF(B37&lt;=$J$11,0,ROUND(SUM($AD$19:AD37),0)))</f>
        <v>0</v>
      </c>
    </row>
    <row r="38" spans="2:31" ht="16.5" thickTop="1" thickBot="1" x14ac:dyDescent="0.3">
      <c r="B38" s="355">
        <v>20</v>
      </c>
      <c r="C38" s="420">
        <f t="shared" si="17"/>
        <v>575</v>
      </c>
      <c r="D38" s="349" t="str">
        <f t="shared" si="1"/>
        <v>Serviced</v>
      </c>
      <c r="E38" s="388" t="e">
        <f t="shared" si="2"/>
        <v>#VALUE!</v>
      </c>
      <c r="F38" s="352"/>
      <c r="G38" s="340">
        <f>IF(B38&gt;$J$10,"",$E$5-SUM(F$19:$F38))</f>
        <v>0</v>
      </c>
      <c r="H38" s="471" t="b">
        <f t="shared" si="12"/>
        <v>0</v>
      </c>
      <c r="I38" s="337">
        <f>IF(B38&gt;$J$10,"",'Input Sheet'!$C$42)</f>
        <v>3.3333333333333335E-3</v>
      </c>
      <c r="J38" s="477" t="e">
        <f t="shared" si="3"/>
        <v>#VALUE!</v>
      </c>
      <c r="K38" s="337" t="e">
        <f t="shared" si="4"/>
        <v>#VALUE!</v>
      </c>
      <c r="L38" s="467" t="str">
        <f t="shared" si="5"/>
        <v/>
      </c>
      <c r="M38" s="414" t="str">
        <f t="shared" si="22"/>
        <v/>
      </c>
      <c r="N38" s="414">
        <f t="shared" si="21"/>
        <v>0</v>
      </c>
      <c r="O38" s="414">
        <f>IF(N38-SUM($F$25:F38)&gt;0,N38-SUM($F$25:F38),0)</f>
        <v>0</v>
      </c>
      <c r="P38" s="337" t="str">
        <f t="shared" si="6"/>
        <v/>
      </c>
      <c r="Q38" s="337" t="str">
        <f t="shared" si="13"/>
        <v/>
      </c>
      <c r="R38" s="337" t="str">
        <f t="shared" si="14"/>
        <v/>
      </c>
      <c r="S38" s="337" t="str">
        <f t="shared" si="15"/>
        <v/>
      </c>
      <c r="T38" s="467">
        <f t="shared" si="16"/>
        <v>0</v>
      </c>
      <c r="U38" s="360" t="str">
        <f t="shared" si="7"/>
        <v/>
      </c>
      <c r="V38" s="478" t="str">
        <f t="shared" si="8"/>
        <v/>
      </c>
      <c r="W38" s="362" t="str">
        <f>IF(B38&gt;$J$11,"",SUM($V$19:V38))</f>
        <v/>
      </c>
      <c r="X38" s="480"/>
      <c r="Y38" s="478" t="str">
        <f>IF(B38&gt;$J$11,"",SUM($X$19:X38))</f>
        <v/>
      </c>
      <c r="Z38" s="362" t="str">
        <f t="shared" si="19"/>
        <v/>
      </c>
      <c r="AA38" s="347"/>
      <c r="AB38" s="481">
        <f t="shared" si="10"/>
        <v>0</v>
      </c>
      <c r="AC38" s="482"/>
      <c r="AD38" s="481">
        <f t="shared" si="11"/>
        <v>0</v>
      </c>
      <c r="AE38" s="363">
        <f>IF(B38&gt;$J$10,0,IF(B38&lt;=$J$11,0,ROUND(SUM($AD$19:AD38),0)))</f>
        <v>0</v>
      </c>
    </row>
    <row r="39" spans="2:31" ht="16.5" thickTop="1" thickBot="1" x14ac:dyDescent="0.3">
      <c r="B39" s="355">
        <v>21</v>
      </c>
      <c r="C39" s="420">
        <f t="shared" si="17"/>
        <v>606</v>
      </c>
      <c r="D39" s="349" t="str">
        <f t="shared" si="1"/>
        <v>Serviced</v>
      </c>
      <c r="E39" s="388" t="e">
        <f t="shared" si="2"/>
        <v>#VALUE!</v>
      </c>
      <c r="F39" s="352"/>
      <c r="G39" s="340">
        <f>IF(B39&gt;$J$10,"",$E$5-SUM(F$19:$F39))</f>
        <v>0</v>
      </c>
      <c r="H39" s="471" t="b">
        <f t="shared" si="12"/>
        <v>0</v>
      </c>
      <c r="I39" s="337">
        <f>IF(B39&gt;$J$10,"",'Input Sheet'!$C$42)</f>
        <v>3.3333333333333335E-3</v>
      </c>
      <c r="J39" s="477" t="e">
        <f t="shared" si="3"/>
        <v>#VALUE!</v>
      </c>
      <c r="K39" s="337" t="e">
        <f t="shared" si="4"/>
        <v>#VALUE!</v>
      </c>
      <c r="L39" s="467" t="str">
        <f t="shared" si="5"/>
        <v/>
      </c>
      <c r="M39" s="414" t="str">
        <f t="shared" si="22"/>
        <v/>
      </c>
      <c r="N39" s="414">
        <f t="shared" si="21"/>
        <v>0</v>
      </c>
      <c r="O39" s="414">
        <f>IF(N39-SUM($F$25:F39)&gt;0,N39-SUM($F$25:F39),0)</f>
        <v>0</v>
      </c>
      <c r="P39" s="337" t="str">
        <f t="shared" si="6"/>
        <v/>
      </c>
      <c r="Q39" s="337" t="str">
        <f t="shared" si="13"/>
        <v/>
      </c>
      <c r="R39" s="337" t="str">
        <f t="shared" si="14"/>
        <v/>
      </c>
      <c r="S39" s="337" t="str">
        <f t="shared" si="15"/>
        <v/>
      </c>
      <c r="T39" s="467">
        <f t="shared" si="16"/>
        <v>0</v>
      </c>
      <c r="U39" s="360" t="str">
        <f t="shared" si="7"/>
        <v/>
      </c>
      <c r="V39" s="478" t="str">
        <f t="shared" si="8"/>
        <v/>
      </c>
      <c r="W39" s="362" t="str">
        <f>IF(B39&gt;$J$11,"",SUM($V$19:V39))</f>
        <v/>
      </c>
      <c r="X39" s="480"/>
      <c r="Y39" s="478" t="str">
        <f>IF(B39&gt;$J$11,"",SUM($X$19:X39))</f>
        <v/>
      </c>
      <c r="Z39" s="362" t="str">
        <f t="shared" si="19"/>
        <v/>
      </c>
      <c r="AA39" s="347"/>
      <c r="AB39" s="481">
        <f t="shared" si="10"/>
        <v>0</v>
      </c>
      <c r="AC39" s="482"/>
      <c r="AD39" s="481">
        <f t="shared" si="11"/>
        <v>0</v>
      </c>
      <c r="AE39" s="363">
        <f>IF(B39&gt;$J$10,0,IF(B39&lt;=$J$11,0,ROUND(SUM($AD$19:AD39),0)))</f>
        <v>0</v>
      </c>
    </row>
    <row r="40" spans="2:31" ht="16.5" thickTop="1" thickBot="1" x14ac:dyDescent="0.3">
      <c r="B40" s="355">
        <v>22</v>
      </c>
      <c r="C40" s="420">
        <f t="shared" si="17"/>
        <v>637</v>
      </c>
      <c r="D40" s="349" t="str">
        <f t="shared" si="1"/>
        <v>Serviced</v>
      </c>
      <c r="E40" s="388" t="e">
        <f t="shared" si="2"/>
        <v>#VALUE!</v>
      </c>
      <c r="F40" s="352"/>
      <c r="G40" s="340">
        <f>IF(B40&gt;$J$10,"",$E$5-SUM(F$19:$F40))</f>
        <v>0</v>
      </c>
      <c r="H40" s="471" t="b">
        <f t="shared" si="12"/>
        <v>0</v>
      </c>
      <c r="I40" s="337">
        <f>IF(B40&gt;$J$10,"",'Input Sheet'!$C$42)</f>
        <v>3.3333333333333335E-3</v>
      </c>
      <c r="J40" s="477" t="e">
        <f t="shared" si="3"/>
        <v>#VALUE!</v>
      </c>
      <c r="K40" s="337" t="e">
        <f t="shared" si="4"/>
        <v>#VALUE!</v>
      </c>
      <c r="L40" s="467" t="str">
        <f t="shared" si="5"/>
        <v/>
      </c>
      <c r="M40" s="414" t="str">
        <f t="shared" si="22"/>
        <v/>
      </c>
      <c r="N40" s="414">
        <f t="shared" si="21"/>
        <v>0</v>
      </c>
      <c r="O40" s="414">
        <f>IF(N40-SUM($F$25:F40)&gt;0,N40-SUM($F$25:F40),0)</f>
        <v>0</v>
      </c>
      <c r="P40" s="337" t="str">
        <f t="shared" si="6"/>
        <v/>
      </c>
      <c r="Q40" s="337" t="str">
        <f t="shared" si="13"/>
        <v/>
      </c>
      <c r="R40" s="337" t="str">
        <f t="shared" si="14"/>
        <v/>
      </c>
      <c r="S40" s="337" t="str">
        <f t="shared" si="15"/>
        <v/>
      </c>
      <c r="T40" s="467">
        <f t="shared" si="16"/>
        <v>0</v>
      </c>
      <c r="U40" s="360" t="str">
        <f t="shared" si="7"/>
        <v/>
      </c>
      <c r="V40" s="478" t="str">
        <f t="shared" si="8"/>
        <v/>
      </c>
      <c r="W40" s="362" t="str">
        <f>IF(B40&gt;$J$11,"",SUM($V$19:V40))</f>
        <v/>
      </c>
      <c r="X40" s="480"/>
      <c r="Y40" s="478" t="str">
        <f>IF(B40&gt;$J$11,"",SUM($X$19:X40))</f>
        <v/>
      </c>
      <c r="Z40" s="362" t="str">
        <f t="shared" si="19"/>
        <v/>
      </c>
      <c r="AA40" s="347"/>
      <c r="AB40" s="481">
        <f t="shared" si="10"/>
        <v>0</v>
      </c>
      <c r="AC40" s="482"/>
      <c r="AD40" s="481">
        <f t="shared" si="11"/>
        <v>0</v>
      </c>
      <c r="AE40" s="363">
        <f>IF(B40&gt;$J$10,0,IF(B40&lt;=$J$11,0,ROUND(SUM($AD$19:AD40),0)))</f>
        <v>0</v>
      </c>
    </row>
    <row r="41" spans="2:31" ht="16.5" thickTop="1" thickBot="1" x14ac:dyDescent="0.3">
      <c r="B41" s="355">
        <v>23</v>
      </c>
      <c r="C41" s="420">
        <f t="shared" si="17"/>
        <v>667</v>
      </c>
      <c r="D41" s="349" t="str">
        <f t="shared" si="1"/>
        <v>Serviced</v>
      </c>
      <c r="E41" s="388" t="e">
        <f t="shared" si="2"/>
        <v>#VALUE!</v>
      </c>
      <c r="F41" s="352"/>
      <c r="G41" s="340">
        <f>IF(B41&gt;$J$10,"",$E$5-SUM(F$19:$F41))</f>
        <v>0</v>
      </c>
      <c r="H41" s="471" t="b">
        <f t="shared" si="12"/>
        <v>0</v>
      </c>
      <c r="I41" s="337">
        <f>IF(B41&gt;$J$10,"",'Input Sheet'!$C$42)</f>
        <v>3.3333333333333335E-3</v>
      </c>
      <c r="J41" s="477" t="e">
        <f t="shared" si="3"/>
        <v>#VALUE!</v>
      </c>
      <c r="K41" s="337" t="e">
        <f t="shared" si="4"/>
        <v>#VALUE!</v>
      </c>
      <c r="L41" s="467" t="str">
        <f t="shared" si="5"/>
        <v/>
      </c>
      <c r="M41" s="414" t="str">
        <f t="shared" si="22"/>
        <v/>
      </c>
      <c r="N41" s="414">
        <f t="shared" si="21"/>
        <v>0</v>
      </c>
      <c r="O41" s="414">
        <f>IF(N41-SUM($F$25:F41)&gt;0,N41-SUM($F$25:F41),0)</f>
        <v>0</v>
      </c>
      <c r="P41" s="337" t="str">
        <f t="shared" si="6"/>
        <v/>
      </c>
      <c r="Q41" s="337" t="str">
        <f t="shared" si="13"/>
        <v/>
      </c>
      <c r="R41" s="337" t="str">
        <f t="shared" si="14"/>
        <v/>
      </c>
      <c r="S41" s="337" t="str">
        <f t="shared" si="15"/>
        <v/>
      </c>
      <c r="T41" s="467">
        <f t="shared" si="16"/>
        <v>0</v>
      </c>
      <c r="U41" s="360" t="str">
        <f t="shared" si="7"/>
        <v/>
      </c>
      <c r="V41" s="478" t="str">
        <f t="shared" si="8"/>
        <v/>
      </c>
      <c r="W41" s="362" t="str">
        <f>IF(B41&gt;$J$11,"",SUM($V$19:V41))</f>
        <v/>
      </c>
      <c r="X41" s="480"/>
      <c r="Y41" s="478" t="str">
        <f>IF(B41&gt;$J$11,"",SUM($X$19:X41))</f>
        <v/>
      </c>
      <c r="Z41" s="362" t="str">
        <f t="shared" si="19"/>
        <v/>
      </c>
      <c r="AA41" s="347"/>
      <c r="AB41" s="481">
        <f t="shared" si="10"/>
        <v>0</v>
      </c>
      <c r="AC41" s="482"/>
      <c r="AD41" s="481">
        <f t="shared" si="11"/>
        <v>0</v>
      </c>
      <c r="AE41" s="363">
        <f>IF(B41&gt;$J$10,0,IF(B41&lt;=$J$11,0,ROUND(SUM($AD$19:AD41),0)))</f>
        <v>0</v>
      </c>
    </row>
    <row r="42" spans="2:31" ht="16.5" thickTop="1" thickBot="1" x14ac:dyDescent="0.3">
      <c r="B42" s="355">
        <v>24</v>
      </c>
      <c r="C42" s="420">
        <f t="shared" si="17"/>
        <v>698</v>
      </c>
      <c r="D42" s="349" t="str">
        <f t="shared" si="1"/>
        <v>Serviced</v>
      </c>
      <c r="E42" s="388" t="e">
        <f t="shared" si="2"/>
        <v>#VALUE!</v>
      </c>
      <c r="F42" s="352"/>
      <c r="G42" s="340">
        <f>IF(B42&gt;$J$10,"",$E$5-SUM(F$19:$F42))</f>
        <v>0</v>
      </c>
      <c r="H42" s="471" t="b">
        <f t="shared" si="12"/>
        <v>0</v>
      </c>
      <c r="I42" s="337">
        <f>IF(B42&gt;$J$10,"",'Input Sheet'!$C$42)</f>
        <v>3.3333333333333335E-3</v>
      </c>
      <c r="J42" s="477" t="e">
        <f t="shared" si="3"/>
        <v>#VALUE!</v>
      </c>
      <c r="K42" s="337" t="e">
        <f t="shared" si="4"/>
        <v>#VALUE!</v>
      </c>
      <c r="L42" s="467" t="str">
        <f t="shared" si="5"/>
        <v/>
      </c>
      <c r="M42" s="414" t="str">
        <f t="shared" si="22"/>
        <v/>
      </c>
      <c r="N42" s="414">
        <f t="shared" si="21"/>
        <v>0</v>
      </c>
      <c r="O42" s="414">
        <f>IF(N42-SUM($F$25:F42)&gt;0,N42-SUM($F$25:F42),0)</f>
        <v>0</v>
      </c>
      <c r="P42" s="337" t="str">
        <f t="shared" si="6"/>
        <v/>
      </c>
      <c r="Q42" s="337" t="str">
        <f t="shared" si="13"/>
        <v/>
      </c>
      <c r="R42" s="337" t="str">
        <f t="shared" si="14"/>
        <v/>
      </c>
      <c r="S42" s="337" t="str">
        <f t="shared" si="15"/>
        <v/>
      </c>
      <c r="T42" s="467">
        <f t="shared" si="16"/>
        <v>0</v>
      </c>
      <c r="U42" s="360" t="str">
        <f t="shared" si="7"/>
        <v/>
      </c>
      <c r="V42" s="478" t="str">
        <f t="shared" si="8"/>
        <v/>
      </c>
      <c r="W42" s="362" t="str">
        <f>IF(B42&gt;$J$11,"",SUM($V$19:V42))</f>
        <v/>
      </c>
      <c r="X42" s="480"/>
      <c r="Y42" s="478" t="str">
        <f>IF(B42&gt;$J$11,"",SUM($X$19:X42))</f>
        <v/>
      </c>
      <c r="Z42" s="362" t="str">
        <f t="shared" si="19"/>
        <v/>
      </c>
      <c r="AA42" s="347"/>
      <c r="AB42" s="481">
        <f t="shared" si="10"/>
        <v>0</v>
      </c>
      <c r="AC42" s="482"/>
      <c r="AD42" s="481">
        <f t="shared" si="11"/>
        <v>0</v>
      </c>
      <c r="AE42" s="363">
        <f>IF(B42&gt;$J$10,0,IF(B42&lt;=$J$11,0,ROUND(SUM($AD$19:AD42),0)))</f>
        <v>0</v>
      </c>
    </row>
    <row r="43" spans="2:31" ht="16.5" thickTop="1" thickBot="1" x14ac:dyDescent="0.3">
      <c r="B43" s="355">
        <v>25</v>
      </c>
      <c r="C43" s="420">
        <f t="shared" si="17"/>
        <v>728</v>
      </c>
      <c r="D43" s="349" t="str">
        <f t="shared" si="1"/>
        <v/>
      </c>
      <c r="E43" s="388" t="str">
        <f t="shared" si="2"/>
        <v/>
      </c>
      <c r="F43" s="352"/>
      <c r="G43" s="340" t="str">
        <f>IF(B43&gt;$J$10,"",$E$5-SUM(F$19:$F43))</f>
        <v/>
      </c>
      <c r="H43" s="471" t="b">
        <f t="shared" si="12"/>
        <v>0</v>
      </c>
      <c r="I43" s="337" t="str">
        <f>IF(B43&gt;$J$10,"",'Input Sheet'!$C$42)</f>
        <v/>
      </c>
      <c r="J43" s="477" t="str">
        <f t="shared" si="3"/>
        <v/>
      </c>
      <c r="K43" s="337" t="str">
        <f t="shared" si="4"/>
        <v/>
      </c>
      <c r="L43" s="467" t="str">
        <f t="shared" si="5"/>
        <v/>
      </c>
      <c r="M43" s="414"/>
      <c r="N43" s="414">
        <f t="shared" si="21"/>
        <v>0</v>
      </c>
      <c r="O43" s="414">
        <f>IF(N43-SUM($F$25:F43)&gt;0,N43-SUM($F$25:F43),0)</f>
        <v>0</v>
      </c>
      <c r="P43" s="337" t="str">
        <f t="shared" si="6"/>
        <v/>
      </c>
      <c r="Q43" s="337" t="str">
        <f t="shared" si="13"/>
        <v/>
      </c>
      <c r="R43" s="337" t="str">
        <f t="shared" si="14"/>
        <v/>
      </c>
      <c r="S43" s="337" t="str">
        <f t="shared" si="15"/>
        <v/>
      </c>
      <c r="T43" s="467" t="str">
        <f t="shared" si="16"/>
        <v/>
      </c>
      <c r="U43" s="360" t="str">
        <f t="shared" si="7"/>
        <v/>
      </c>
      <c r="V43" s="478" t="str">
        <f t="shared" si="8"/>
        <v/>
      </c>
      <c r="W43" s="362" t="str">
        <f>IF(B43&gt;$J$11,"",SUM($V$19:V43))</f>
        <v/>
      </c>
      <c r="X43" s="480"/>
      <c r="Y43" s="478" t="str">
        <f>IF(B43&gt;$J$11,"",SUM($X$19:X43))</f>
        <v/>
      </c>
      <c r="Z43" s="362" t="str">
        <f t="shared" si="19"/>
        <v/>
      </c>
      <c r="AA43" s="347"/>
      <c r="AB43" s="481" t="str">
        <f t="shared" si="10"/>
        <v/>
      </c>
      <c r="AC43" s="482"/>
      <c r="AD43" s="481" t="str">
        <f t="shared" si="11"/>
        <v/>
      </c>
      <c r="AE43" s="363">
        <f>IF(B43&gt;$J$10,0,IF(B43&lt;=$J$11,0,ROUND(SUM($AD$19:AD43),0)))</f>
        <v>0</v>
      </c>
    </row>
    <row r="44" spans="2:31" ht="16.5" thickTop="1" thickBot="1" x14ac:dyDescent="0.3">
      <c r="B44" s="355">
        <v>26</v>
      </c>
      <c r="C44" s="420">
        <f t="shared" si="17"/>
        <v>759</v>
      </c>
      <c r="D44" s="349" t="str">
        <f t="shared" si="1"/>
        <v/>
      </c>
      <c r="E44" s="388" t="str">
        <f t="shared" si="2"/>
        <v/>
      </c>
      <c r="F44" s="352"/>
      <c r="G44" s="340" t="str">
        <f>IF(B44&gt;$J$10,"",$E$5-SUM(F$19:$F44))</f>
        <v/>
      </c>
      <c r="H44" s="471" t="b">
        <f t="shared" si="12"/>
        <v>0</v>
      </c>
      <c r="I44" s="337" t="str">
        <f>IF(B44&gt;$J$10,"",'Input Sheet'!$C$42)</f>
        <v/>
      </c>
      <c r="J44" s="477" t="str">
        <f t="shared" si="3"/>
        <v/>
      </c>
      <c r="K44" s="337" t="str">
        <f t="shared" si="4"/>
        <v/>
      </c>
      <c r="L44" s="467" t="str">
        <f t="shared" si="5"/>
        <v/>
      </c>
      <c r="M44" s="414"/>
      <c r="N44" s="414">
        <f t="shared" si="21"/>
        <v>0</v>
      </c>
      <c r="O44" s="414">
        <f>IF(N44-SUM($F$25:F44)&gt;0,N44-SUM($F$25:F44),0)</f>
        <v>0</v>
      </c>
      <c r="P44" s="337" t="str">
        <f t="shared" si="6"/>
        <v/>
      </c>
      <c r="Q44" s="337" t="str">
        <f t="shared" si="13"/>
        <v/>
      </c>
      <c r="R44" s="337" t="str">
        <f t="shared" si="14"/>
        <v/>
      </c>
      <c r="S44" s="337" t="str">
        <f t="shared" si="15"/>
        <v/>
      </c>
      <c r="T44" s="467" t="str">
        <f t="shared" si="16"/>
        <v/>
      </c>
      <c r="U44" s="360" t="str">
        <f t="shared" si="7"/>
        <v/>
      </c>
      <c r="V44" s="478" t="str">
        <f t="shared" si="8"/>
        <v/>
      </c>
      <c r="W44" s="362" t="str">
        <f>IF(B44&gt;$J$11,"",SUM($V$19:V44))</f>
        <v/>
      </c>
      <c r="X44" s="480"/>
      <c r="Y44" s="478" t="str">
        <f>IF(B44&gt;$J$11,"",SUM($X$19:X44))</f>
        <v/>
      </c>
      <c r="Z44" s="362" t="str">
        <f t="shared" si="19"/>
        <v/>
      </c>
      <c r="AA44" s="347"/>
      <c r="AB44" s="481" t="str">
        <f t="shared" si="10"/>
        <v/>
      </c>
      <c r="AC44" s="482"/>
      <c r="AD44" s="481" t="str">
        <f t="shared" si="11"/>
        <v/>
      </c>
      <c r="AE44" s="363">
        <f>IF(B44&gt;$J$10,0,IF(B44&lt;=$J$11,0,ROUND(SUM($AD$19:AD44),0)))</f>
        <v>0</v>
      </c>
    </row>
    <row r="45" spans="2:31" ht="16.5" thickTop="1" thickBot="1" x14ac:dyDescent="0.3">
      <c r="B45" s="355">
        <v>27</v>
      </c>
      <c r="C45" s="420">
        <f t="shared" si="17"/>
        <v>790</v>
      </c>
      <c r="D45" s="349" t="str">
        <f t="shared" si="1"/>
        <v/>
      </c>
      <c r="E45" s="388" t="str">
        <f t="shared" si="2"/>
        <v/>
      </c>
      <c r="F45" s="352"/>
      <c r="G45" s="340" t="str">
        <f>IF(B45&gt;$J$10,"",$E$5-SUM(F$19:$F45))</f>
        <v/>
      </c>
      <c r="H45" s="471" t="b">
        <f t="shared" si="12"/>
        <v>0</v>
      </c>
      <c r="I45" s="337" t="str">
        <f>IF(B45&gt;$J$10,"",'Input Sheet'!$C$42)</f>
        <v/>
      </c>
      <c r="J45" s="477" t="str">
        <f t="shared" si="3"/>
        <v/>
      </c>
      <c r="K45" s="337" t="str">
        <f t="shared" si="4"/>
        <v/>
      </c>
      <c r="L45" s="467" t="str">
        <f t="shared" si="5"/>
        <v/>
      </c>
      <c r="M45" s="414"/>
      <c r="N45" s="414">
        <f t="shared" si="21"/>
        <v>0</v>
      </c>
      <c r="O45" s="414">
        <f>IF(N45-SUM($F$25:F45)&gt;0,N45-SUM($F$25:F45),0)</f>
        <v>0</v>
      </c>
      <c r="P45" s="337" t="str">
        <f t="shared" si="6"/>
        <v/>
      </c>
      <c r="Q45" s="337" t="str">
        <f t="shared" si="13"/>
        <v/>
      </c>
      <c r="R45" s="337" t="str">
        <f t="shared" si="14"/>
        <v/>
      </c>
      <c r="S45" s="337" t="str">
        <f t="shared" si="15"/>
        <v/>
      </c>
      <c r="T45" s="467" t="str">
        <f t="shared" si="16"/>
        <v/>
      </c>
      <c r="U45" s="360" t="str">
        <f t="shared" si="7"/>
        <v/>
      </c>
      <c r="V45" s="478" t="str">
        <f t="shared" si="8"/>
        <v/>
      </c>
      <c r="W45" s="362" t="str">
        <f>IF(B45&gt;$J$11,"",SUM($V$19:V45))</f>
        <v/>
      </c>
      <c r="X45" s="480"/>
      <c r="Y45" s="478" t="str">
        <f>IF(B45&gt;$J$11,"",SUM($X$19:X45))</f>
        <v/>
      </c>
      <c r="Z45" s="362" t="str">
        <f t="shared" si="19"/>
        <v/>
      </c>
      <c r="AA45" s="347"/>
      <c r="AB45" s="481" t="str">
        <f t="shared" si="10"/>
        <v/>
      </c>
      <c r="AC45" s="482"/>
      <c r="AD45" s="481" t="str">
        <f t="shared" si="11"/>
        <v/>
      </c>
      <c r="AE45" s="363">
        <f>IF(B45&gt;$J$10,0,IF(B45&lt;=$J$11,0,ROUND(SUM($AD$19:AD45),0)))</f>
        <v>0</v>
      </c>
    </row>
    <row r="46" spans="2:31" ht="16.5" thickTop="1" thickBot="1" x14ac:dyDescent="0.3">
      <c r="B46" s="355">
        <v>28</v>
      </c>
      <c r="C46" s="420">
        <f t="shared" si="17"/>
        <v>818</v>
      </c>
      <c r="D46" s="349" t="str">
        <f t="shared" si="1"/>
        <v/>
      </c>
      <c r="E46" s="388" t="str">
        <f t="shared" si="2"/>
        <v/>
      </c>
      <c r="F46" s="352"/>
      <c r="G46" s="340" t="str">
        <f>IF(B46&gt;$J$10,"",$E$5-SUM(F$19:$F46))</f>
        <v/>
      </c>
      <c r="H46" s="471" t="b">
        <f t="shared" si="12"/>
        <v>0</v>
      </c>
      <c r="I46" s="337" t="str">
        <f>IF(B46&gt;$J$10,"",'Input Sheet'!$C$42)</f>
        <v/>
      </c>
      <c r="J46" s="477" t="str">
        <f t="shared" si="3"/>
        <v/>
      </c>
      <c r="K46" s="337" t="str">
        <f t="shared" si="4"/>
        <v/>
      </c>
      <c r="L46" s="467" t="str">
        <f t="shared" si="5"/>
        <v/>
      </c>
      <c r="M46" s="414"/>
      <c r="N46" s="414">
        <f t="shared" si="21"/>
        <v>0</v>
      </c>
      <c r="O46" s="414">
        <f>IF(N46-SUM($F$25:F46)&gt;0,N46-SUM($F$25:F46),0)</f>
        <v>0</v>
      </c>
      <c r="P46" s="337" t="str">
        <f t="shared" si="6"/>
        <v/>
      </c>
      <c r="Q46" s="337" t="str">
        <f t="shared" si="13"/>
        <v/>
      </c>
      <c r="R46" s="337" t="str">
        <f t="shared" si="14"/>
        <v/>
      </c>
      <c r="S46" s="337" t="str">
        <f t="shared" si="15"/>
        <v/>
      </c>
      <c r="T46" s="467" t="str">
        <f t="shared" si="16"/>
        <v/>
      </c>
      <c r="U46" s="360" t="str">
        <f t="shared" si="7"/>
        <v/>
      </c>
      <c r="V46" s="478" t="str">
        <f t="shared" si="8"/>
        <v/>
      </c>
      <c r="W46" s="362" t="str">
        <f>IF(B46&gt;$J$11,"",SUM($V$19:V46))</f>
        <v/>
      </c>
      <c r="X46" s="480"/>
      <c r="Y46" s="478" t="str">
        <f>IF(B46&gt;$J$11,"",SUM($X$19:X46))</f>
        <v/>
      </c>
      <c r="Z46" s="362" t="str">
        <f t="shared" si="19"/>
        <v/>
      </c>
      <c r="AA46" s="347"/>
      <c r="AB46" s="481" t="str">
        <f t="shared" si="10"/>
        <v/>
      </c>
      <c r="AC46" s="482"/>
      <c r="AD46" s="481" t="str">
        <f t="shared" si="11"/>
        <v/>
      </c>
      <c r="AE46" s="363">
        <f>IF(B46&gt;$J$10,0,IF(B46&lt;=$J$11,0,ROUND(SUM($AD$19:AD46),0)))</f>
        <v>0</v>
      </c>
    </row>
    <row r="47" spans="2:31" ht="16.5" thickTop="1" thickBot="1" x14ac:dyDescent="0.3">
      <c r="B47" s="355">
        <v>29</v>
      </c>
      <c r="C47" s="420">
        <f t="shared" si="17"/>
        <v>849</v>
      </c>
      <c r="D47" s="349" t="str">
        <f t="shared" si="1"/>
        <v/>
      </c>
      <c r="E47" s="388" t="str">
        <f t="shared" si="2"/>
        <v/>
      </c>
      <c r="F47" s="352"/>
      <c r="G47" s="340" t="str">
        <f>IF(B47&gt;$J$10,"",$E$5-SUM(F$19:$F47))</f>
        <v/>
      </c>
      <c r="H47" s="471" t="b">
        <f t="shared" si="12"/>
        <v>0</v>
      </c>
      <c r="I47" s="337" t="str">
        <f>IF(B47&gt;$J$10,"",'Input Sheet'!$C$42)</f>
        <v/>
      </c>
      <c r="J47" s="477" t="str">
        <f t="shared" si="3"/>
        <v/>
      </c>
      <c r="K47" s="337" t="str">
        <f t="shared" si="4"/>
        <v/>
      </c>
      <c r="L47" s="467" t="str">
        <f t="shared" si="5"/>
        <v/>
      </c>
      <c r="M47" s="414"/>
      <c r="N47" s="414">
        <f t="shared" si="21"/>
        <v>0</v>
      </c>
      <c r="O47" s="414">
        <f>IF(N47-SUM($F$25:F47)&gt;0,N47-SUM($F$25:F47),0)</f>
        <v>0</v>
      </c>
      <c r="P47" s="337" t="str">
        <f t="shared" si="6"/>
        <v/>
      </c>
      <c r="Q47" s="337" t="str">
        <f t="shared" si="13"/>
        <v/>
      </c>
      <c r="R47" s="337" t="str">
        <f t="shared" si="14"/>
        <v/>
      </c>
      <c r="S47" s="337" t="str">
        <f t="shared" si="15"/>
        <v/>
      </c>
      <c r="T47" s="467" t="str">
        <f t="shared" si="16"/>
        <v/>
      </c>
      <c r="U47" s="360" t="str">
        <f t="shared" si="7"/>
        <v/>
      </c>
      <c r="V47" s="478" t="str">
        <f t="shared" si="8"/>
        <v/>
      </c>
      <c r="W47" s="362" t="str">
        <f>IF(B47&gt;$J$11,"",SUM($V$19:V47))</f>
        <v/>
      </c>
      <c r="X47" s="480"/>
      <c r="Y47" s="478" t="str">
        <f>IF(B47&gt;$J$11,"",SUM($X$19:X47))</f>
        <v/>
      </c>
      <c r="Z47" s="362" t="str">
        <f t="shared" si="19"/>
        <v/>
      </c>
      <c r="AA47" s="347"/>
      <c r="AB47" s="481" t="str">
        <f t="shared" si="10"/>
        <v/>
      </c>
      <c r="AC47" s="482"/>
      <c r="AD47" s="481" t="str">
        <f t="shared" si="11"/>
        <v/>
      </c>
      <c r="AE47" s="363">
        <f>IF(B47&gt;$J$10,0,IF(B47&lt;=$J$11,0,ROUND(SUM($AD$19:AD47),0)))</f>
        <v>0</v>
      </c>
    </row>
    <row r="48" spans="2:31" ht="16.5" thickTop="1" thickBot="1" x14ac:dyDescent="0.3">
      <c r="B48" s="355">
        <v>30</v>
      </c>
      <c r="C48" s="420">
        <f t="shared" si="17"/>
        <v>879</v>
      </c>
      <c r="D48" s="349" t="str">
        <f t="shared" ref="D48:D54" si="23">IF(B48&gt;$J$10,"",IF(B48&lt;=$J$7,"Rolled","Serviced"))</f>
        <v/>
      </c>
      <c r="E48" s="388" t="str">
        <f t="shared" ref="E48:E54" si="24">IF(B48&gt;$J$10,"",$E$10)</f>
        <v/>
      </c>
      <c r="F48" s="352"/>
      <c r="G48" s="340" t="str">
        <f>IF(B48&gt;$J$10,"",$E$5-SUM(F$19:$F48))</f>
        <v/>
      </c>
      <c r="H48" s="471" t="b">
        <f t="shared" ref="H48:H54" si="25">IF(AND(F48&gt;0,G47&gt;0,F48&gt;=G47),EDATE(C48,0))</f>
        <v>0</v>
      </c>
      <c r="I48" s="337" t="str">
        <f>IF(B48&gt;$J$10,"",'Input Sheet'!$C$42)</f>
        <v/>
      </c>
      <c r="J48" s="477" t="str">
        <f t="shared" ref="J48:J54" si="26">IF(B48&gt;$J$10,"",$E$11)</f>
        <v/>
      </c>
      <c r="K48" s="337" t="str">
        <f t="shared" ref="K48:K54" si="27">IF(B48&gt;$J$10,"",J48*12)</f>
        <v/>
      </c>
      <c r="L48" s="467" t="str">
        <f t="shared" ref="L48:L54" si="28">IFERROR(IF(B48&gt;$J$11,G48*J48,$E$5*J48),"")</f>
        <v/>
      </c>
      <c r="M48" s="414"/>
      <c r="N48" s="414">
        <f t="shared" si="21"/>
        <v>0</v>
      </c>
      <c r="O48" s="414">
        <f>IF(N48-SUM($F$25:F48)&gt;0,N48-SUM($F$25:F48),0)</f>
        <v>0</v>
      </c>
      <c r="P48" s="337" t="str">
        <f t="shared" ref="P48:P54" si="29">IFERROR(IF(B48&gt;$J$10,"",IF($E$3="Fixed",BBR,INDEX($P$5:$P$14,MATCH(EOMONTH(C48,-1)+1,$M$5:$M$14)))),"")</f>
        <v/>
      </c>
      <c r="Q48" s="337" t="str">
        <f t="shared" ref="Q48:Q54" si="30">IFERROR(IF(B48&gt;$J$10,"",P48/12),"")</f>
        <v/>
      </c>
      <c r="R48" s="337" t="str">
        <f t="shared" ref="R48:R54" si="31">IFERROR(IF(B48&gt;$J$10,"",E48+Q48),"")</f>
        <v/>
      </c>
      <c r="S48" s="337" t="str">
        <f t="shared" ref="S48:S54" si="32">IFERROR(IF(B48&gt;$J$10,"",R48*12),"")</f>
        <v/>
      </c>
      <c r="T48" s="467" t="str">
        <f t="shared" ref="T48:T54" si="33">IFERROR(IF(B48&gt;$J$10,"",G48*R48),0)</f>
        <v/>
      </c>
      <c r="U48" s="360" t="str">
        <f t="shared" ref="U48:U54" si="34">IF(D48="Rolled",J48*$E$5,"")</f>
        <v/>
      </c>
      <c r="V48" s="478" t="str">
        <f t="shared" ref="V48:V54" si="35">IF(B48&lt;4,"",IF(B48&gt;$J$11,"",T48-L48))</f>
        <v/>
      </c>
      <c r="W48" s="362" t="str">
        <f>IF(B48&gt;$J$11,"",SUM($V$19:V48))</f>
        <v/>
      </c>
      <c r="X48" s="480"/>
      <c r="Y48" s="478" t="str">
        <f>IF(B48&gt;$J$11,"",SUM($X$19:X48))</f>
        <v/>
      </c>
      <c r="Z48" s="362" t="str">
        <f t="shared" ref="Z48:Z54" si="36">IFERROR(ROUNDDOWN(W48-Y48,0),"")</f>
        <v/>
      </c>
      <c r="AA48" s="347"/>
      <c r="AB48" s="481" t="str">
        <f t="shared" ref="AB48:AB54" si="37">IF(AND(D48="Serviced", B48&gt;=$J$11+1),T48,"")</f>
        <v/>
      </c>
      <c r="AC48" s="482"/>
      <c r="AD48" s="481" t="str">
        <f t="shared" ref="AD48:AD54" si="38">IFERROR(IF(AND(D48="Serviced",B48&gt;=($J$11+1)),(AB48-AC48),""),0)</f>
        <v/>
      </c>
      <c r="AE48" s="363">
        <f>IF(B48&gt;$J$10,0,IF(B48&lt;=$J$11,0,ROUND(SUM($AD$19:AD48),0)))</f>
        <v>0</v>
      </c>
    </row>
    <row r="49" spans="2:31" ht="16.5" thickTop="1" thickBot="1" x14ac:dyDescent="0.3">
      <c r="B49" s="355">
        <v>31</v>
      </c>
      <c r="C49" s="420">
        <f t="shared" si="17"/>
        <v>910</v>
      </c>
      <c r="D49" s="349" t="str">
        <f t="shared" si="23"/>
        <v/>
      </c>
      <c r="E49" s="388" t="str">
        <f t="shared" si="24"/>
        <v/>
      </c>
      <c r="F49" s="352"/>
      <c r="G49" s="340" t="str">
        <f>IF(B49&gt;$J$10,"",$E$5-SUM(F$19:$F49))</f>
        <v/>
      </c>
      <c r="H49" s="471" t="b">
        <f t="shared" si="25"/>
        <v>0</v>
      </c>
      <c r="I49" s="337" t="str">
        <f>IF(B49&gt;$J$10,"",'Input Sheet'!$C$42)</f>
        <v/>
      </c>
      <c r="J49" s="477" t="str">
        <f t="shared" si="26"/>
        <v/>
      </c>
      <c r="K49" s="337" t="str">
        <f t="shared" si="27"/>
        <v/>
      </c>
      <c r="L49" s="467" t="str">
        <f t="shared" si="28"/>
        <v/>
      </c>
      <c r="M49" s="414"/>
      <c r="N49" s="414">
        <f t="shared" si="21"/>
        <v>0</v>
      </c>
      <c r="O49" s="414">
        <f>IF(N49-SUM($F$25:F49)&gt;0,N49-SUM($F$25:F49),0)</f>
        <v>0</v>
      </c>
      <c r="P49" s="337" t="str">
        <f t="shared" si="29"/>
        <v/>
      </c>
      <c r="Q49" s="337" t="str">
        <f t="shared" si="30"/>
        <v/>
      </c>
      <c r="R49" s="337" t="str">
        <f t="shared" si="31"/>
        <v/>
      </c>
      <c r="S49" s="337" t="str">
        <f t="shared" si="32"/>
        <v/>
      </c>
      <c r="T49" s="467" t="str">
        <f t="shared" si="33"/>
        <v/>
      </c>
      <c r="U49" s="360" t="str">
        <f t="shared" si="34"/>
        <v/>
      </c>
      <c r="V49" s="478" t="str">
        <f t="shared" si="35"/>
        <v/>
      </c>
      <c r="W49" s="362" t="str">
        <f>IF(B49&gt;$J$11,"",SUM($V$19:V49))</f>
        <v/>
      </c>
      <c r="X49" s="480"/>
      <c r="Y49" s="478" t="str">
        <f>IF(B49&gt;$J$11,"",SUM($X$19:X49))</f>
        <v/>
      </c>
      <c r="Z49" s="362" t="str">
        <f t="shared" si="36"/>
        <v/>
      </c>
      <c r="AA49" s="347"/>
      <c r="AB49" s="481" t="str">
        <f t="shared" si="37"/>
        <v/>
      </c>
      <c r="AC49" s="482"/>
      <c r="AD49" s="481" t="str">
        <f t="shared" si="38"/>
        <v/>
      </c>
      <c r="AE49" s="363">
        <f>IF(B49&gt;$J$10,0,IF(B49&lt;=$J$11,0,ROUND(SUM($AD$19:AD49),0)))</f>
        <v>0</v>
      </c>
    </row>
    <row r="50" spans="2:31" ht="16.5" thickTop="1" thickBot="1" x14ac:dyDescent="0.3">
      <c r="B50" s="355">
        <v>32</v>
      </c>
      <c r="C50" s="420">
        <f t="shared" si="17"/>
        <v>940</v>
      </c>
      <c r="D50" s="349" t="str">
        <f t="shared" si="23"/>
        <v/>
      </c>
      <c r="E50" s="388" t="str">
        <f t="shared" si="24"/>
        <v/>
      </c>
      <c r="F50" s="352"/>
      <c r="G50" s="340" t="str">
        <f>IF(B50&gt;$J$10,"",$E$5-SUM(F$19:$F50))</f>
        <v/>
      </c>
      <c r="H50" s="471" t="b">
        <f t="shared" si="25"/>
        <v>0</v>
      </c>
      <c r="I50" s="337" t="str">
        <f>IF(B50&gt;$J$10,"",'Input Sheet'!$C$42)</f>
        <v/>
      </c>
      <c r="J50" s="477" t="str">
        <f t="shared" si="26"/>
        <v/>
      </c>
      <c r="K50" s="337" t="str">
        <f t="shared" si="27"/>
        <v/>
      </c>
      <c r="L50" s="467" t="str">
        <f t="shared" si="28"/>
        <v/>
      </c>
      <c r="M50" s="414"/>
      <c r="N50" s="414">
        <f t="shared" si="21"/>
        <v>0</v>
      </c>
      <c r="O50" s="414">
        <f>IF(N50-SUM($F$25:F50)&gt;0,N50-SUM($F$25:F50),0)</f>
        <v>0</v>
      </c>
      <c r="P50" s="337" t="str">
        <f t="shared" si="29"/>
        <v/>
      </c>
      <c r="Q50" s="337" t="str">
        <f t="shared" si="30"/>
        <v/>
      </c>
      <c r="R50" s="337" t="str">
        <f t="shared" si="31"/>
        <v/>
      </c>
      <c r="S50" s="337" t="str">
        <f t="shared" si="32"/>
        <v/>
      </c>
      <c r="T50" s="467" t="str">
        <f t="shared" si="33"/>
        <v/>
      </c>
      <c r="U50" s="360" t="str">
        <f t="shared" si="34"/>
        <v/>
      </c>
      <c r="V50" s="478" t="str">
        <f t="shared" si="35"/>
        <v/>
      </c>
      <c r="W50" s="362" t="str">
        <f>IF(B50&gt;$J$11,"",SUM($V$19:V50))</f>
        <v/>
      </c>
      <c r="X50" s="480"/>
      <c r="Y50" s="478" t="str">
        <f>IF(B50&gt;$J$11,"",SUM($X$19:X50))</f>
        <v/>
      </c>
      <c r="Z50" s="362" t="str">
        <f t="shared" si="36"/>
        <v/>
      </c>
      <c r="AA50" s="347"/>
      <c r="AB50" s="481" t="str">
        <f t="shared" si="37"/>
        <v/>
      </c>
      <c r="AC50" s="482"/>
      <c r="AD50" s="481" t="str">
        <f t="shared" si="38"/>
        <v/>
      </c>
      <c r="AE50" s="363">
        <f>IF(B50&gt;$J$10,0,IF(B50&lt;=$J$11,0,ROUND(SUM($AD$19:AD50),0)))</f>
        <v>0</v>
      </c>
    </row>
    <row r="51" spans="2:31" ht="16.5" thickTop="1" thickBot="1" x14ac:dyDescent="0.3">
      <c r="B51" s="355">
        <v>33</v>
      </c>
      <c r="C51" s="420">
        <f t="shared" si="17"/>
        <v>971</v>
      </c>
      <c r="D51" s="349" t="str">
        <f t="shared" si="23"/>
        <v/>
      </c>
      <c r="E51" s="388" t="str">
        <f t="shared" si="24"/>
        <v/>
      </c>
      <c r="F51" s="352"/>
      <c r="G51" s="340" t="str">
        <f>IF(B51&gt;$J$10,"",$E$5-SUM(F$19:$F51))</f>
        <v/>
      </c>
      <c r="H51" s="471" t="b">
        <f t="shared" si="25"/>
        <v>0</v>
      </c>
      <c r="I51" s="337" t="str">
        <f>IF(B51&gt;$J$10,"",'Input Sheet'!$C$42)</f>
        <v/>
      </c>
      <c r="J51" s="477" t="str">
        <f t="shared" si="26"/>
        <v/>
      </c>
      <c r="K51" s="337" t="str">
        <f t="shared" si="27"/>
        <v/>
      </c>
      <c r="L51" s="467" t="str">
        <f t="shared" si="28"/>
        <v/>
      </c>
      <c r="M51" s="414"/>
      <c r="N51" s="414">
        <f t="shared" si="21"/>
        <v>0</v>
      </c>
      <c r="O51" s="414">
        <f>IF(N51-SUM($F$25:F51)&gt;0,N51-SUM($F$25:F51),0)</f>
        <v>0</v>
      </c>
      <c r="P51" s="337" t="str">
        <f t="shared" si="29"/>
        <v/>
      </c>
      <c r="Q51" s="337" t="str">
        <f t="shared" si="30"/>
        <v/>
      </c>
      <c r="R51" s="337" t="str">
        <f t="shared" si="31"/>
        <v/>
      </c>
      <c r="S51" s="337" t="str">
        <f t="shared" si="32"/>
        <v/>
      </c>
      <c r="T51" s="467" t="str">
        <f t="shared" si="33"/>
        <v/>
      </c>
      <c r="U51" s="360" t="str">
        <f t="shared" si="34"/>
        <v/>
      </c>
      <c r="V51" s="478" t="str">
        <f t="shared" si="35"/>
        <v/>
      </c>
      <c r="W51" s="362" t="str">
        <f>IF(B51&gt;$J$11,"",SUM($V$19:V51))</f>
        <v/>
      </c>
      <c r="X51" s="480"/>
      <c r="Y51" s="478" t="str">
        <f>IF(B51&gt;$J$11,"",SUM($X$19:X51))</f>
        <v/>
      </c>
      <c r="Z51" s="362" t="str">
        <f t="shared" si="36"/>
        <v/>
      </c>
      <c r="AA51" s="347"/>
      <c r="AB51" s="481" t="str">
        <f t="shared" si="37"/>
        <v/>
      </c>
      <c r="AC51" s="482"/>
      <c r="AD51" s="481" t="str">
        <f t="shared" si="38"/>
        <v/>
      </c>
      <c r="AE51" s="363">
        <f>IF(B51&gt;$J$10,0,IF(B51&lt;=$J$11,0,ROUND(SUM($AD$19:AD51),0)))</f>
        <v>0</v>
      </c>
    </row>
    <row r="52" spans="2:31" ht="16.5" thickTop="1" thickBot="1" x14ac:dyDescent="0.3">
      <c r="B52" s="355">
        <v>34</v>
      </c>
      <c r="C52" s="420">
        <f t="shared" si="17"/>
        <v>1002</v>
      </c>
      <c r="D52" s="349" t="str">
        <f t="shared" si="23"/>
        <v/>
      </c>
      <c r="E52" s="388" t="str">
        <f t="shared" si="24"/>
        <v/>
      </c>
      <c r="F52" s="352"/>
      <c r="G52" s="340" t="str">
        <f>IF(B52&gt;$J$10,"",$E$5-SUM(F$19:$F52))</f>
        <v/>
      </c>
      <c r="H52" s="471" t="b">
        <f t="shared" si="25"/>
        <v>0</v>
      </c>
      <c r="I52" s="337" t="str">
        <f>IF(B52&gt;$J$10,"",'Input Sheet'!$C$42)</f>
        <v/>
      </c>
      <c r="J52" s="477" t="str">
        <f t="shared" si="26"/>
        <v/>
      </c>
      <c r="K52" s="337" t="str">
        <f t="shared" si="27"/>
        <v/>
      </c>
      <c r="L52" s="467" t="str">
        <f t="shared" si="28"/>
        <v/>
      </c>
      <c r="M52" s="414"/>
      <c r="N52" s="414">
        <f t="shared" si="21"/>
        <v>0</v>
      </c>
      <c r="O52" s="414">
        <f>IF(N52-SUM($F$25:F52)&gt;0,N52-SUM($F$25:F52),0)</f>
        <v>0</v>
      </c>
      <c r="P52" s="337" t="str">
        <f t="shared" si="29"/>
        <v/>
      </c>
      <c r="Q52" s="337" t="str">
        <f t="shared" si="30"/>
        <v/>
      </c>
      <c r="R52" s="337" t="str">
        <f t="shared" si="31"/>
        <v/>
      </c>
      <c r="S52" s="337" t="str">
        <f t="shared" si="32"/>
        <v/>
      </c>
      <c r="T52" s="467" t="str">
        <f t="shared" si="33"/>
        <v/>
      </c>
      <c r="U52" s="360" t="str">
        <f t="shared" si="34"/>
        <v/>
      </c>
      <c r="V52" s="478" t="str">
        <f t="shared" si="35"/>
        <v/>
      </c>
      <c r="W52" s="362" t="str">
        <f>IF(B52&gt;$J$11,"",SUM($V$19:V52))</f>
        <v/>
      </c>
      <c r="X52" s="480"/>
      <c r="Y52" s="478" t="str">
        <f>IF(B52&gt;$J$11,"",SUM($X$19:X52))</f>
        <v/>
      </c>
      <c r="Z52" s="362" t="str">
        <f t="shared" si="36"/>
        <v/>
      </c>
      <c r="AA52" s="347"/>
      <c r="AB52" s="481" t="str">
        <f t="shared" si="37"/>
        <v/>
      </c>
      <c r="AC52" s="482"/>
      <c r="AD52" s="481" t="str">
        <f t="shared" si="38"/>
        <v/>
      </c>
      <c r="AE52" s="363">
        <f>IF(B52&gt;$J$10,0,IF(B52&lt;=$J$11,0,ROUND(SUM($AD$19:AD52),0)))</f>
        <v>0</v>
      </c>
    </row>
    <row r="53" spans="2:31" ht="16.5" thickTop="1" thickBot="1" x14ac:dyDescent="0.3">
      <c r="B53" s="355">
        <v>35</v>
      </c>
      <c r="C53" s="420">
        <f t="shared" si="17"/>
        <v>1032</v>
      </c>
      <c r="D53" s="349" t="str">
        <f t="shared" si="23"/>
        <v/>
      </c>
      <c r="E53" s="388" t="str">
        <f t="shared" si="24"/>
        <v/>
      </c>
      <c r="F53" s="352"/>
      <c r="G53" s="340" t="str">
        <f>IF(B53&gt;$J$10,"",$E$5-SUM(F$19:$F53))</f>
        <v/>
      </c>
      <c r="H53" s="471" t="b">
        <f t="shared" si="25"/>
        <v>0</v>
      </c>
      <c r="I53" s="337" t="str">
        <f>IF(B53&gt;$J$10,"",'Input Sheet'!$C$42)</f>
        <v/>
      </c>
      <c r="J53" s="477" t="str">
        <f t="shared" si="26"/>
        <v/>
      </c>
      <c r="K53" s="337" t="str">
        <f t="shared" si="27"/>
        <v/>
      </c>
      <c r="L53" s="467" t="str">
        <f t="shared" si="28"/>
        <v/>
      </c>
      <c r="M53" s="414"/>
      <c r="N53" s="414">
        <f t="shared" si="21"/>
        <v>0</v>
      </c>
      <c r="O53" s="414">
        <f>IF(N53-SUM($F$25:F53)&gt;0,N53-SUM($F$25:F53),0)</f>
        <v>0</v>
      </c>
      <c r="P53" s="337" t="str">
        <f t="shared" si="29"/>
        <v/>
      </c>
      <c r="Q53" s="337" t="str">
        <f t="shared" si="30"/>
        <v/>
      </c>
      <c r="R53" s="337" t="str">
        <f t="shared" si="31"/>
        <v/>
      </c>
      <c r="S53" s="337" t="str">
        <f t="shared" si="32"/>
        <v/>
      </c>
      <c r="T53" s="467" t="str">
        <f t="shared" si="33"/>
        <v/>
      </c>
      <c r="U53" s="360" t="str">
        <f t="shared" si="34"/>
        <v/>
      </c>
      <c r="V53" s="478" t="str">
        <f t="shared" si="35"/>
        <v/>
      </c>
      <c r="W53" s="362" t="str">
        <f>IF(B53&gt;$J$11,"",SUM($V$19:V53))</f>
        <v/>
      </c>
      <c r="X53" s="480"/>
      <c r="Y53" s="478" t="str">
        <f>IF(B53&gt;$J$11,"",SUM($X$19:X53))</f>
        <v/>
      </c>
      <c r="Z53" s="362" t="str">
        <f t="shared" si="36"/>
        <v/>
      </c>
      <c r="AA53" s="347"/>
      <c r="AB53" s="481" t="str">
        <f t="shared" si="37"/>
        <v/>
      </c>
      <c r="AC53" s="482"/>
      <c r="AD53" s="481" t="str">
        <f t="shared" si="38"/>
        <v/>
      </c>
      <c r="AE53" s="363">
        <f>IF(B53&gt;$J$10,0,IF(B53&lt;=$J$11,0,ROUND(SUM($AD$19:AD53),0)))</f>
        <v>0</v>
      </c>
    </row>
    <row r="54" spans="2:31" ht="16.5" thickTop="1" thickBot="1" x14ac:dyDescent="0.3">
      <c r="B54" s="355">
        <v>36</v>
      </c>
      <c r="C54" s="421">
        <f t="shared" si="17"/>
        <v>1063</v>
      </c>
      <c r="D54" s="350" t="str">
        <f t="shared" si="23"/>
        <v/>
      </c>
      <c r="E54" s="389" t="str">
        <f t="shared" si="24"/>
        <v/>
      </c>
      <c r="F54" s="353"/>
      <c r="G54" s="341" t="str">
        <f>IF(B54&gt;$J$10,"",$E$5-SUM(F$19:$F54))</f>
        <v/>
      </c>
      <c r="H54" s="472" t="b">
        <f t="shared" si="25"/>
        <v>0</v>
      </c>
      <c r="I54" s="339" t="str">
        <f>IF(B54&gt;$J$10,"",'Input Sheet'!$C$42)</f>
        <v/>
      </c>
      <c r="J54" s="338" t="str">
        <f t="shared" si="26"/>
        <v/>
      </c>
      <c r="K54" s="339" t="str">
        <f t="shared" si="27"/>
        <v/>
      </c>
      <c r="L54" s="468" t="str">
        <f t="shared" si="28"/>
        <v/>
      </c>
      <c r="M54" s="415"/>
      <c r="N54" s="415">
        <f t="shared" si="21"/>
        <v>0</v>
      </c>
      <c r="O54" s="414">
        <f>IF(N54-SUM($F$25:F54)&gt;0,N54-SUM($F$25:F54),0)</f>
        <v>0</v>
      </c>
      <c r="P54" s="339" t="str">
        <f t="shared" si="29"/>
        <v/>
      </c>
      <c r="Q54" s="339" t="str">
        <f t="shared" si="30"/>
        <v/>
      </c>
      <c r="R54" s="339" t="str">
        <f t="shared" si="31"/>
        <v/>
      </c>
      <c r="S54" s="339" t="str">
        <f t="shared" si="32"/>
        <v/>
      </c>
      <c r="T54" s="468" t="str">
        <f t="shared" si="33"/>
        <v/>
      </c>
      <c r="U54" s="364" t="str">
        <f t="shared" si="34"/>
        <v/>
      </c>
      <c r="V54" s="365" t="str">
        <f t="shared" si="35"/>
        <v/>
      </c>
      <c r="W54" s="366" t="str">
        <f>IF(B54&gt;$J$11,"",SUM($V$19:V54))</f>
        <v/>
      </c>
      <c r="X54" s="367"/>
      <c r="Y54" s="365" t="str">
        <f>IF(B54&gt;$J$11,"",SUM($X$19:X54))</f>
        <v/>
      </c>
      <c r="Z54" s="366" t="str">
        <f t="shared" si="36"/>
        <v/>
      </c>
      <c r="AA54" s="348"/>
      <c r="AB54" s="371" t="str">
        <f t="shared" si="37"/>
        <v/>
      </c>
      <c r="AC54" s="351"/>
      <c r="AD54" s="371" t="str">
        <f t="shared" si="38"/>
        <v/>
      </c>
      <c r="AE54" s="368">
        <f>IF(B54&gt;$J$10,0,IF(B54&lt;=$J$11,0,ROUND(SUM($AD$19:AD54),0)))</f>
        <v>0</v>
      </c>
    </row>
    <row r="55" spans="2:31" ht="15.75" thickBot="1" x14ac:dyDescent="0.3">
      <c r="B55" s="91"/>
      <c r="C55" s="91"/>
      <c r="D55" s="91"/>
      <c r="E55" s="423" t="s">
        <v>228</v>
      </c>
      <c r="F55" s="475">
        <f>SUM(F19:F54)</f>
        <v>0</v>
      </c>
      <c r="G55" s="91"/>
      <c r="H55" s="91"/>
      <c r="I55" s="91"/>
      <c r="J55" s="91"/>
      <c r="K55" s="91"/>
      <c r="L55" s="419" t="s">
        <v>221</v>
      </c>
      <c r="M55" s="476">
        <f>SUM(M19:M42)</f>
        <v>0</v>
      </c>
      <c r="N55" s="80"/>
      <c r="O55" s="80"/>
      <c r="P55" s="91"/>
      <c r="Q55" s="91"/>
      <c r="R55" s="91"/>
      <c r="S55" s="91"/>
      <c r="T55" s="91"/>
      <c r="U55" s="91"/>
      <c r="V55" s="91"/>
      <c r="W55" s="424"/>
      <c r="X55" s="154"/>
      <c r="Y55" s="91"/>
      <c r="Z55" s="91"/>
      <c r="AA55" s="91"/>
      <c r="AB55" s="91"/>
      <c r="AC55" s="91"/>
      <c r="AD55" s="91"/>
      <c r="AE55" s="91"/>
    </row>
    <row r="56" spans="2:31" s="91" customFormat="1" x14ac:dyDescent="0.25"/>
    <row r="57" spans="2:31" s="91" customFormat="1" x14ac:dyDescent="0.25"/>
    <row r="58" spans="2:31" s="91" customFormat="1" x14ac:dyDescent="0.25"/>
    <row r="59" spans="2:31" s="91" customFormat="1" x14ac:dyDescent="0.25"/>
    <row r="60" spans="2:31" s="91" customFormat="1" x14ac:dyDescent="0.25"/>
    <row r="61" spans="2:31" s="91" customFormat="1" x14ac:dyDescent="0.25"/>
    <row r="62" spans="2:31" s="91" customFormat="1" x14ac:dyDescent="0.25"/>
    <row r="63" spans="2:31" s="91" customFormat="1" x14ac:dyDescent="0.25"/>
    <row r="64" spans="2:31" s="91" customFormat="1" x14ac:dyDescent="0.25"/>
    <row r="65" s="91" customFormat="1" x14ac:dyDescent="0.25"/>
    <row r="66" s="91" customFormat="1" x14ac:dyDescent="0.25"/>
    <row r="67" s="91" customFormat="1" x14ac:dyDescent="0.25"/>
    <row r="68" s="91" customFormat="1" x14ac:dyDescent="0.25"/>
    <row r="69" s="91" customFormat="1" x14ac:dyDescent="0.25"/>
    <row r="70" s="91" customFormat="1" x14ac:dyDescent="0.25"/>
    <row r="71" s="91" customFormat="1" x14ac:dyDescent="0.25"/>
    <row r="72" s="91" customFormat="1" x14ac:dyDescent="0.25"/>
    <row r="73" s="91" customFormat="1" x14ac:dyDescent="0.25"/>
    <row r="74" s="91" customFormat="1" x14ac:dyDescent="0.25"/>
    <row r="75" s="91" customFormat="1" x14ac:dyDescent="0.25"/>
    <row r="76" s="91" customFormat="1" x14ac:dyDescent="0.25"/>
    <row r="77" s="91" customFormat="1" x14ac:dyDescent="0.25"/>
    <row r="78" s="91" customFormat="1" x14ac:dyDescent="0.25"/>
    <row r="79" s="91" customFormat="1" x14ac:dyDescent="0.25"/>
    <row r="80" s="91" customFormat="1" x14ac:dyDescent="0.25"/>
    <row r="81" s="91" customFormat="1" x14ac:dyDescent="0.25"/>
    <row r="82" s="91" customFormat="1" x14ac:dyDescent="0.25"/>
    <row r="83" s="91" customFormat="1" x14ac:dyDescent="0.25"/>
    <row r="84" s="91" customFormat="1" x14ac:dyDescent="0.25"/>
    <row r="85" s="91" customFormat="1" x14ac:dyDescent="0.25"/>
    <row r="86" s="91" customFormat="1" x14ac:dyDescent="0.25"/>
    <row r="87" s="91" customFormat="1" x14ac:dyDescent="0.25"/>
    <row r="88" s="91" customFormat="1" x14ac:dyDescent="0.25"/>
    <row r="89" s="91" customFormat="1" x14ac:dyDescent="0.25"/>
    <row r="90" s="91" customFormat="1" x14ac:dyDescent="0.25"/>
    <row r="91" s="91" customFormat="1" x14ac:dyDescent="0.25"/>
    <row r="92" s="91" customFormat="1" x14ac:dyDescent="0.25"/>
    <row r="93" s="91" customFormat="1" x14ac:dyDescent="0.25"/>
    <row r="94" s="91" customFormat="1" x14ac:dyDescent="0.25"/>
    <row r="95" s="91" customFormat="1" x14ac:dyDescent="0.25"/>
    <row r="96" s="91" customFormat="1" x14ac:dyDescent="0.25"/>
    <row r="97" s="91" customFormat="1" x14ac:dyDescent="0.25"/>
    <row r="98" s="91" customFormat="1" x14ac:dyDescent="0.25"/>
    <row r="99" s="91" customFormat="1" x14ac:dyDescent="0.25"/>
    <row r="100" s="91" customFormat="1" x14ac:dyDescent="0.25"/>
    <row r="101" s="91" customFormat="1" x14ac:dyDescent="0.25"/>
    <row r="102" s="91" customFormat="1" x14ac:dyDescent="0.25"/>
    <row r="103" s="91" customFormat="1" x14ac:dyDescent="0.25"/>
    <row r="104" s="91" customFormat="1" x14ac:dyDescent="0.25"/>
    <row r="105" s="91" customFormat="1" x14ac:dyDescent="0.25"/>
    <row r="106" s="91" customFormat="1" x14ac:dyDescent="0.25"/>
    <row r="107" s="91" customFormat="1" x14ac:dyDescent="0.25"/>
    <row r="108" s="91" customFormat="1" x14ac:dyDescent="0.25"/>
    <row r="109" s="91" customFormat="1" x14ac:dyDescent="0.25"/>
    <row r="110" s="91" customFormat="1" x14ac:dyDescent="0.25"/>
    <row r="111" s="91" customFormat="1" x14ac:dyDescent="0.25"/>
    <row r="112" s="91" customFormat="1" x14ac:dyDescent="0.25"/>
    <row r="113" s="91" customFormat="1" x14ac:dyDescent="0.25"/>
    <row r="114" s="91" customFormat="1" x14ac:dyDescent="0.25"/>
    <row r="115" s="91" customFormat="1" x14ac:dyDescent="0.25"/>
    <row r="116" s="91" customFormat="1" x14ac:dyDescent="0.25"/>
    <row r="117" s="91" customFormat="1" x14ac:dyDescent="0.25"/>
    <row r="118" s="91" customFormat="1" x14ac:dyDescent="0.25"/>
    <row r="119" s="91" customFormat="1" x14ac:dyDescent="0.25"/>
    <row r="120" s="91" customFormat="1" x14ac:dyDescent="0.25"/>
    <row r="121" s="91" customFormat="1" x14ac:dyDescent="0.25"/>
    <row r="122" s="91" customFormat="1" x14ac:dyDescent="0.25"/>
    <row r="123" s="91" customFormat="1" x14ac:dyDescent="0.25"/>
    <row r="124" s="91" customFormat="1" x14ac:dyDescent="0.25"/>
    <row r="125" s="91" customFormat="1" x14ac:dyDescent="0.25"/>
    <row r="126" s="91" customFormat="1" x14ac:dyDescent="0.25"/>
    <row r="127" s="91" customFormat="1" x14ac:dyDescent="0.25"/>
    <row r="128" s="91" customFormat="1" x14ac:dyDescent="0.25"/>
    <row r="129" s="91" customFormat="1" x14ac:dyDescent="0.25"/>
    <row r="130" s="91" customFormat="1" x14ac:dyDescent="0.25"/>
    <row r="131" s="91" customFormat="1" x14ac:dyDescent="0.25"/>
    <row r="132" s="91" customFormat="1" x14ac:dyDescent="0.25"/>
    <row r="133" s="91" customFormat="1" x14ac:dyDescent="0.25"/>
    <row r="134" s="91" customFormat="1" x14ac:dyDescent="0.25"/>
    <row r="135" s="91" customFormat="1" x14ac:dyDescent="0.25"/>
    <row r="136" s="91" customFormat="1" x14ac:dyDescent="0.25"/>
    <row r="137" s="91" customFormat="1" x14ac:dyDescent="0.25"/>
    <row r="138" s="91" customFormat="1" x14ac:dyDescent="0.25"/>
    <row r="139" s="91" customFormat="1" x14ac:dyDescent="0.25"/>
    <row r="140" s="91" customFormat="1" x14ac:dyDescent="0.25"/>
    <row r="141" s="91" customFormat="1" x14ac:dyDescent="0.25"/>
    <row r="142" s="91" customFormat="1" x14ac:dyDescent="0.25"/>
    <row r="143" s="91" customFormat="1" x14ac:dyDescent="0.25"/>
    <row r="144" s="91" customFormat="1" x14ac:dyDescent="0.25"/>
    <row r="145" s="91" customFormat="1" x14ac:dyDescent="0.25"/>
    <row r="146" s="91" customFormat="1" x14ac:dyDescent="0.25"/>
    <row r="147" s="91" customFormat="1" x14ac:dyDescent="0.25"/>
    <row r="148" s="91" customFormat="1" x14ac:dyDescent="0.25"/>
    <row r="149" s="91" customFormat="1" x14ac:dyDescent="0.25"/>
    <row r="150" s="91" customFormat="1" x14ac:dyDescent="0.25"/>
    <row r="151" s="91" customFormat="1" x14ac:dyDescent="0.25"/>
    <row r="152" s="91" customFormat="1" x14ac:dyDescent="0.25"/>
    <row r="153" s="91" customFormat="1" x14ac:dyDescent="0.25"/>
    <row r="154" s="91" customFormat="1" x14ac:dyDescent="0.25"/>
    <row r="155" s="91" customFormat="1" x14ac:dyDescent="0.25"/>
    <row r="156" s="91" customFormat="1" x14ac:dyDescent="0.25"/>
    <row r="157" s="91" customFormat="1" x14ac:dyDescent="0.25"/>
    <row r="158" s="91" customFormat="1" x14ac:dyDescent="0.25"/>
    <row r="159" s="91" customFormat="1" x14ac:dyDescent="0.25"/>
    <row r="160" s="91" customFormat="1" x14ac:dyDescent="0.25"/>
    <row r="161" s="91" customFormat="1" x14ac:dyDescent="0.25"/>
    <row r="162" s="91" customFormat="1" x14ac:dyDescent="0.25"/>
    <row r="163" s="91" customFormat="1" x14ac:dyDescent="0.25"/>
    <row r="164" s="91" customFormat="1" x14ac:dyDescent="0.25"/>
    <row r="165" s="91" customFormat="1" x14ac:dyDescent="0.25"/>
    <row r="166" s="91" customFormat="1" x14ac:dyDescent="0.25"/>
    <row r="167" s="91" customFormat="1" x14ac:dyDescent="0.25"/>
    <row r="168" s="91" customFormat="1" x14ac:dyDescent="0.25"/>
    <row r="169" s="91" customFormat="1" x14ac:dyDescent="0.25"/>
    <row r="170" s="91" customFormat="1" x14ac:dyDescent="0.25"/>
    <row r="171" s="91" customFormat="1" x14ac:dyDescent="0.25"/>
    <row r="172" s="91" customFormat="1" x14ac:dyDescent="0.25"/>
    <row r="173" s="91" customFormat="1" x14ac:dyDescent="0.25"/>
    <row r="174" s="91" customFormat="1" x14ac:dyDescent="0.25"/>
    <row r="175" s="91" customFormat="1" x14ac:dyDescent="0.25"/>
    <row r="176" s="91" customFormat="1" x14ac:dyDescent="0.25"/>
    <row r="177" s="91" customFormat="1" x14ac:dyDescent="0.25"/>
    <row r="178" s="91" customFormat="1" x14ac:dyDescent="0.25"/>
    <row r="179" s="91" customFormat="1" x14ac:dyDescent="0.25"/>
    <row r="180" s="91" customFormat="1" x14ac:dyDescent="0.25"/>
    <row r="181" s="91" customFormat="1" x14ac:dyDescent="0.25"/>
    <row r="182" s="91" customFormat="1" x14ac:dyDescent="0.25"/>
    <row r="183" s="91" customFormat="1" x14ac:dyDescent="0.25"/>
    <row r="184" s="91" customFormat="1" x14ac:dyDescent="0.25"/>
    <row r="185" s="91" customFormat="1" x14ac:dyDescent="0.25"/>
    <row r="186" s="91" customFormat="1" x14ac:dyDescent="0.25"/>
    <row r="187" s="91" customFormat="1" x14ac:dyDescent="0.25"/>
    <row r="188" s="91" customFormat="1" x14ac:dyDescent="0.25"/>
    <row r="189" s="91" customFormat="1" x14ac:dyDescent="0.25"/>
    <row r="190" s="91" customFormat="1" x14ac:dyDescent="0.25"/>
    <row r="191" s="91" customFormat="1" x14ac:dyDescent="0.25"/>
    <row r="192" s="91" customFormat="1" x14ac:dyDescent="0.25"/>
    <row r="193" s="91" customFormat="1" x14ac:dyDescent="0.25"/>
    <row r="194" s="91" customFormat="1" x14ac:dyDescent="0.25"/>
    <row r="195" s="91" customFormat="1" x14ac:dyDescent="0.25"/>
    <row r="196" s="91" customFormat="1" x14ac:dyDescent="0.25"/>
    <row r="197" s="91" customFormat="1" x14ac:dyDescent="0.25"/>
    <row r="198" s="91" customFormat="1" x14ac:dyDescent="0.25"/>
    <row r="199" s="91" customFormat="1" x14ac:dyDescent="0.25"/>
    <row r="200" s="91" customFormat="1" x14ac:dyDescent="0.25"/>
    <row r="201" s="91" customFormat="1" x14ac:dyDescent="0.25"/>
    <row r="202" s="91" customFormat="1" x14ac:dyDescent="0.25"/>
    <row r="203" s="91" customFormat="1" x14ac:dyDescent="0.25"/>
    <row r="204" s="91" customFormat="1" x14ac:dyDescent="0.25"/>
    <row r="205" s="91" customFormat="1" x14ac:dyDescent="0.25"/>
    <row r="206" s="91" customFormat="1" x14ac:dyDescent="0.25"/>
    <row r="207" s="91" customFormat="1" x14ac:dyDescent="0.25"/>
    <row r="208" s="91" customFormat="1" x14ac:dyDescent="0.25"/>
    <row r="209" s="91" customFormat="1" x14ac:dyDescent="0.25"/>
    <row r="210" s="91" customFormat="1" x14ac:dyDescent="0.25"/>
    <row r="211" s="91" customFormat="1" x14ac:dyDescent="0.25"/>
    <row r="212" s="91" customFormat="1" x14ac:dyDescent="0.25"/>
    <row r="213" s="91" customFormat="1" x14ac:dyDescent="0.25"/>
    <row r="214" s="91" customFormat="1" x14ac:dyDescent="0.25"/>
    <row r="215" s="91" customFormat="1" x14ac:dyDescent="0.25"/>
    <row r="216" s="91" customFormat="1" x14ac:dyDescent="0.25"/>
    <row r="217" s="91" customFormat="1" x14ac:dyDescent="0.25"/>
    <row r="218" s="91" customFormat="1" x14ac:dyDescent="0.25"/>
    <row r="219" s="91" customFormat="1" x14ac:dyDescent="0.25"/>
    <row r="220" s="91" customFormat="1" x14ac:dyDescent="0.25"/>
    <row r="221" s="91" customFormat="1" x14ac:dyDescent="0.25"/>
    <row r="222" s="91" customFormat="1" x14ac:dyDescent="0.25"/>
    <row r="223" s="91" customFormat="1" x14ac:dyDescent="0.25"/>
    <row r="224" s="91" customFormat="1" x14ac:dyDescent="0.25"/>
    <row r="225" s="91" customFormat="1" x14ac:dyDescent="0.25"/>
    <row r="226" s="91" customFormat="1" x14ac:dyDescent="0.25"/>
    <row r="227" s="91" customFormat="1" x14ac:dyDescent="0.25"/>
    <row r="228" s="91" customFormat="1" x14ac:dyDescent="0.25"/>
    <row r="229" s="91" customFormat="1" x14ac:dyDescent="0.25"/>
    <row r="230" s="91" customFormat="1" x14ac:dyDescent="0.25"/>
    <row r="231" s="91" customFormat="1" x14ac:dyDescent="0.25"/>
    <row r="232" s="91" customFormat="1" x14ac:dyDescent="0.25"/>
    <row r="233" s="91" customFormat="1" x14ac:dyDescent="0.25"/>
    <row r="234" s="91" customFormat="1" x14ac:dyDescent="0.25"/>
    <row r="235" s="91" customFormat="1" x14ac:dyDescent="0.25"/>
    <row r="236" s="91" customFormat="1" x14ac:dyDescent="0.25"/>
    <row r="237" s="91" customFormat="1" x14ac:dyDescent="0.25"/>
    <row r="238" s="91" customFormat="1" x14ac:dyDescent="0.25"/>
    <row r="239" s="91" customFormat="1" x14ac:dyDescent="0.25"/>
    <row r="240" s="91" customFormat="1" x14ac:dyDescent="0.25"/>
    <row r="241" s="91" customFormat="1" x14ac:dyDescent="0.25"/>
    <row r="242" s="91" customFormat="1" x14ac:dyDescent="0.25"/>
    <row r="243" s="91" customFormat="1" x14ac:dyDescent="0.25"/>
    <row r="244" s="91" customFormat="1" x14ac:dyDescent="0.25"/>
    <row r="245" s="91" customFormat="1" x14ac:dyDescent="0.25"/>
    <row r="246" s="91" customFormat="1" x14ac:dyDescent="0.25"/>
    <row r="247" s="91" customFormat="1" x14ac:dyDescent="0.25"/>
    <row r="248" s="91" customFormat="1" x14ac:dyDescent="0.25"/>
    <row r="249" s="91" customFormat="1" x14ac:dyDescent="0.25"/>
    <row r="250" s="91" customFormat="1" x14ac:dyDescent="0.25"/>
    <row r="251" s="91" customFormat="1" x14ac:dyDescent="0.25"/>
    <row r="252" s="91" customFormat="1" x14ac:dyDescent="0.25"/>
    <row r="253" s="91" customFormat="1" x14ac:dyDescent="0.25"/>
    <row r="254" s="91" customFormat="1" x14ac:dyDescent="0.25"/>
    <row r="255" s="91" customFormat="1" x14ac:dyDescent="0.25"/>
    <row r="256" s="91" customFormat="1" x14ac:dyDescent="0.25"/>
    <row r="257" s="91" customFormat="1" x14ac:dyDescent="0.25"/>
    <row r="258" s="91" customFormat="1" x14ac:dyDescent="0.25"/>
    <row r="259" s="91" customFormat="1" x14ac:dyDescent="0.25"/>
    <row r="260" s="91" customFormat="1" x14ac:dyDescent="0.25"/>
    <row r="261" s="91" customFormat="1" x14ac:dyDescent="0.25"/>
    <row r="262" s="91" customFormat="1" x14ac:dyDescent="0.25"/>
    <row r="263" s="91" customFormat="1" x14ac:dyDescent="0.25"/>
    <row r="264" s="91" customFormat="1" x14ac:dyDescent="0.25"/>
    <row r="265" s="91" customFormat="1" x14ac:dyDescent="0.25"/>
    <row r="266" s="91" customFormat="1" x14ac:dyDescent="0.25"/>
    <row r="267" s="91" customFormat="1" x14ac:dyDescent="0.25"/>
    <row r="268" s="91" customFormat="1" x14ac:dyDescent="0.25"/>
    <row r="269" s="91" customFormat="1" x14ac:dyDescent="0.25"/>
    <row r="270" s="91" customFormat="1" x14ac:dyDescent="0.25"/>
    <row r="271" s="91" customFormat="1" x14ac:dyDescent="0.25"/>
    <row r="272" s="91" customFormat="1" x14ac:dyDescent="0.25"/>
    <row r="273" s="91" customFormat="1" x14ac:dyDescent="0.25"/>
    <row r="274" s="91" customFormat="1" x14ac:dyDescent="0.25"/>
    <row r="275" s="91" customFormat="1" x14ac:dyDescent="0.25"/>
    <row r="276" s="91" customFormat="1" x14ac:dyDescent="0.25"/>
    <row r="277" s="91" customFormat="1" x14ac:dyDescent="0.25"/>
    <row r="278" s="91" customFormat="1" x14ac:dyDescent="0.25"/>
    <row r="279" s="91" customFormat="1" x14ac:dyDescent="0.25"/>
    <row r="280" s="91" customFormat="1" x14ac:dyDescent="0.25"/>
    <row r="281" s="91" customFormat="1" x14ac:dyDescent="0.25"/>
    <row r="282" s="91" customFormat="1" x14ac:dyDescent="0.25"/>
    <row r="283" s="91" customFormat="1" x14ac:dyDescent="0.25"/>
    <row r="284" s="91" customFormat="1" x14ac:dyDescent="0.25"/>
    <row r="285" s="91" customFormat="1" x14ac:dyDescent="0.25"/>
    <row r="286" s="91" customFormat="1" x14ac:dyDescent="0.25"/>
    <row r="287" s="91" customFormat="1" x14ac:dyDescent="0.25"/>
    <row r="288" s="91" customFormat="1" x14ac:dyDescent="0.25"/>
    <row r="289" s="91" customFormat="1" x14ac:dyDescent="0.25"/>
    <row r="290" s="91" customFormat="1" x14ac:dyDescent="0.25"/>
    <row r="291" s="91" customFormat="1" x14ac:dyDescent="0.25"/>
    <row r="292" s="91" customFormat="1" x14ac:dyDescent="0.25"/>
    <row r="293" s="91" customFormat="1" x14ac:dyDescent="0.25"/>
    <row r="294" s="91" customFormat="1" x14ac:dyDescent="0.25"/>
    <row r="295" s="91" customFormat="1" x14ac:dyDescent="0.25"/>
    <row r="296" s="91" customFormat="1" x14ac:dyDescent="0.25"/>
    <row r="297" s="91" customFormat="1" x14ac:dyDescent="0.25"/>
    <row r="298" s="91" customFormat="1" x14ac:dyDescent="0.25"/>
    <row r="299" s="91" customFormat="1" x14ac:dyDescent="0.25"/>
    <row r="300" s="91" customFormat="1" x14ac:dyDescent="0.25"/>
    <row r="301" s="91" customFormat="1" x14ac:dyDescent="0.25"/>
    <row r="302" s="91" customFormat="1" x14ac:dyDescent="0.25"/>
    <row r="303" s="91" customFormat="1" x14ac:dyDescent="0.25"/>
    <row r="304" s="91" customFormat="1" x14ac:dyDescent="0.25"/>
    <row r="305" s="91" customFormat="1" x14ac:dyDescent="0.25"/>
    <row r="306" s="91" customFormat="1" x14ac:dyDescent="0.25"/>
    <row r="307" s="91" customFormat="1" x14ac:dyDescent="0.25"/>
    <row r="308" s="91" customFormat="1" x14ac:dyDescent="0.25"/>
    <row r="309" s="91" customFormat="1" x14ac:dyDescent="0.25"/>
    <row r="310" s="91" customFormat="1" x14ac:dyDescent="0.25"/>
    <row r="311" s="91" customFormat="1" x14ac:dyDescent="0.25"/>
    <row r="312" s="91" customFormat="1" x14ac:dyDescent="0.25"/>
    <row r="313" s="91" customFormat="1" x14ac:dyDescent="0.25"/>
    <row r="314" s="91" customFormat="1" x14ac:dyDescent="0.25"/>
    <row r="315" s="91" customFormat="1" x14ac:dyDescent="0.25"/>
    <row r="316" s="91" customFormat="1" x14ac:dyDescent="0.25"/>
    <row r="317" s="91" customFormat="1" x14ac:dyDescent="0.25"/>
    <row r="318" s="91" customFormat="1" x14ac:dyDescent="0.25"/>
    <row r="319" s="91" customFormat="1" x14ac:dyDescent="0.25"/>
    <row r="320" s="91" customFormat="1" x14ac:dyDescent="0.25"/>
    <row r="321" s="91" customFormat="1" x14ac:dyDescent="0.25"/>
  </sheetData>
  <mergeCells count="27">
    <mergeCell ref="P17:T17"/>
    <mergeCell ref="F15:G16"/>
    <mergeCell ref="B3:D3"/>
    <mergeCell ref="L3:P3"/>
    <mergeCell ref="B10:D10"/>
    <mergeCell ref="B11:D11"/>
    <mergeCell ref="G3:I3"/>
    <mergeCell ref="G4:I4"/>
    <mergeCell ref="G6:I6"/>
    <mergeCell ref="G7:I7"/>
    <mergeCell ref="G5:I5"/>
    <mergeCell ref="U17:Z17"/>
    <mergeCell ref="AA17:AE17"/>
    <mergeCell ref="B5:D5"/>
    <mergeCell ref="B6:D6"/>
    <mergeCell ref="B7:D7"/>
    <mergeCell ref="B8:D8"/>
    <mergeCell ref="B9:D9"/>
    <mergeCell ref="G9:I9"/>
    <mergeCell ref="G8:I8"/>
    <mergeCell ref="G10:I10"/>
    <mergeCell ref="G11:I11"/>
    <mergeCell ref="G12:I12"/>
    <mergeCell ref="B12:D12"/>
    <mergeCell ref="F17:G17"/>
    <mergeCell ref="I17:L17"/>
    <mergeCell ref="B13:E14"/>
  </mergeCells>
  <conditionalFormatting sqref="C18:E19 D20:E54">
    <cfRule type="expression" dxfId="60" priority="88">
      <formula>#REF!="yes"</formula>
    </cfRule>
    <cfRule type="expression" dxfId="59" priority="89">
      <formula>#REF!="Yes"</formula>
    </cfRule>
  </conditionalFormatting>
  <conditionalFormatting sqref="C20:E54">
    <cfRule type="expression" dxfId="58" priority="70">
      <formula>#REF!="yes"</formula>
    </cfRule>
    <cfRule type="expression" dxfId="57" priority="71">
      <formula>#REF!="Yes"</formula>
    </cfRule>
  </conditionalFormatting>
  <conditionalFormatting sqref="G13:J13 J3 B3 J5:J12 F12:F14 E12 B5:B13 E15 B15 G12:H12 E5:H11">
    <cfRule type="expression" dxfId="56" priority="67">
      <formula>#REF!="Underwriters"</formula>
    </cfRule>
  </conditionalFormatting>
  <conditionalFormatting sqref="G4:H4">
    <cfRule type="expression" dxfId="55" priority="65">
      <formula>#REF!="Loan Management"</formula>
    </cfRule>
  </conditionalFormatting>
  <conditionalFormatting sqref="E15">
    <cfRule type="cellIs" dxfId="54" priority="68" operator="equal">
      <formula>"Fail"</formula>
    </cfRule>
  </conditionalFormatting>
  <conditionalFormatting sqref="J5:J7">
    <cfRule type="expression" dxfId="53" priority="62">
      <formula>#REF!="Underwriters"</formula>
    </cfRule>
  </conditionalFormatting>
  <conditionalFormatting sqref="AE19:AE54">
    <cfRule type="expression" dxfId="52" priority="60">
      <formula>AE$76=1</formula>
    </cfRule>
  </conditionalFormatting>
  <conditionalFormatting sqref="AE29:AE31">
    <cfRule type="expression" dxfId="51" priority="61">
      <formula>AE$76=1</formula>
    </cfRule>
  </conditionalFormatting>
  <conditionalFormatting sqref="Z19:Z54">
    <cfRule type="expression" dxfId="50" priority="54">
      <formula>AND(Y$84="N",Z$87&gt;0)</formula>
    </cfRule>
  </conditionalFormatting>
  <conditionalFormatting sqref="Z19:Z54">
    <cfRule type="expression" dxfId="49" priority="53">
      <formula>Z$83=1</formula>
    </cfRule>
  </conditionalFormatting>
  <conditionalFormatting sqref="Z28:Z30">
    <cfRule type="expression" dxfId="48" priority="55">
      <formula>Z$83=1</formula>
    </cfRule>
  </conditionalFormatting>
  <conditionalFormatting sqref="Z19:Z54">
    <cfRule type="expression" dxfId="47" priority="56">
      <formula>AND(#REF!="N",Z$87&gt;0)</formula>
    </cfRule>
  </conditionalFormatting>
  <conditionalFormatting sqref="Z31:Z54">
    <cfRule type="expression" dxfId="46" priority="57">
      <formula>AND(#REF!="N",Z$87&gt;0)</formula>
    </cfRule>
  </conditionalFormatting>
  <conditionalFormatting sqref="Z27:Z30">
    <cfRule type="expression" dxfId="45" priority="58">
      <formula>AND(#REF!="N",Z$87&gt;0)</formula>
    </cfRule>
    <cfRule type="expression" dxfId="44" priority="59">
      <formula>#REF!="Underwriters"</formula>
    </cfRule>
  </conditionalFormatting>
  <conditionalFormatting sqref="Z19:Z54">
    <cfRule type="expression" dxfId="43" priority="51">
      <formula>Z$76=1</formula>
    </cfRule>
  </conditionalFormatting>
  <conditionalFormatting sqref="Z28:Z30">
    <cfRule type="expression" dxfId="42" priority="52">
      <formula>Z$76=1</formula>
    </cfRule>
  </conditionalFormatting>
  <conditionalFormatting sqref="Z19:Z54">
    <cfRule type="expression" dxfId="41" priority="45">
      <formula>AND(Y$84="N",Z$87&gt;0)</formula>
    </cfRule>
  </conditionalFormatting>
  <conditionalFormatting sqref="Z19:Z54">
    <cfRule type="expression" dxfId="40" priority="44">
      <formula>Z$83=1</formula>
    </cfRule>
  </conditionalFormatting>
  <conditionalFormatting sqref="Z29:Z31">
    <cfRule type="expression" dxfId="39" priority="46">
      <formula>Z$83=1</formula>
    </cfRule>
  </conditionalFormatting>
  <conditionalFormatting sqref="Z19:Z54">
    <cfRule type="expression" dxfId="38" priority="47">
      <formula>AND(#REF!="N",Z$87&gt;0)</formula>
    </cfRule>
  </conditionalFormatting>
  <conditionalFormatting sqref="Z32:Z54">
    <cfRule type="expression" dxfId="37" priority="48">
      <formula>AND(#REF!="N",Z$87&gt;0)</formula>
    </cfRule>
  </conditionalFormatting>
  <conditionalFormatting sqref="Z28:Z31">
    <cfRule type="expression" dxfId="36" priority="49">
      <formula>AND(#REF!="N",Z$87&gt;0)</formula>
    </cfRule>
    <cfRule type="expression" dxfId="35" priority="50">
      <formula>#REF!="Underwriters"</formula>
    </cfRule>
  </conditionalFormatting>
  <conditionalFormatting sqref="Z19:Z54">
    <cfRule type="expression" dxfId="34" priority="42">
      <formula>Z$76=1</formula>
    </cfRule>
  </conditionalFormatting>
  <conditionalFormatting sqref="Z29:Z31">
    <cfRule type="expression" dxfId="33" priority="43">
      <formula>Z$76=1</formula>
    </cfRule>
  </conditionalFormatting>
  <conditionalFormatting sqref="Y19:Y54 AB19:AB54 E19:E54 AD19:AD54 I19:K54 P19:V54">
    <cfRule type="cellIs" dxfId="32" priority="40" operator="equal">
      <formula>0</formula>
    </cfRule>
  </conditionalFormatting>
  <conditionalFormatting sqref="AE19:AE54 W19:W54 Z19:Z54 G19:H54 L19:L54 T19:T54">
    <cfRule type="cellIs" dxfId="31" priority="39" operator="equal">
      <formula>0</formula>
    </cfRule>
  </conditionalFormatting>
  <conditionalFormatting sqref="G3:H3">
    <cfRule type="expression" dxfId="30" priority="36">
      <formula>#REF!="Underwriters"</formula>
    </cfRule>
  </conditionalFormatting>
  <conditionalFormatting sqref="G3:H3">
    <cfRule type="expression" dxfId="29" priority="35">
      <formula>#REF!="Underwriters"</formula>
    </cfRule>
  </conditionalFormatting>
  <conditionalFormatting sqref="G5:H12">
    <cfRule type="expression" dxfId="28" priority="34">
      <formula>#REF!="Underwriters"</formula>
    </cfRule>
  </conditionalFormatting>
  <conditionalFormatting sqref="L19">
    <cfRule type="cellIs" dxfId="27" priority="30" operator="equal">
      <formula>0</formula>
    </cfRule>
  </conditionalFormatting>
  <conditionalFormatting sqref="G19:H19 H19:H54">
    <cfRule type="cellIs" dxfId="26" priority="28" operator="equal">
      <formula>0</formula>
    </cfRule>
  </conditionalFormatting>
  <conditionalFormatting sqref="T19:T54">
    <cfRule type="expression" dxfId="25" priority="22">
      <formula>AND(S$84="N",T$87&gt;0)</formula>
    </cfRule>
  </conditionalFormatting>
  <conditionalFormatting sqref="T19:T54">
    <cfRule type="expression" dxfId="24" priority="21">
      <formula>T$83=1</formula>
    </cfRule>
  </conditionalFormatting>
  <conditionalFormatting sqref="T28:T30">
    <cfRule type="expression" dxfId="23" priority="23">
      <formula>T$83=1</formula>
    </cfRule>
  </conditionalFormatting>
  <conditionalFormatting sqref="T19:T54">
    <cfRule type="expression" dxfId="22" priority="24">
      <formula>AND(#REF!="N",T$87&gt;0)</formula>
    </cfRule>
  </conditionalFormatting>
  <conditionalFormatting sqref="T31:T54">
    <cfRule type="expression" dxfId="21" priority="25">
      <formula>AND(#REF!="N",T$87&gt;0)</formula>
    </cfRule>
  </conditionalFormatting>
  <conditionalFormatting sqref="T27:T30">
    <cfRule type="expression" dxfId="20" priority="26">
      <formula>AND(#REF!="N",T$87&gt;0)</formula>
    </cfRule>
    <cfRule type="expression" dxfId="19" priority="27">
      <formula>#REF!="Underwriters"</formula>
    </cfRule>
  </conditionalFormatting>
  <conditionalFormatting sqref="T19:T54">
    <cfRule type="expression" dxfId="18" priority="19">
      <formula>T$76=1</formula>
    </cfRule>
  </conditionalFormatting>
  <conditionalFormatting sqref="T28:T30">
    <cfRule type="expression" dxfId="17" priority="20">
      <formula>T$76=1</formula>
    </cfRule>
  </conditionalFormatting>
  <conditionalFormatting sqref="T19:T54">
    <cfRule type="expression" dxfId="16" priority="13">
      <formula>AND(S$84="N",T$87&gt;0)</formula>
    </cfRule>
  </conditionalFormatting>
  <conditionalFormatting sqref="T19:T54">
    <cfRule type="expression" dxfId="15" priority="12">
      <formula>T$83=1</formula>
    </cfRule>
  </conditionalFormatting>
  <conditionalFormatting sqref="T29:T31">
    <cfRule type="expression" dxfId="14" priority="14">
      <formula>T$83=1</formula>
    </cfRule>
  </conditionalFormatting>
  <conditionalFormatting sqref="T19:T54">
    <cfRule type="expression" dxfId="13" priority="15">
      <formula>AND(#REF!="N",T$87&gt;0)</formula>
    </cfRule>
  </conditionalFormatting>
  <conditionalFormatting sqref="T32:T54">
    <cfRule type="expression" dxfId="12" priority="16">
      <formula>AND(#REF!="N",T$87&gt;0)</formula>
    </cfRule>
  </conditionalFormatting>
  <conditionalFormatting sqref="T28:T31">
    <cfRule type="expression" dxfId="11" priority="17">
      <formula>AND(#REF!="N",T$87&gt;0)</formula>
    </cfRule>
    <cfRule type="expression" dxfId="10" priority="18">
      <formula>#REF!="Underwriters"</formula>
    </cfRule>
  </conditionalFormatting>
  <conditionalFormatting sqref="T19:T54">
    <cfRule type="expression" dxfId="9" priority="10">
      <formula>T$76=1</formula>
    </cfRule>
  </conditionalFormatting>
  <conditionalFormatting sqref="T29:T31">
    <cfRule type="expression" dxfId="8" priority="11">
      <formula>T$76=1</formula>
    </cfRule>
  </conditionalFormatting>
  <conditionalFormatting sqref="G19:G54">
    <cfRule type="cellIs" dxfId="7" priority="9" operator="lessThan">
      <formula>0</formula>
    </cfRule>
  </conditionalFormatting>
  <conditionalFormatting sqref="L19">
    <cfRule type="cellIs" dxfId="6" priority="8" operator="equal">
      <formula>0</formula>
    </cfRule>
  </conditionalFormatting>
  <conditionalFormatting sqref="L19:L54">
    <cfRule type="cellIs" dxfId="5" priority="7" operator="lessThan">
      <formula>0</formula>
    </cfRule>
  </conditionalFormatting>
  <conditionalFormatting sqref="T19">
    <cfRule type="cellIs" dxfId="4" priority="6" operator="equal">
      <formula>0</formula>
    </cfRule>
  </conditionalFormatting>
  <conditionalFormatting sqref="T19">
    <cfRule type="cellIs" dxfId="3" priority="5" operator="equal">
      <formula>0</formula>
    </cfRule>
  </conditionalFormatting>
  <conditionalFormatting sqref="T19:T54">
    <cfRule type="cellIs" dxfId="2" priority="4" operator="lessThan">
      <formula>0</formula>
    </cfRule>
  </conditionalFormatting>
  <conditionalFormatting sqref="F15:G16">
    <cfRule type="expression" dxfId="1" priority="2">
      <formula>AND($K$4&gt;100,$J$9&gt;0)</formula>
    </cfRule>
  </conditionalFormatting>
  <conditionalFormatting sqref="M19:M54">
    <cfRule type="cellIs" dxfId="0" priority="1" operator="equal">
      <formula>0</formula>
    </cfRule>
  </conditionalFormatting>
  <dataValidations count="2">
    <dataValidation type="list" allowBlank="1" showInputMessage="1" showErrorMessage="1" sqref="AA19:AA54" xr:uid="{6000037E-A0B4-4FF9-BE04-65265750578E}">
      <formula1>" ,Y,N"</formula1>
    </dataValidation>
    <dataValidation type="list" allowBlank="1" showInputMessage="1" showErrorMessage="1" sqref="E3" xr:uid="{9C16012B-082F-4D7D-B20A-56F66E813F3C}">
      <formula1>"Fusion,Variable"</formula1>
    </dataValidation>
  </dataValidations>
  <pageMargins left="0.7" right="0.7" top="0.75" bottom="0.75" header="0.3" footer="0.3"/>
  <pageSetup paperSize="9" orientation="portrait" r:id="rId1"/>
  <ignoredErrors>
    <ignoredError sqref="Y21"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AD11F-05B2-449D-9027-BD2CB32AFA9D}">
  <sheetPr codeName="Sheet20">
    <pageSetUpPr fitToPage="1"/>
  </sheetPr>
  <dimension ref="A1:BC90"/>
  <sheetViews>
    <sheetView workbookViewId="0">
      <selection activeCell="XFD18" sqref="XFD18"/>
    </sheetView>
  </sheetViews>
  <sheetFormatPr defaultRowHeight="15" x14ac:dyDescent="0.25"/>
  <cols>
    <col min="1" max="1" width="3.5703125" style="91" customWidth="1"/>
    <col min="2" max="2" width="3.5703125" customWidth="1"/>
    <col min="3" max="3" width="10.42578125" customWidth="1"/>
    <col min="4" max="4" width="8.7109375" customWidth="1"/>
    <col min="5" max="5" width="11" customWidth="1"/>
    <col min="6" max="6" width="1.7109375" customWidth="1"/>
    <col min="7" max="7" width="12.28515625" customWidth="1"/>
    <col min="8" max="8" width="1.5703125" style="91" customWidth="1"/>
    <col min="9" max="9" width="10.85546875" customWidth="1"/>
    <col min="10" max="10" width="3.28515625" customWidth="1"/>
    <col min="11" max="11" width="12.42578125" customWidth="1"/>
    <col min="12" max="12" width="5.140625" customWidth="1"/>
    <col min="13" max="13" width="6.140625" customWidth="1"/>
    <col min="14" max="14" width="10.5703125" customWidth="1"/>
    <col min="15" max="15" width="0.85546875" style="91" customWidth="1"/>
    <col min="16" max="16" width="6.7109375" style="91" customWidth="1"/>
    <col min="17" max="17" width="1" style="91" customWidth="1"/>
    <col min="18" max="18" width="17.85546875" style="91" customWidth="1"/>
    <col min="19" max="19" width="21.28515625" style="91" customWidth="1"/>
    <col min="20" max="20" width="2.85546875" style="91" customWidth="1"/>
    <col min="27" max="27" width="21.7109375" style="91" customWidth="1"/>
    <col min="28" max="28" width="1.140625" style="91" customWidth="1"/>
    <col min="29" max="29" width="3.42578125" style="91" customWidth="1"/>
    <col min="30" max="30" width="10.140625" style="91" customWidth="1"/>
    <col min="31" max="31" width="5.5703125" style="91" customWidth="1"/>
    <col min="32" max="32" width="0.85546875" style="91" customWidth="1"/>
    <col min="33" max="33" width="7.42578125" style="91" hidden="1" customWidth="1"/>
    <col min="34" max="34" width="9.140625" style="91" hidden="1" customWidth="1"/>
    <col min="35" max="55" width="9.140625" style="91"/>
  </cols>
  <sheetData>
    <row r="1" spans="1:55" ht="15.75" thickBot="1" x14ac:dyDescent="0.3">
      <c r="A1" s="508"/>
      <c r="B1" s="617"/>
      <c r="C1" s="697"/>
      <c r="D1" s="508"/>
      <c r="E1" s="698"/>
      <c r="F1" s="508"/>
      <c r="G1" s="508"/>
      <c r="H1" s="508"/>
      <c r="I1" s="508"/>
      <c r="J1" s="697"/>
      <c r="K1" s="508"/>
      <c r="L1" s="508"/>
      <c r="M1" s="508"/>
      <c r="N1" s="508"/>
      <c r="O1" s="508"/>
      <c r="P1" s="508"/>
      <c r="U1" s="508"/>
      <c r="V1" s="508"/>
      <c r="W1" s="508"/>
      <c r="X1" s="508"/>
      <c r="Y1" s="91"/>
      <c r="Z1" s="91"/>
    </row>
    <row r="2" spans="1:55" ht="15.75" x14ac:dyDescent="0.25">
      <c r="A2" s="508"/>
      <c r="B2" s="508"/>
      <c r="C2" s="699" t="s">
        <v>469</v>
      </c>
      <c r="D2" s="508"/>
      <c r="E2" s="698"/>
      <c r="F2" s="508"/>
      <c r="G2" s="508"/>
      <c r="H2" s="508"/>
      <c r="I2" s="508"/>
      <c r="J2" s="697"/>
      <c r="K2" s="508"/>
      <c r="L2" s="508"/>
      <c r="M2" s="508"/>
      <c r="N2" s="508"/>
      <c r="O2" s="508"/>
      <c r="P2" s="508"/>
      <c r="T2" s="700"/>
      <c r="U2" s="701"/>
      <c r="V2" s="701"/>
      <c r="W2" s="701"/>
      <c r="X2" s="701"/>
      <c r="Y2" s="702"/>
      <c r="Z2" s="702"/>
      <c r="AA2" s="702"/>
      <c r="AB2" s="702"/>
      <c r="AC2" s="703"/>
    </row>
    <row r="3" spans="1:55" ht="12.75" customHeight="1" thickBot="1" x14ac:dyDescent="0.3">
      <c r="A3" s="508"/>
      <c r="B3" s="508"/>
      <c r="C3" s="1190"/>
      <c r="D3" s="1190"/>
      <c r="E3" s="1190"/>
      <c r="F3" s="1190"/>
      <c r="G3" s="1190"/>
      <c r="H3" s="508"/>
      <c r="I3" s="508"/>
      <c r="J3" s="697"/>
      <c r="K3" s="508"/>
      <c r="L3" s="508"/>
      <c r="M3" s="704"/>
      <c r="N3" s="705"/>
      <c r="O3" s="704"/>
      <c r="P3" s="704"/>
      <c r="Q3" s="704"/>
      <c r="R3" s="706"/>
      <c r="T3" s="707"/>
      <c r="U3" s="708" t="s">
        <v>470</v>
      </c>
      <c r="V3" s="508"/>
      <c r="W3" s="508"/>
      <c r="X3" s="508"/>
      <c r="Y3" s="508"/>
      <c r="Z3" s="91"/>
      <c r="AC3" s="709"/>
    </row>
    <row r="4" spans="1:55" ht="26.25" customHeight="1" thickBot="1" x14ac:dyDescent="0.3">
      <c r="A4" s="508"/>
      <c r="B4" s="508"/>
      <c r="C4" s="710"/>
      <c r="D4" s="711"/>
      <c r="E4" s="712" t="s">
        <v>471</v>
      </c>
      <c r="F4" s="713"/>
      <c r="G4" s="712" t="s">
        <v>472</v>
      </c>
      <c r="H4" s="714"/>
      <c r="I4" s="712" t="s">
        <v>473</v>
      </c>
      <c r="J4" s="715"/>
      <c r="K4" s="712" t="s">
        <v>474</v>
      </c>
      <c r="L4" s="716"/>
      <c r="M4" s="717" t="s">
        <v>475</v>
      </c>
      <c r="N4" s="508"/>
      <c r="O4" s="508"/>
      <c r="P4" s="508"/>
      <c r="Q4" s="508"/>
      <c r="T4" s="707"/>
      <c r="U4" s="718" t="s">
        <v>476</v>
      </c>
      <c r="V4" s="508"/>
      <c r="W4" s="508"/>
      <c r="X4" s="508"/>
      <c r="Y4" s="508"/>
      <c r="Z4" s="91"/>
      <c r="AC4" s="709"/>
    </row>
    <row r="5" spans="1:55" ht="28.5" customHeight="1" thickBot="1" x14ac:dyDescent="0.3">
      <c r="A5" s="508"/>
      <c r="B5" s="508"/>
      <c r="C5" s="719"/>
      <c r="D5" s="720" t="s">
        <v>477</v>
      </c>
      <c r="E5" s="721">
        <v>2022</v>
      </c>
      <c r="F5" s="300"/>
      <c r="G5" s="721">
        <v>2023</v>
      </c>
      <c r="H5" s="722"/>
      <c r="I5" s="723">
        <v>2024</v>
      </c>
      <c r="J5" s="697"/>
      <c r="K5" s="724" t="str">
        <f>IF(E7="","Provide 2 Years figure",IF(G7="","Provide 2 Years figure",IF(I7&lt;&gt;"","Projection",IF(G7&lt;E7,"Latest Year","2yr Average"))))</f>
        <v>Provide 2 Years figure</v>
      </c>
      <c r="L5" s="725"/>
      <c r="M5" s="726" t="s">
        <v>478</v>
      </c>
      <c r="N5" s="130"/>
      <c r="O5" s="698"/>
      <c r="P5" s="698"/>
      <c r="Q5" s="698"/>
      <c r="R5" s="130"/>
      <c r="T5" s="707"/>
      <c r="U5" s="718" t="s">
        <v>479</v>
      </c>
      <c r="V5" s="508"/>
      <c r="W5" s="508"/>
      <c r="X5" s="508"/>
      <c r="Y5" s="508"/>
      <c r="Z5" s="91"/>
      <c r="AC5" s="709"/>
    </row>
    <row r="6" spans="1:55" ht="9" customHeight="1" x14ac:dyDescent="0.25">
      <c r="A6" s="508"/>
      <c r="B6" s="508"/>
      <c r="C6" s="727"/>
      <c r="D6" s="728"/>
      <c r="E6" s="698"/>
      <c r="F6" s="508"/>
      <c r="G6" s="698"/>
      <c r="H6" s="508"/>
      <c r="I6" s="698"/>
      <c r="J6" s="91"/>
      <c r="L6" s="709"/>
      <c r="M6" s="1191" t="s">
        <v>480</v>
      </c>
      <c r="N6" s="1192"/>
      <c r="O6" s="1192"/>
      <c r="P6" s="1192"/>
      <c r="Q6" s="1192"/>
      <c r="R6" s="1192"/>
      <c r="T6" s="707"/>
      <c r="U6" s="1193" t="s">
        <v>481</v>
      </c>
      <c r="V6" s="1193"/>
      <c r="W6" s="1193"/>
      <c r="X6" s="1193"/>
      <c r="Y6" s="1193"/>
      <c r="Z6" s="1193"/>
      <c r="AA6" s="1193"/>
      <c r="AB6" s="729"/>
      <c r="AC6" s="709"/>
    </row>
    <row r="7" spans="1:55" ht="15" customHeight="1" x14ac:dyDescent="0.25">
      <c r="A7" s="508"/>
      <c r="B7" s="91"/>
      <c r="C7" s="730"/>
      <c r="D7" s="731" t="s">
        <v>482</v>
      </c>
      <c r="E7" s="732"/>
      <c r="F7" s="172"/>
      <c r="G7" s="732"/>
      <c r="H7" s="733"/>
      <c r="I7" s="734"/>
      <c r="J7" s="735"/>
      <c r="K7" s="736">
        <f>IF(G7="",E7,(IF(E7="",G7,(IF($I$7&lt;&gt;"",$I$7,IF($G$7&lt;$E$7,G7,((E7+G7)/2)))))))</f>
        <v>0</v>
      </c>
      <c r="L7" s="737"/>
      <c r="M7" s="1191"/>
      <c r="N7" s="1192"/>
      <c r="O7" s="1192"/>
      <c r="P7" s="1192"/>
      <c r="Q7" s="1192"/>
      <c r="R7" s="1192"/>
      <c r="T7" s="707"/>
      <c r="U7" s="1193"/>
      <c r="V7" s="1193"/>
      <c r="W7" s="1193"/>
      <c r="X7" s="1193"/>
      <c r="Y7" s="1193"/>
      <c r="Z7" s="1193"/>
      <c r="AA7" s="1193"/>
      <c r="AB7" s="729"/>
      <c r="AC7" s="709"/>
    </row>
    <row r="8" spans="1:55" s="91" customFormat="1" ht="4.5" customHeight="1" x14ac:dyDescent="0.25">
      <c r="A8" s="508"/>
      <c r="B8" s="508"/>
      <c r="C8" s="730"/>
      <c r="D8" s="738"/>
      <c r="E8" s="733"/>
      <c r="F8" s="733"/>
      <c r="G8" s="733"/>
      <c r="H8" s="733"/>
      <c r="I8" s="733"/>
      <c r="J8" s="735"/>
      <c r="K8" s="733"/>
      <c r="L8" s="737"/>
      <c r="M8" s="739"/>
      <c r="N8" s="740"/>
      <c r="O8" s="740"/>
      <c r="P8" s="740"/>
      <c r="Q8" s="740"/>
      <c r="R8" s="740"/>
      <c r="T8" s="707"/>
      <c r="U8" s="1194" t="s">
        <v>483</v>
      </c>
      <c r="V8" s="1194"/>
      <c r="W8" s="1194"/>
      <c r="X8" s="1194"/>
      <c r="Y8" s="1194"/>
      <c r="Z8" s="1194"/>
      <c r="AA8" s="1194"/>
      <c r="AC8" s="709"/>
    </row>
    <row r="9" spans="1:55" ht="15" customHeight="1" x14ac:dyDescent="0.25">
      <c r="A9" s="508"/>
      <c r="B9" s="508"/>
      <c r="C9" s="730"/>
      <c r="D9" s="731" t="s">
        <v>484</v>
      </c>
      <c r="E9" s="732"/>
      <c r="F9" s="172"/>
      <c r="G9" s="732"/>
      <c r="H9" s="733"/>
      <c r="I9" s="734"/>
      <c r="J9" s="735"/>
      <c r="K9" s="736">
        <f>IF(G9="",E9,(IF(E9="",G9,(IF($I$7&lt;&gt;"",$I$7,IF($G$7&lt;$E$7,G9,((E9+G9)/2)))))))</f>
        <v>0</v>
      </c>
      <c r="L9" s="737"/>
      <c r="M9" s="1196" t="s">
        <v>485</v>
      </c>
      <c r="N9" s="1197"/>
      <c r="O9" s="1197"/>
      <c r="P9" s="1197"/>
      <c r="Q9" s="1197"/>
      <c r="R9" s="1197"/>
      <c r="T9" s="707"/>
      <c r="U9" s="1194"/>
      <c r="V9" s="1194"/>
      <c r="W9" s="1194"/>
      <c r="X9" s="1194"/>
      <c r="Y9" s="1194"/>
      <c r="Z9" s="1194"/>
      <c r="AA9" s="1194"/>
      <c r="AC9" s="709"/>
    </row>
    <row r="10" spans="1:55" ht="6.75" customHeight="1" x14ac:dyDescent="0.25">
      <c r="A10" s="508"/>
      <c r="B10" s="508"/>
      <c r="C10" s="730"/>
      <c r="D10" s="731"/>
      <c r="E10" s="733"/>
      <c r="F10" s="733"/>
      <c r="G10" s="733"/>
      <c r="H10" s="733"/>
      <c r="I10" s="733"/>
      <c r="J10" s="735"/>
      <c r="K10" s="733"/>
      <c r="L10" s="737"/>
      <c r="M10" s="1198"/>
      <c r="N10" s="1197"/>
      <c r="O10" s="1197"/>
      <c r="P10" s="1197"/>
      <c r="Q10" s="1197"/>
      <c r="R10" s="1197"/>
      <c r="T10" s="707"/>
      <c r="U10" s="1194"/>
      <c r="V10" s="1194"/>
      <c r="W10" s="1194"/>
      <c r="X10" s="1194"/>
      <c r="Y10" s="1194"/>
      <c r="Z10" s="1194"/>
      <c r="AA10" s="1194"/>
      <c r="AC10" s="709"/>
    </row>
    <row r="11" spans="1:55" s="508" customFormat="1" ht="15" customHeight="1" thickBot="1" x14ac:dyDescent="0.3">
      <c r="C11" s="730"/>
      <c r="D11" s="738" t="s">
        <v>486</v>
      </c>
      <c r="E11" s="732"/>
      <c r="F11" s="172"/>
      <c r="G11" s="732"/>
      <c r="H11" s="733"/>
      <c r="I11" s="734"/>
      <c r="J11" s="735"/>
      <c r="K11" s="736">
        <f>IF(G11="",E11,(IF(E11="",G11,(IF($I$7&lt;&gt;"",$I$7,IF($G$7&lt;$E$7,G11,((E11+G11)/2)))))))</f>
        <v>0</v>
      </c>
      <c r="L11" s="737"/>
      <c r="M11" s="1198"/>
      <c r="N11" s="1197"/>
      <c r="O11" s="1197"/>
      <c r="P11" s="1197"/>
      <c r="Q11" s="1197"/>
      <c r="R11" s="1197"/>
      <c r="S11" s="91"/>
      <c r="T11" s="741"/>
      <c r="U11" s="1195"/>
      <c r="V11" s="1195"/>
      <c r="W11" s="1195"/>
      <c r="X11" s="1195"/>
      <c r="Y11" s="1195"/>
      <c r="Z11" s="1195"/>
      <c r="AA11" s="1195"/>
      <c r="AB11" s="742"/>
      <c r="AC11" s="743"/>
      <c r="AD11" s="130"/>
      <c r="AE11" s="130"/>
      <c r="AF11" s="130"/>
      <c r="AG11" s="744"/>
      <c r="AH11" s="744"/>
      <c r="AI11" s="744"/>
    </row>
    <row r="12" spans="1:55" s="508" customFormat="1" ht="6.75" customHeight="1" x14ac:dyDescent="0.25">
      <c r="C12" s="730"/>
      <c r="D12" s="738"/>
      <c r="E12" s="733"/>
      <c r="F12" s="733"/>
      <c r="G12" s="733"/>
      <c r="H12" s="733"/>
      <c r="I12" s="733"/>
      <c r="J12" s="735"/>
      <c r="K12" s="733"/>
      <c r="L12" s="737"/>
      <c r="M12" s="745"/>
      <c r="N12" s="698"/>
      <c r="O12" s="698"/>
      <c r="P12" s="698"/>
      <c r="Q12" s="698"/>
      <c r="R12" s="130"/>
      <c r="S12" s="91"/>
      <c r="U12" s="746"/>
      <c r="V12" s="746"/>
      <c r="W12" s="746"/>
      <c r="X12" s="746"/>
      <c r="Y12" s="746"/>
      <c r="Z12" s="746"/>
      <c r="AA12" s="746"/>
      <c r="AB12" s="746"/>
      <c r="AC12" s="746"/>
      <c r="AD12" s="130"/>
      <c r="AE12" s="130"/>
      <c r="AF12" s="130"/>
      <c r="AG12" s="744"/>
      <c r="AH12" s="744"/>
      <c r="AI12" s="744"/>
    </row>
    <row r="13" spans="1:55" s="508" customFormat="1" ht="15" customHeight="1" x14ac:dyDescent="0.25">
      <c r="C13" s="730"/>
      <c r="D13" s="731" t="s">
        <v>487</v>
      </c>
      <c r="E13" s="732"/>
      <c r="F13" s="172"/>
      <c r="G13" s="732"/>
      <c r="H13" s="733"/>
      <c r="I13" s="734"/>
      <c r="J13" s="735"/>
      <c r="K13" s="736">
        <f>IF(G13="",E13,(IF(E13="",G13,(IF($I$7&lt;&gt;"",$I$7,IF($G$7&lt;$E$7,G13,((E13+G13)/2)))))))</f>
        <v>0</v>
      </c>
      <c r="L13" s="737"/>
      <c r="M13" s="745"/>
      <c r="N13" s="698"/>
      <c r="O13" s="698"/>
      <c r="P13" s="698"/>
      <c r="Q13" s="698"/>
      <c r="R13" s="130"/>
      <c r="S13" s="91"/>
      <c r="T13" s="91"/>
      <c r="U13" s="746"/>
      <c r="V13" s="746"/>
      <c r="W13" s="746"/>
      <c r="X13" s="746"/>
      <c r="Y13" s="746"/>
      <c r="Z13" s="746"/>
      <c r="AA13" s="746"/>
      <c r="AB13" s="746"/>
      <c r="AC13" s="746"/>
      <c r="AD13" s="130"/>
      <c r="AE13" s="130"/>
      <c r="AF13" s="130"/>
      <c r="AG13" s="744"/>
      <c r="AH13" s="744"/>
      <c r="AI13" s="744"/>
    </row>
    <row r="14" spans="1:55" s="508" customFormat="1" ht="8.25" customHeight="1" x14ac:dyDescent="0.25">
      <c r="C14" s="730"/>
      <c r="D14" s="738"/>
      <c r="E14" s="733"/>
      <c r="F14" s="733"/>
      <c r="G14" s="733"/>
      <c r="H14" s="733"/>
      <c r="I14" s="733"/>
      <c r="J14" s="735"/>
      <c r="K14" s="733"/>
      <c r="L14" s="737"/>
      <c r="M14" s="745"/>
      <c r="N14" s="698"/>
      <c r="O14" s="698"/>
      <c r="P14" s="698"/>
      <c r="Q14" s="698"/>
      <c r="R14" s="130"/>
      <c r="S14" s="91"/>
      <c r="T14" s="91"/>
      <c r="U14" s="746"/>
      <c r="V14" s="746"/>
      <c r="W14" s="746"/>
      <c r="X14" s="746"/>
      <c r="Y14" s="746"/>
      <c r="Z14" s="746"/>
      <c r="AA14" s="746"/>
      <c r="AB14" s="746"/>
      <c r="AC14" s="746"/>
      <c r="AD14" s="130"/>
      <c r="AE14" s="130"/>
      <c r="AF14" s="130"/>
      <c r="AG14" s="744"/>
      <c r="AH14" s="744"/>
      <c r="AI14" s="744"/>
    </row>
    <row r="15" spans="1:55" s="494" customFormat="1" ht="15.75" x14ac:dyDescent="0.25">
      <c r="A15" s="508"/>
      <c r="B15" s="508"/>
      <c r="C15" s="730"/>
      <c r="D15" s="720" t="s">
        <v>488</v>
      </c>
      <c r="E15" s="732"/>
      <c r="F15" s="172"/>
      <c r="G15" s="732"/>
      <c r="H15" s="733"/>
      <c r="I15" s="734"/>
      <c r="J15" s="735"/>
      <c r="K15" s="736">
        <f>IF(G15="",E15,(IF(E15="",G15,(IF($I$7&lt;&gt;"",$I$7,IF($G$7&lt;$E$7,G15,((E15+G15)/2)))))))</f>
        <v>0</v>
      </c>
      <c r="L15" s="737"/>
      <c r="M15" s="745"/>
      <c r="N15" s="698"/>
      <c r="O15" s="698"/>
      <c r="P15" s="698"/>
      <c r="Q15" s="698"/>
      <c r="R15" s="130"/>
      <c r="S15" s="91"/>
      <c r="T15" s="91"/>
      <c r="V15" s="508"/>
      <c r="W15" s="508"/>
      <c r="X15" s="508"/>
      <c r="Y15" s="508"/>
      <c r="Z15" s="508"/>
      <c r="AA15" s="508"/>
      <c r="AB15" s="747"/>
      <c r="AC15" s="130"/>
      <c r="AD15" s="748"/>
      <c r="AE15" s="748"/>
      <c r="AF15" s="748"/>
      <c r="AG15" s="744"/>
      <c r="AH15" s="744"/>
      <c r="AI15" s="744"/>
      <c r="AJ15" s="508"/>
      <c r="AK15" s="508"/>
      <c r="AL15" s="508"/>
      <c r="AM15" s="508"/>
      <c r="AN15" s="508"/>
      <c r="AO15" s="508"/>
      <c r="AP15" s="508"/>
      <c r="AQ15" s="508"/>
      <c r="AR15" s="508"/>
      <c r="AS15" s="508"/>
      <c r="AT15" s="508"/>
      <c r="AU15" s="508"/>
      <c r="AV15" s="508"/>
      <c r="AW15" s="508"/>
      <c r="AX15" s="508"/>
      <c r="AY15" s="508"/>
      <c r="AZ15" s="508"/>
      <c r="BA15" s="508"/>
      <c r="BB15" s="508"/>
      <c r="BC15" s="508"/>
    </row>
    <row r="16" spans="1:55" s="494" customFormat="1" ht="6.75" customHeight="1" x14ac:dyDescent="0.25">
      <c r="A16" s="508"/>
      <c r="B16" s="508"/>
      <c r="C16" s="730"/>
      <c r="D16" s="749"/>
      <c r="E16" s="733"/>
      <c r="F16" s="733"/>
      <c r="G16" s="733"/>
      <c r="H16" s="733"/>
      <c r="I16" s="733"/>
      <c r="J16" s="735"/>
      <c r="K16" s="733"/>
      <c r="L16" s="737"/>
      <c r="M16" s="745"/>
      <c r="N16" s="698"/>
      <c r="O16" s="698"/>
      <c r="P16" s="698"/>
      <c r="Q16" s="698"/>
      <c r="R16" s="130"/>
      <c r="S16" s="91"/>
      <c r="T16" s="91"/>
      <c r="U16" s="91"/>
      <c r="V16" s="508"/>
      <c r="W16" s="508"/>
      <c r="X16" s="508"/>
      <c r="Y16" s="508"/>
      <c r="Z16" s="508"/>
      <c r="AA16" s="508"/>
      <c r="AB16" s="747"/>
      <c r="AC16" s="130"/>
      <c r="AD16" s="748"/>
      <c r="AE16" s="748"/>
      <c r="AF16" s="748"/>
      <c r="AG16" s="744"/>
      <c r="AH16" s="744"/>
      <c r="AI16" s="744"/>
      <c r="AJ16" s="508"/>
      <c r="AK16" s="508"/>
      <c r="AL16" s="508"/>
      <c r="AM16" s="508"/>
      <c r="AN16" s="508"/>
      <c r="AO16" s="508"/>
      <c r="AP16" s="508"/>
      <c r="AQ16" s="508"/>
      <c r="AR16" s="508"/>
      <c r="AS16" s="508"/>
      <c r="AT16" s="508"/>
      <c r="AU16" s="508"/>
      <c r="AV16" s="508"/>
      <c r="AW16" s="508"/>
      <c r="AX16" s="508"/>
      <c r="AY16" s="508"/>
      <c r="AZ16" s="508"/>
      <c r="BA16" s="508"/>
      <c r="BB16" s="508"/>
      <c r="BC16" s="508"/>
    </row>
    <row r="17" spans="1:55" s="494" customFormat="1" ht="18" customHeight="1" x14ac:dyDescent="0.25">
      <c r="A17" s="508"/>
      <c r="B17" s="508"/>
      <c r="C17" s="750" t="s">
        <v>489</v>
      </c>
      <c r="D17" s="751"/>
      <c r="E17" s="752"/>
      <c r="F17" s="752"/>
      <c r="G17" s="752"/>
      <c r="H17" s="752"/>
      <c r="I17" s="752"/>
      <c r="J17" s="752"/>
      <c r="K17" s="752"/>
      <c r="L17" s="753"/>
      <c r="M17" s="745" t="s">
        <v>490</v>
      </c>
      <c r="N17" s="698"/>
      <c r="O17" s="698"/>
      <c r="P17" s="698"/>
      <c r="Q17" s="698"/>
      <c r="R17" s="130"/>
      <c r="S17" s="91"/>
      <c r="T17" s="91"/>
      <c r="U17" s="91"/>
      <c r="V17" s="508"/>
      <c r="W17" s="508"/>
      <c r="X17" s="508"/>
      <c r="Y17" s="508"/>
      <c r="Z17" s="508"/>
      <c r="AA17" s="508"/>
      <c r="AB17" s="747"/>
      <c r="AC17" s="130"/>
      <c r="AD17" s="748"/>
      <c r="AE17" s="748"/>
      <c r="AF17" s="748"/>
      <c r="AG17" s="744"/>
      <c r="AH17" s="744"/>
      <c r="AI17" s="744"/>
      <c r="AJ17" s="508"/>
      <c r="AK17" s="508"/>
      <c r="AL17" s="508"/>
      <c r="AM17" s="508"/>
      <c r="AN17" s="508"/>
      <c r="AO17" s="508"/>
      <c r="AP17" s="508"/>
      <c r="AQ17" s="508"/>
      <c r="AR17" s="508"/>
      <c r="AS17" s="508"/>
      <c r="AT17" s="508"/>
      <c r="AU17" s="508"/>
      <c r="AV17" s="508"/>
      <c r="AW17" s="508"/>
      <c r="AX17" s="508"/>
      <c r="AY17" s="508"/>
      <c r="AZ17" s="508"/>
      <c r="BA17" s="508"/>
      <c r="BB17" s="508"/>
      <c r="BC17" s="508"/>
    </row>
    <row r="18" spans="1:55" s="494" customFormat="1" ht="15.75" x14ac:dyDescent="0.25">
      <c r="A18" s="508"/>
      <c r="B18" s="508"/>
      <c r="C18" s="754"/>
      <c r="D18" s="720" t="s">
        <v>491</v>
      </c>
      <c r="E18" s="755"/>
      <c r="F18" s="172"/>
      <c r="G18" s="732"/>
      <c r="H18" s="733"/>
      <c r="I18" s="734"/>
      <c r="J18" s="735"/>
      <c r="K18" s="736">
        <f>IF(I18&lt;&gt;"",I18,G18)</f>
        <v>0</v>
      </c>
      <c r="L18" s="737"/>
      <c r="M18" s="745" t="s">
        <v>492</v>
      </c>
      <c r="N18" s="698"/>
      <c r="O18" s="698"/>
      <c r="P18" s="698"/>
      <c r="Q18" s="698"/>
      <c r="R18" s="130"/>
      <c r="S18" s="91"/>
      <c r="T18" s="91"/>
      <c r="U18" s="91"/>
      <c r="V18" s="508"/>
      <c r="W18" s="508"/>
      <c r="X18" s="508"/>
      <c r="Y18" s="508"/>
      <c r="Z18" s="508"/>
      <c r="AA18" s="508"/>
      <c r="AB18" s="747"/>
      <c r="AC18" s="130"/>
      <c r="AD18" s="748"/>
      <c r="AE18" s="748"/>
      <c r="AF18" s="748"/>
      <c r="AG18" s="744"/>
      <c r="AH18" s="744"/>
      <c r="AI18" s="744"/>
      <c r="AJ18" s="508"/>
      <c r="AK18" s="508"/>
      <c r="AL18" s="508"/>
      <c r="AM18" s="508"/>
      <c r="AN18" s="508"/>
      <c r="AO18" s="508"/>
      <c r="AP18" s="508"/>
      <c r="AQ18" s="508"/>
      <c r="AR18" s="508"/>
      <c r="AS18" s="508"/>
      <c r="AT18" s="508"/>
      <c r="AU18" s="508"/>
      <c r="AV18" s="508"/>
      <c r="AW18" s="508"/>
      <c r="AX18" s="508"/>
      <c r="AY18" s="508"/>
      <c r="AZ18" s="508"/>
      <c r="BA18" s="508"/>
      <c r="BB18" s="508"/>
      <c r="BC18" s="508"/>
    </row>
    <row r="19" spans="1:55" s="508" customFormat="1" ht="6.75" customHeight="1" x14ac:dyDescent="0.25">
      <c r="C19" s="730"/>
      <c r="D19" s="720"/>
      <c r="E19" s="733"/>
      <c r="F19" s="733"/>
      <c r="G19" s="733"/>
      <c r="H19" s="733"/>
      <c r="I19" s="733"/>
      <c r="J19" s="735"/>
      <c r="K19" s="733"/>
      <c r="L19" s="737"/>
      <c r="M19" s="698"/>
      <c r="N19" s="698"/>
      <c r="O19" s="698"/>
      <c r="P19" s="698"/>
      <c r="Q19" s="698"/>
      <c r="R19" s="130"/>
      <c r="S19" s="91"/>
      <c r="T19" s="91"/>
      <c r="U19" s="91"/>
      <c r="AB19" s="747"/>
      <c r="AC19" s="130"/>
      <c r="AD19" s="748"/>
      <c r="AE19" s="748"/>
      <c r="AF19" s="748"/>
      <c r="AG19" s="744"/>
      <c r="AH19" s="744"/>
      <c r="AI19" s="744"/>
    </row>
    <row r="20" spans="1:55" s="494" customFormat="1" ht="15.75" x14ac:dyDescent="0.25">
      <c r="A20" s="508"/>
      <c r="B20" s="508"/>
      <c r="C20" s="730"/>
      <c r="D20" s="720" t="s">
        <v>493</v>
      </c>
      <c r="E20" s="755"/>
      <c r="F20" s="172"/>
      <c r="G20" s="732"/>
      <c r="H20" s="733"/>
      <c r="I20" s="734"/>
      <c r="J20" s="735"/>
      <c r="K20" s="736">
        <f>IF(I20&lt;&gt;"",I20,G20)</f>
        <v>0</v>
      </c>
      <c r="L20" s="737"/>
      <c r="M20" s="745" t="s">
        <v>494</v>
      </c>
      <c r="N20" s="698"/>
      <c r="O20" s="698"/>
      <c r="P20" s="698"/>
      <c r="Q20" s="698"/>
      <c r="R20" s="130"/>
      <c r="S20" s="91"/>
      <c r="T20" s="91"/>
      <c r="U20" s="91"/>
      <c r="V20" s="508"/>
      <c r="W20" s="508"/>
      <c r="X20" s="508"/>
      <c r="Y20" s="508"/>
      <c r="Z20" s="508"/>
      <c r="AA20" s="508"/>
      <c r="AB20" s="747"/>
      <c r="AC20" s="130"/>
      <c r="AD20" s="748"/>
      <c r="AE20" s="748"/>
      <c r="AF20" s="748"/>
      <c r="AG20" s="744"/>
      <c r="AH20" s="744"/>
      <c r="AI20" s="744"/>
      <c r="AJ20" s="508"/>
      <c r="AK20" s="508"/>
      <c r="AL20" s="508"/>
      <c r="AM20" s="508"/>
      <c r="AN20" s="508"/>
      <c r="AO20" s="508"/>
      <c r="AP20" s="508"/>
      <c r="AQ20" s="508"/>
      <c r="AR20" s="508"/>
      <c r="AS20" s="508"/>
      <c r="AT20" s="508"/>
      <c r="AU20" s="508"/>
      <c r="AV20" s="508"/>
      <c r="AW20" s="508"/>
      <c r="AX20" s="508"/>
      <c r="AY20" s="508"/>
      <c r="AZ20" s="508"/>
      <c r="BA20" s="508"/>
      <c r="BB20" s="508"/>
      <c r="BC20" s="508"/>
    </row>
    <row r="21" spans="1:55" s="508" customFormat="1" ht="6.75" customHeight="1" x14ac:dyDescent="0.25">
      <c r="C21" s="730"/>
      <c r="D21" s="720"/>
      <c r="E21" s="733"/>
      <c r="F21" s="733"/>
      <c r="G21" s="733"/>
      <c r="H21" s="733"/>
      <c r="I21" s="733"/>
      <c r="J21" s="735"/>
      <c r="K21" s="733"/>
      <c r="L21" s="737"/>
      <c r="M21" s="698"/>
      <c r="N21" s="698"/>
      <c r="O21" s="698"/>
      <c r="P21" s="698"/>
      <c r="Q21" s="698"/>
      <c r="R21" s="130"/>
      <c r="S21" s="91"/>
      <c r="T21" s="91"/>
      <c r="U21" s="91"/>
      <c r="AB21" s="747"/>
      <c r="AC21" s="130"/>
      <c r="AD21" s="748"/>
      <c r="AE21" s="748"/>
      <c r="AF21" s="748"/>
      <c r="AG21" s="744"/>
      <c r="AH21" s="744"/>
      <c r="AI21" s="744"/>
    </row>
    <row r="22" spans="1:55" s="494" customFormat="1" x14ac:dyDescent="0.25">
      <c r="A22" s="508"/>
      <c r="B22" s="508"/>
      <c r="C22" s="756"/>
      <c r="D22" s="731" t="s">
        <v>495</v>
      </c>
      <c r="E22" s="755"/>
      <c r="F22" s="172"/>
      <c r="G22" s="732"/>
      <c r="H22" s="733"/>
      <c r="I22" s="734"/>
      <c r="J22" s="735"/>
      <c r="K22" s="736">
        <f>IF(I22&lt;&gt;"",I22,G22)</f>
        <v>0</v>
      </c>
      <c r="L22" s="737"/>
      <c r="M22" s="745" t="s">
        <v>496</v>
      </c>
      <c r="N22" s="698"/>
      <c r="O22" s="698"/>
      <c r="P22" s="698"/>
      <c r="Q22" s="698"/>
      <c r="R22" s="130"/>
      <c r="S22" s="91"/>
      <c r="T22" s="91"/>
      <c r="U22" s="91"/>
      <c r="V22" s="508"/>
      <c r="W22" s="508"/>
      <c r="X22" s="508"/>
      <c r="Y22" s="508"/>
      <c r="Z22" s="508"/>
      <c r="AA22" s="508"/>
      <c r="AB22" s="698"/>
      <c r="AC22" s="130"/>
      <c r="AD22" s="130"/>
      <c r="AE22" s="130"/>
      <c r="AF22" s="130"/>
      <c r="AG22" s="757"/>
      <c r="AH22" s="757"/>
      <c r="AI22" s="758"/>
      <c r="AJ22" s="508"/>
      <c r="AK22" s="508"/>
      <c r="AL22" s="508"/>
      <c r="AM22" s="508"/>
      <c r="AN22" s="508"/>
      <c r="AO22" s="508"/>
      <c r="AP22" s="508"/>
      <c r="AQ22" s="508"/>
      <c r="AR22" s="508"/>
      <c r="AS22" s="508"/>
      <c r="AT22" s="508"/>
      <c r="AU22" s="508"/>
      <c r="AV22" s="508"/>
      <c r="AW22" s="508"/>
      <c r="AX22" s="508"/>
      <c r="AY22" s="508"/>
      <c r="AZ22" s="508"/>
      <c r="BA22" s="508"/>
      <c r="BB22" s="508"/>
      <c r="BC22" s="508"/>
    </row>
    <row r="23" spans="1:55" s="508" customFormat="1" ht="7.5" customHeight="1" x14ac:dyDescent="0.25">
      <c r="C23" s="756"/>
      <c r="D23" s="731"/>
      <c r="E23" s="733"/>
      <c r="F23" s="733"/>
      <c r="G23" s="733"/>
      <c r="H23" s="733"/>
      <c r="I23" s="733"/>
      <c r="J23" s="735"/>
      <c r="K23" s="733"/>
      <c r="L23" s="737"/>
      <c r="M23" s="698"/>
      <c r="N23" s="698"/>
      <c r="O23" s="698"/>
      <c r="P23" s="698"/>
      <c r="Q23" s="698"/>
      <c r="R23" s="130"/>
      <c r="S23" s="91"/>
      <c r="T23" s="91"/>
      <c r="U23" s="91"/>
      <c r="AB23" s="698"/>
      <c r="AC23" s="130"/>
      <c r="AD23" s="130"/>
      <c r="AE23" s="130"/>
      <c r="AF23" s="130"/>
      <c r="AG23" s="757"/>
      <c r="AH23" s="757"/>
      <c r="AI23" s="758"/>
    </row>
    <row r="24" spans="1:55" s="494" customFormat="1" ht="15.75" customHeight="1" x14ac:dyDescent="0.25">
      <c r="A24" s="508"/>
      <c r="B24" s="508"/>
      <c r="C24" s="730"/>
      <c r="D24" s="720" t="s">
        <v>497</v>
      </c>
      <c r="E24" s="755"/>
      <c r="F24" s="172"/>
      <c r="G24" s="732"/>
      <c r="H24" s="733"/>
      <c r="I24" s="734"/>
      <c r="J24" s="735"/>
      <c r="K24" s="736">
        <f>IF(I24&lt;&gt;"",I24,G24)</f>
        <v>0</v>
      </c>
      <c r="L24" s="737"/>
      <c r="M24" s="759" t="s">
        <v>498</v>
      </c>
      <c r="N24" s="698"/>
      <c r="O24" s="698"/>
      <c r="P24" s="698"/>
      <c r="Q24" s="698"/>
      <c r="R24" s="130"/>
      <c r="S24" s="91"/>
      <c r="T24" s="91"/>
      <c r="U24" s="91"/>
      <c r="V24" s="508"/>
      <c r="W24" s="508"/>
      <c r="X24" s="508"/>
      <c r="Y24" s="508"/>
      <c r="Z24" s="508"/>
      <c r="AA24" s="760"/>
      <c r="AB24" s="508"/>
      <c r="AC24" s="508"/>
      <c r="AD24" s="508"/>
      <c r="AE24" s="508"/>
      <c r="AF24" s="761"/>
      <c r="AG24" s="762"/>
      <c r="AH24" s="762"/>
      <c r="AI24" s="762"/>
      <c r="AJ24" s="508"/>
      <c r="AK24" s="508"/>
      <c r="AL24" s="508"/>
      <c r="AM24" s="508"/>
      <c r="AN24" s="508"/>
      <c r="AO24" s="508"/>
      <c r="AP24" s="508"/>
      <c r="AQ24" s="508"/>
      <c r="AR24" s="508"/>
      <c r="AS24" s="508"/>
      <c r="AT24" s="508"/>
      <c r="AU24" s="508"/>
      <c r="AV24" s="508"/>
      <c r="AW24" s="508"/>
      <c r="AX24" s="508"/>
      <c r="AY24" s="508"/>
      <c r="AZ24" s="508"/>
      <c r="BA24" s="508"/>
      <c r="BB24" s="508"/>
      <c r="BC24" s="508"/>
    </row>
    <row r="25" spans="1:55" s="508" customFormat="1" ht="7.5" customHeight="1" x14ac:dyDescent="0.25">
      <c r="C25" s="763"/>
      <c r="D25" s="764"/>
      <c r="E25" s="765"/>
      <c r="F25" s="765"/>
      <c r="G25" s="765"/>
      <c r="H25" s="765"/>
      <c r="I25" s="765"/>
      <c r="J25" s="765"/>
      <c r="K25" s="765"/>
      <c r="L25" s="766"/>
      <c r="M25" s="698"/>
      <c r="N25" s="698"/>
      <c r="O25" s="698"/>
      <c r="P25" s="698"/>
      <c r="Q25" s="698"/>
      <c r="R25" s="130"/>
      <c r="S25" s="91"/>
      <c r="T25" s="91"/>
      <c r="U25" s="91"/>
      <c r="AA25" s="760"/>
      <c r="AF25" s="761"/>
      <c r="AG25" s="762"/>
      <c r="AH25" s="762"/>
      <c r="AI25" s="762"/>
    </row>
    <row r="26" spans="1:55" s="494" customFormat="1" ht="15" customHeight="1" thickBot="1" x14ac:dyDescent="0.3">
      <c r="A26" s="508"/>
      <c r="B26" s="508"/>
      <c r="C26" s="767" t="s">
        <v>499</v>
      </c>
      <c r="D26" s="97"/>
      <c r="E26" s="733"/>
      <c r="F26" s="733"/>
      <c r="G26" s="733"/>
      <c r="H26" s="733"/>
      <c r="I26" s="733"/>
      <c r="J26" s="733"/>
      <c r="K26" s="733"/>
      <c r="L26" s="737"/>
      <c r="M26" s="698"/>
      <c r="N26" s="698"/>
      <c r="O26" s="698"/>
      <c r="P26" s="698"/>
      <c r="Q26" s="698"/>
      <c r="R26" s="130"/>
      <c r="S26" s="91"/>
      <c r="T26" s="91"/>
      <c r="U26" s="91"/>
      <c r="V26" s="508"/>
      <c r="W26" s="508"/>
      <c r="X26" s="508"/>
      <c r="Y26" s="508"/>
      <c r="Z26" s="508"/>
      <c r="AA26" s="760"/>
      <c r="AB26" s="508"/>
      <c r="AC26" s="508"/>
      <c r="AD26" s="508"/>
      <c r="AE26" s="508"/>
      <c r="AF26" s="761"/>
      <c r="AG26" s="762"/>
      <c r="AH26" s="762"/>
      <c r="AI26" s="762"/>
      <c r="AJ26" s="508"/>
      <c r="AK26" s="508"/>
      <c r="AL26" s="508"/>
      <c r="AM26" s="508"/>
      <c r="AN26" s="508"/>
      <c r="AO26" s="508"/>
      <c r="AP26" s="508"/>
      <c r="AQ26" s="508"/>
      <c r="AR26" s="508"/>
      <c r="AS26" s="508"/>
      <c r="AT26" s="508"/>
      <c r="AU26" s="508"/>
      <c r="AV26" s="508"/>
      <c r="AW26" s="508"/>
      <c r="AX26" s="508"/>
      <c r="AY26" s="508"/>
      <c r="AZ26" s="508"/>
      <c r="BA26" s="508"/>
      <c r="BB26" s="508"/>
      <c r="BC26" s="508"/>
    </row>
    <row r="27" spans="1:55" s="494" customFormat="1" ht="15.75" customHeight="1" thickBot="1" x14ac:dyDescent="0.3">
      <c r="A27" s="508"/>
      <c r="B27" s="508"/>
      <c r="C27" s="756"/>
      <c r="D27" s="768" t="s">
        <v>500</v>
      </c>
      <c r="E27" s="769">
        <f>E7+E9+E11+E13+E15+E22+E24</f>
        <v>0</v>
      </c>
      <c r="F27" s="770"/>
      <c r="G27" s="769">
        <f>G7+G9+G11+G13+G15+G22+G24+G18+G20</f>
        <v>0</v>
      </c>
      <c r="H27" s="771"/>
      <c r="I27" s="769">
        <f>I7+I9+I11+I13+I15+I22+I24+I18+I20</f>
        <v>0</v>
      </c>
      <c r="J27" s="771"/>
      <c r="K27" s="772">
        <f>K7+K9+K11+K13+K15+K22+K24+K18+K20</f>
        <v>0</v>
      </c>
      <c r="L27" s="773"/>
      <c r="M27" s="745" t="s">
        <v>501</v>
      </c>
      <c r="N27" s="698"/>
      <c r="O27" s="698"/>
      <c r="P27" s="698"/>
      <c r="Q27" s="698"/>
      <c r="R27" s="130"/>
      <c r="S27" s="91"/>
      <c r="T27" s="91"/>
      <c r="U27" s="91"/>
      <c r="V27" s="508"/>
      <c r="W27" s="508"/>
      <c r="X27" s="508"/>
      <c r="Y27" s="508"/>
      <c r="Z27" s="508"/>
      <c r="AA27" s="760"/>
      <c r="AB27" s="508"/>
      <c r="AC27" s="508"/>
      <c r="AD27" s="508"/>
      <c r="AE27" s="508"/>
      <c r="AF27" s="761"/>
      <c r="AG27" s="762"/>
      <c r="AH27" s="762"/>
      <c r="AI27" s="762"/>
      <c r="AJ27" s="508"/>
      <c r="AK27" s="508"/>
      <c r="AL27" s="508"/>
      <c r="AM27" s="508"/>
      <c r="AN27" s="508"/>
      <c r="AO27" s="508"/>
      <c r="AP27" s="508"/>
      <c r="AQ27" s="508"/>
      <c r="AR27" s="508"/>
      <c r="AS27" s="508"/>
      <c r="AT27" s="508"/>
      <c r="AU27" s="508"/>
      <c r="AV27" s="508"/>
      <c r="AW27" s="508"/>
      <c r="AX27" s="508"/>
      <c r="AY27" s="508"/>
      <c r="AZ27" s="508"/>
      <c r="BA27" s="508"/>
      <c r="BB27" s="508"/>
      <c r="BC27" s="508"/>
    </row>
    <row r="28" spans="1:55" s="494" customFormat="1" ht="15.75" thickBot="1" x14ac:dyDescent="0.3">
      <c r="A28" s="508"/>
      <c r="B28" s="508"/>
      <c r="C28" s="774"/>
      <c r="D28" s="775"/>
      <c r="E28" s="775"/>
      <c r="F28" s="775"/>
      <c r="G28" s="775"/>
      <c r="H28" s="775"/>
      <c r="I28" s="775"/>
      <c r="J28" s="775"/>
      <c r="K28" s="776"/>
      <c r="L28" s="777"/>
      <c r="M28" s="508"/>
      <c r="N28" s="508"/>
      <c r="O28" s="508"/>
      <c r="P28" s="508"/>
      <c r="Q28" s="508"/>
      <c r="R28" s="91"/>
      <c r="S28" s="91"/>
      <c r="T28" s="91"/>
      <c r="U28" s="91"/>
      <c r="V28" s="508"/>
      <c r="W28" s="508"/>
      <c r="X28" s="508"/>
      <c r="Y28" s="508"/>
      <c r="Z28" s="508"/>
      <c r="AA28" s="760"/>
      <c r="AB28" s="508"/>
      <c r="AC28" s="508"/>
      <c r="AD28" s="508"/>
      <c r="AE28" s="508"/>
      <c r="AF28" s="778"/>
      <c r="AG28" s="762"/>
      <c r="AH28" s="762"/>
      <c r="AI28" s="762"/>
      <c r="AJ28" s="508"/>
      <c r="AK28" s="508"/>
      <c r="AL28" s="508"/>
      <c r="AM28" s="508"/>
      <c r="AN28" s="508"/>
      <c r="AO28" s="508"/>
      <c r="AP28" s="508"/>
      <c r="AQ28" s="508"/>
      <c r="AR28" s="508"/>
      <c r="AS28" s="508"/>
      <c r="AT28" s="508"/>
      <c r="AU28" s="508"/>
      <c r="AV28" s="508"/>
      <c r="AW28" s="508"/>
      <c r="AX28" s="508"/>
      <c r="AY28" s="508"/>
      <c r="AZ28" s="508"/>
      <c r="BA28" s="508"/>
      <c r="BB28" s="508"/>
      <c r="BC28" s="508"/>
    </row>
    <row r="29" spans="1:55" s="494" customFormat="1" ht="9.75" customHeight="1" x14ac:dyDescent="0.25">
      <c r="A29" s="508"/>
      <c r="B29" s="508"/>
      <c r="C29" s="508"/>
      <c r="D29" s="508"/>
      <c r="E29" s="508"/>
      <c r="F29" s="508"/>
      <c r="G29" s="508"/>
      <c r="H29" s="508"/>
      <c r="I29" s="508"/>
      <c r="J29" s="508"/>
      <c r="K29" s="508"/>
      <c r="L29" s="508"/>
      <c r="M29" s="508"/>
      <c r="N29" s="508"/>
      <c r="O29" s="508"/>
      <c r="P29" s="508"/>
      <c r="Q29" s="508"/>
      <c r="R29" s="91"/>
      <c r="S29" s="91"/>
      <c r="T29" s="91"/>
      <c r="U29" s="91"/>
      <c r="V29" s="508"/>
      <c r="W29" s="508"/>
      <c r="X29" s="508"/>
      <c r="Y29" s="508"/>
      <c r="Z29" s="508"/>
      <c r="AA29" s="760"/>
      <c r="AB29" s="508"/>
      <c r="AC29" s="508"/>
      <c r="AD29" s="508"/>
      <c r="AE29" s="508"/>
      <c r="AF29" s="779"/>
      <c r="AG29" s="780"/>
      <c r="AH29" s="780"/>
      <c r="AI29" s="780"/>
      <c r="AJ29" s="508"/>
      <c r="AK29" s="508"/>
      <c r="AL29" s="508"/>
      <c r="AM29" s="508"/>
      <c r="AN29" s="508"/>
      <c r="AO29" s="508"/>
      <c r="AP29" s="508"/>
      <c r="AQ29" s="508"/>
      <c r="AR29" s="508"/>
      <c r="AS29" s="508"/>
      <c r="AT29" s="508"/>
      <c r="AU29" s="508"/>
      <c r="AV29" s="508"/>
      <c r="AW29" s="508"/>
      <c r="AX29" s="508"/>
      <c r="AY29" s="508"/>
      <c r="AZ29" s="508"/>
      <c r="BA29" s="508"/>
      <c r="BB29" s="508"/>
      <c r="BC29" s="508"/>
    </row>
    <row r="30" spans="1:55" s="494" customFormat="1" ht="31.5" customHeight="1" x14ac:dyDescent="0.25">
      <c r="A30" s="508"/>
      <c r="B30" s="508"/>
      <c r="C30" s="781" t="s">
        <v>502</v>
      </c>
      <c r="D30" s="508"/>
      <c r="E30" s="508"/>
      <c r="F30" s="508"/>
      <c r="G30" s="508"/>
      <c r="H30" s="508"/>
      <c r="I30" s="508"/>
      <c r="J30" s="508"/>
      <c r="K30" s="1189"/>
      <c r="L30" s="1189"/>
      <c r="M30" s="1189"/>
      <c r="N30" s="508"/>
      <c r="O30" s="508"/>
      <c r="P30" s="508"/>
      <c r="Q30" s="508"/>
      <c r="R30" s="91"/>
      <c r="S30" s="91"/>
      <c r="T30" s="91"/>
      <c r="U30" s="91"/>
      <c r="V30" s="508"/>
      <c r="W30" s="508"/>
      <c r="X30" s="508"/>
      <c r="Y30" s="508"/>
      <c r="Z30" s="508"/>
      <c r="AA30" s="760"/>
      <c r="AB30" s="508"/>
      <c r="AC30" s="508"/>
      <c r="AD30" s="508"/>
      <c r="AE30" s="508"/>
      <c r="AF30" s="782"/>
      <c r="AG30" s="762"/>
      <c r="AH30" s="762"/>
      <c r="AI30" s="762"/>
      <c r="AJ30" s="508"/>
      <c r="AK30" s="508"/>
      <c r="AL30" s="508"/>
      <c r="AM30" s="508"/>
      <c r="AN30" s="508"/>
      <c r="AO30" s="508"/>
      <c r="AP30" s="508"/>
      <c r="AQ30" s="508"/>
      <c r="AR30" s="508"/>
      <c r="AS30" s="508"/>
      <c r="AT30" s="508"/>
      <c r="AU30" s="508"/>
      <c r="AV30" s="508"/>
      <c r="AW30" s="508"/>
      <c r="AX30" s="508"/>
      <c r="AY30" s="508"/>
      <c r="AZ30" s="508"/>
      <c r="BA30" s="508"/>
      <c r="BB30" s="508"/>
      <c r="BC30" s="508"/>
    </row>
    <row r="31" spans="1:55" s="785" customFormat="1" ht="15" customHeight="1" x14ac:dyDescent="0.2">
      <c r="A31" s="760"/>
      <c r="B31" s="760"/>
      <c r="C31" s="760" t="s">
        <v>503</v>
      </c>
      <c r="D31" s="760"/>
      <c r="E31" s="760"/>
      <c r="F31" s="760"/>
      <c r="G31" s="760"/>
      <c r="H31" s="760"/>
      <c r="I31" s="760"/>
      <c r="J31" s="760"/>
      <c r="K31" s="760"/>
      <c r="L31" s="760"/>
      <c r="M31" s="760"/>
      <c r="N31" s="760"/>
      <c r="O31" s="760"/>
      <c r="P31" s="760"/>
      <c r="Q31" s="760"/>
      <c r="R31" s="228"/>
      <c r="S31" s="228"/>
      <c r="T31" s="228"/>
      <c r="U31" s="228"/>
      <c r="V31" s="760"/>
      <c r="W31" s="760"/>
      <c r="X31" s="760"/>
      <c r="Y31" s="760"/>
      <c r="Z31" s="760"/>
      <c r="AA31" s="760"/>
      <c r="AB31" s="760"/>
      <c r="AC31" s="760"/>
      <c r="AD31" s="760"/>
      <c r="AE31" s="760"/>
      <c r="AF31" s="783"/>
      <c r="AG31" s="784"/>
      <c r="AH31" s="784"/>
      <c r="AI31" s="784"/>
      <c r="AJ31" s="760"/>
      <c r="AK31" s="760"/>
      <c r="AL31" s="760"/>
      <c r="AM31" s="760"/>
      <c r="AN31" s="760"/>
      <c r="AO31" s="760"/>
      <c r="AP31" s="760"/>
      <c r="AQ31" s="760"/>
      <c r="AR31" s="760"/>
      <c r="AS31" s="760"/>
      <c r="AT31" s="760"/>
      <c r="AU31" s="760"/>
      <c r="AV31" s="760"/>
      <c r="AW31" s="760"/>
      <c r="AX31" s="760"/>
      <c r="AY31" s="760"/>
      <c r="AZ31" s="760"/>
      <c r="BA31" s="760"/>
      <c r="BB31" s="760"/>
      <c r="BC31" s="760"/>
    </row>
    <row r="32" spans="1:55" s="785" customFormat="1" ht="15" customHeight="1" x14ac:dyDescent="0.2">
      <c r="A32" s="760"/>
      <c r="B32" s="760"/>
      <c r="C32" s="760" t="s">
        <v>504</v>
      </c>
      <c r="D32" s="760"/>
      <c r="E32" s="760"/>
      <c r="F32" s="760"/>
      <c r="G32" s="760"/>
      <c r="H32" s="760"/>
      <c r="I32" s="760"/>
      <c r="J32" s="760"/>
      <c r="K32" s="760"/>
      <c r="L32" s="760"/>
      <c r="M32" s="760"/>
      <c r="N32" s="760"/>
      <c r="O32" s="760"/>
      <c r="P32" s="760"/>
      <c r="Q32" s="228"/>
      <c r="R32" s="228"/>
      <c r="S32" s="228"/>
      <c r="T32" s="228"/>
      <c r="U32" s="760"/>
      <c r="V32" s="760"/>
      <c r="W32" s="760"/>
      <c r="X32" s="760"/>
      <c r="Y32" s="760"/>
      <c r="Z32" s="760"/>
      <c r="AA32" s="760"/>
      <c r="AB32" s="760"/>
      <c r="AC32" s="760"/>
      <c r="AD32" s="760"/>
      <c r="AE32" s="786"/>
      <c r="AF32" s="784"/>
      <c r="AG32" s="784"/>
      <c r="AH32" s="784"/>
      <c r="AI32" s="760"/>
      <c r="AJ32" s="760"/>
      <c r="AK32" s="760"/>
      <c r="AL32" s="760"/>
      <c r="AM32" s="760"/>
      <c r="AN32" s="760"/>
      <c r="AO32" s="760"/>
      <c r="AP32" s="760"/>
      <c r="AQ32" s="760"/>
      <c r="AR32" s="760"/>
      <c r="AS32" s="760"/>
      <c r="AT32" s="760"/>
      <c r="AU32" s="760"/>
      <c r="AV32" s="760"/>
      <c r="AW32" s="760"/>
      <c r="AX32" s="760"/>
      <c r="AY32" s="760"/>
      <c r="AZ32" s="760"/>
      <c r="BA32" s="760"/>
      <c r="BB32" s="760"/>
      <c r="BC32" s="760"/>
    </row>
    <row r="33" spans="1:34" s="760" customFormat="1" ht="15" customHeight="1" x14ac:dyDescent="0.2">
      <c r="C33" s="760" t="s">
        <v>505</v>
      </c>
      <c r="Q33" s="228"/>
      <c r="R33" s="228"/>
      <c r="S33" s="228"/>
      <c r="T33" s="228"/>
      <c r="AE33" s="787"/>
      <c r="AF33" s="228"/>
      <c r="AG33" s="228"/>
      <c r="AH33" s="228"/>
    </row>
    <row r="34" spans="1:34" s="760" customFormat="1" ht="15" customHeight="1" x14ac:dyDescent="0.2">
      <c r="C34" s="760" t="s">
        <v>506</v>
      </c>
      <c r="Q34" s="228"/>
      <c r="R34" s="228"/>
      <c r="S34" s="228"/>
      <c r="T34" s="228"/>
      <c r="AE34" s="228"/>
      <c r="AF34" s="228"/>
      <c r="AG34" s="228"/>
      <c r="AH34" s="228"/>
    </row>
    <row r="35" spans="1:34" s="508" customFormat="1" x14ac:dyDescent="0.25">
      <c r="C35" s="760" t="s">
        <v>507</v>
      </c>
      <c r="Q35" s="91"/>
      <c r="R35" s="91"/>
      <c r="S35" s="91"/>
      <c r="T35" s="91"/>
      <c r="AE35" s="788"/>
      <c r="AF35" s="91"/>
      <c r="AG35" s="91"/>
      <c r="AH35" s="91"/>
    </row>
    <row r="36" spans="1:34" s="508" customFormat="1" ht="38.25" customHeight="1" x14ac:dyDescent="0.25">
      <c r="A36" s="760"/>
      <c r="B36" s="760"/>
      <c r="D36" s="760"/>
      <c r="E36" s="760"/>
      <c r="F36" s="760"/>
      <c r="G36" s="760"/>
      <c r="H36" s="760"/>
      <c r="I36" s="760"/>
      <c r="J36" s="760"/>
      <c r="K36" s="760"/>
      <c r="L36" s="760"/>
      <c r="M36" s="760"/>
      <c r="N36" s="760"/>
      <c r="O36" s="760"/>
      <c r="P36" s="760"/>
      <c r="Q36" s="91"/>
      <c r="R36" s="91"/>
      <c r="S36" s="91"/>
      <c r="T36" s="91"/>
      <c r="U36" s="760"/>
      <c r="V36" s="760"/>
      <c r="W36" s="760"/>
      <c r="X36" s="760"/>
      <c r="AE36" s="788"/>
      <c r="AF36" s="91"/>
      <c r="AG36" s="91"/>
      <c r="AH36" s="91"/>
    </row>
    <row r="37" spans="1:34" s="508" customFormat="1" x14ac:dyDescent="0.25">
      <c r="A37" s="760"/>
      <c r="B37" s="760"/>
      <c r="D37" s="760"/>
      <c r="E37" s="760"/>
      <c r="F37" s="760"/>
      <c r="G37" s="760"/>
      <c r="H37" s="760"/>
      <c r="I37" s="760"/>
      <c r="J37" s="760"/>
      <c r="K37" s="760"/>
      <c r="L37" s="760"/>
      <c r="M37" s="760"/>
      <c r="N37" s="760"/>
      <c r="O37" s="760"/>
      <c r="P37" s="760"/>
      <c r="Q37" s="91"/>
      <c r="R37" s="91"/>
      <c r="S37" s="91"/>
      <c r="T37" s="91"/>
      <c r="U37" s="760"/>
      <c r="V37" s="760"/>
      <c r="W37" s="760"/>
      <c r="X37" s="760"/>
      <c r="AF37" s="91"/>
      <c r="AG37" s="91"/>
      <c r="AH37" s="91"/>
    </row>
    <row r="38" spans="1:34" s="508" customFormat="1" x14ac:dyDescent="0.25">
      <c r="Q38" s="91"/>
      <c r="R38" s="91"/>
      <c r="S38" s="91"/>
      <c r="T38" s="91"/>
      <c r="AF38" s="91"/>
      <c r="AG38" s="91"/>
      <c r="AH38" s="91"/>
    </row>
    <row r="39" spans="1:34" s="508" customFormat="1" x14ac:dyDescent="0.25">
      <c r="A39" s="91"/>
      <c r="B39" s="91"/>
      <c r="C39" s="91"/>
      <c r="D39" s="91"/>
      <c r="E39" s="91"/>
      <c r="F39" s="91"/>
      <c r="G39" s="91"/>
      <c r="H39" s="91"/>
      <c r="I39" s="91"/>
      <c r="J39" s="91"/>
      <c r="K39" s="91"/>
      <c r="L39" s="91"/>
      <c r="M39" s="91"/>
      <c r="N39" s="91"/>
      <c r="O39" s="91"/>
      <c r="P39" s="91"/>
      <c r="Q39" s="91"/>
      <c r="R39" s="91"/>
      <c r="S39" s="91"/>
      <c r="T39" s="91"/>
      <c r="U39" s="91"/>
      <c r="V39" s="91"/>
      <c r="W39" s="91"/>
      <c r="X39" s="91"/>
      <c r="AE39" s="789"/>
      <c r="AF39" s="91"/>
      <c r="AG39" s="91"/>
      <c r="AH39" s="91"/>
    </row>
    <row r="40" spans="1:34" s="91" customFormat="1" x14ac:dyDescent="0.25"/>
    <row r="41" spans="1:34" s="91" customFormat="1" x14ac:dyDescent="0.25"/>
    <row r="42" spans="1:34" s="91" customFormat="1" x14ac:dyDescent="0.25"/>
    <row r="43" spans="1:34" s="91" customFormat="1" x14ac:dyDescent="0.25"/>
    <row r="44" spans="1:34" s="91" customFormat="1" x14ac:dyDescent="0.25"/>
    <row r="45" spans="1:34" s="91" customFormat="1" x14ac:dyDescent="0.25"/>
    <row r="46" spans="1:34" s="91" customFormat="1" x14ac:dyDescent="0.25"/>
    <row r="47" spans="1:34" s="91" customFormat="1" x14ac:dyDescent="0.25"/>
    <row r="48" spans="1:34" s="91" customFormat="1" x14ac:dyDescent="0.25"/>
    <row r="49" s="91" customFormat="1" x14ac:dyDescent="0.25"/>
    <row r="50" s="91" customFormat="1" x14ac:dyDescent="0.25"/>
    <row r="51" s="91" customFormat="1" x14ac:dyDescent="0.25"/>
    <row r="52" s="91" customFormat="1" x14ac:dyDescent="0.25"/>
    <row r="53" s="91" customFormat="1" x14ac:dyDescent="0.25"/>
    <row r="54" s="91" customFormat="1" x14ac:dyDescent="0.25"/>
    <row r="55" s="91" customFormat="1" x14ac:dyDescent="0.25"/>
    <row r="56" s="91" customFormat="1" x14ac:dyDescent="0.25"/>
    <row r="57" s="91" customFormat="1" x14ac:dyDescent="0.25"/>
    <row r="58" s="91" customFormat="1" x14ac:dyDescent="0.25"/>
    <row r="59" s="91" customFormat="1" x14ac:dyDescent="0.25"/>
    <row r="60" s="91" customFormat="1" x14ac:dyDescent="0.25"/>
    <row r="61" s="91" customFormat="1" x14ac:dyDescent="0.25"/>
    <row r="62" s="91" customFormat="1" x14ac:dyDescent="0.25"/>
    <row r="63" s="91" customFormat="1" x14ac:dyDescent="0.25"/>
    <row r="64" s="91" customFormat="1" x14ac:dyDescent="0.25"/>
    <row r="65" s="91" customFormat="1" x14ac:dyDescent="0.25"/>
    <row r="66" s="91" customFormat="1" x14ac:dyDescent="0.25"/>
    <row r="67" s="91" customFormat="1" x14ac:dyDescent="0.25"/>
    <row r="68" s="91" customFormat="1" x14ac:dyDescent="0.25"/>
    <row r="69" s="91" customFormat="1" x14ac:dyDescent="0.25"/>
    <row r="70" s="91" customFormat="1" x14ac:dyDescent="0.25"/>
    <row r="71" s="91" customFormat="1" x14ac:dyDescent="0.25"/>
    <row r="72" s="91" customFormat="1" x14ac:dyDescent="0.25"/>
    <row r="73" s="91" customFormat="1" x14ac:dyDescent="0.25"/>
    <row r="74" s="91" customFormat="1" x14ac:dyDescent="0.25"/>
    <row r="75" s="91" customFormat="1" x14ac:dyDescent="0.25"/>
    <row r="76" s="91" customFormat="1" x14ac:dyDescent="0.25"/>
    <row r="77" s="91" customFormat="1" x14ac:dyDescent="0.25"/>
    <row r="78" s="91" customFormat="1" x14ac:dyDescent="0.25"/>
    <row r="79" s="91" customFormat="1" x14ac:dyDescent="0.25"/>
    <row r="80" s="91" customFormat="1" x14ac:dyDescent="0.25"/>
    <row r="81" s="91" customFormat="1" x14ac:dyDescent="0.25"/>
    <row r="82" s="91" customFormat="1" x14ac:dyDescent="0.25"/>
    <row r="83" s="91" customFormat="1" x14ac:dyDescent="0.25"/>
    <row r="84" s="91" customFormat="1" x14ac:dyDescent="0.25"/>
    <row r="85" s="91" customFormat="1" x14ac:dyDescent="0.25"/>
    <row r="86" s="91" customFormat="1" x14ac:dyDescent="0.25"/>
    <row r="87" s="91" customFormat="1" x14ac:dyDescent="0.25"/>
    <row r="88" s="91" customFormat="1" x14ac:dyDescent="0.25"/>
    <row r="89" s="91" customFormat="1" x14ac:dyDescent="0.25"/>
    <row r="90" s="91" customFormat="1" x14ac:dyDescent="0.25"/>
  </sheetData>
  <mergeCells count="6">
    <mergeCell ref="K30:M30"/>
    <mergeCell ref="C3:G3"/>
    <mergeCell ref="M6:R7"/>
    <mergeCell ref="U6:AA7"/>
    <mergeCell ref="U8:AA11"/>
    <mergeCell ref="M9:R11"/>
  </mergeCells>
  <pageMargins left="0.25" right="0.25" top="0.75" bottom="0.75" header="0.3" footer="0.3"/>
  <pageSetup paperSize="9" scale="32"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E434-C050-49D3-8AEA-E86CF5BCDD04}">
  <sheetPr codeName="Sheet13"/>
  <dimension ref="B2:AG45"/>
  <sheetViews>
    <sheetView topLeftCell="A15" zoomScale="85" zoomScaleNormal="85" workbookViewId="0">
      <selection activeCell="E34" sqref="E34"/>
    </sheetView>
  </sheetViews>
  <sheetFormatPr defaultRowHeight="15" x14ac:dyDescent="0.25"/>
  <cols>
    <col min="1" max="1" width="15.42578125" customWidth="1"/>
    <col min="2" max="2" width="16.5703125" bestFit="1" customWidth="1"/>
    <col min="3" max="3" width="20" customWidth="1"/>
    <col min="4" max="4" width="18.42578125" bestFit="1" customWidth="1"/>
    <col min="5" max="5" width="15.140625" customWidth="1"/>
    <col min="6" max="6" width="12.28515625" bestFit="1" customWidth="1"/>
    <col min="7" max="7" width="13.85546875" bestFit="1" customWidth="1"/>
    <col min="8" max="8" width="13.42578125" customWidth="1"/>
    <col min="9" max="9" width="23.28515625" customWidth="1"/>
    <col min="10" max="10" width="12.7109375" customWidth="1"/>
    <col min="12" max="12" width="2.140625" style="317" customWidth="1"/>
    <col min="14" max="14" width="11.5703125" customWidth="1"/>
    <col min="15" max="16" width="15.28515625" bestFit="1" customWidth="1"/>
    <col min="17" max="17" width="17.7109375" customWidth="1"/>
    <col min="18" max="18" width="12.42578125" customWidth="1"/>
    <col min="19" max="22" width="15.28515625" bestFit="1" customWidth="1"/>
  </cols>
  <sheetData>
    <row r="2" spans="2:33" ht="15.75" thickBot="1" x14ac:dyDescent="0.3">
      <c r="C2" s="194" t="s">
        <v>26</v>
      </c>
      <c r="D2" s="212">
        <f>'Input Sheet'!C21</f>
        <v>0</v>
      </c>
      <c r="E2" s="194" t="s">
        <v>1</v>
      </c>
      <c r="F2" s="179">
        <f>'Input Sheet'!C28</f>
        <v>0</v>
      </c>
      <c r="G2" s="194" t="s">
        <v>4</v>
      </c>
      <c r="H2" s="180">
        <f>IFERROR(D2/F2,0)</f>
        <v>0</v>
      </c>
      <c r="I2" s="194" t="s">
        <v>460</v>
      </c>
      <c r="J2" s="180" t="e">
        <f>'Input Sheet'!C19/Rates!F2</f>
        <v>#DIV/0!</v>
      </c>
      <c r="O2" s="76"/>
    </row>
    <row r="3" spans="2:33" ht="15" customHeight="1" x14ac:dyDescent="0.25">
      <c r="P3" s="1201" t="s">
        <v>224</v>
      </c>
      <c r="Q3" s="1202"/>
      <c r="R3" s="1202"/>
      <c r="S3" s="1203"/>
      <c r="AB3" s="1199" t="s">
        <v>146</v>
      </c>
      <c r="AC3" s="1199"/>
      <c r="AD3" s="1199"/>
      <c r="AE3" s="1199"/>
    </row>
    <row r="4" spans="2:33" ht="15.75" customHeight="1" thickBot="1" x14ac:dyDescent="0.3">
      <c r="C4" s="1199" t="s">
        <v>149</v>
      </c>
      <c r="D4" s="1199"/>
      <c r="E4" s="1199"/>
      <c r="F4" s="1199"/>
      <c r="G4" s="1199"/>
      <c r="H4" s="1207"/>
      <c r="I4" s="1208"/>
      <c r="P4" s="1204"/>
      <c r="Q4" s="1205"/>
      <c r="R4" s="1205"/>
      <c r="S4" s="1206"/>
      <c r="AB4" s="1199"/>
      <c r="AC4" s="1199"/>
      <c r="AD4" s="1199"/>
      <c r="AE4" s="1199"/>
    </row>
    <row r="5" spans="2:33" ht="15" customHeight="1" x14ac:dyDescent="0.25">
      <c r="C5" s="1199"/>
      <c r="D5" s="1199"/>
      <c r="E5" s="1199"/>
      <c r="F5" s="1199"/>
      <c r="G5" s="1199"/>
      <c r="H5" s="1209"/>
      <c r="I5" s="1210"/>
    </row>
    <row r="7" spans="2:33" ht="75" x14ac:dyDescent="0.25">
      <c r="B7" s="305"/>
      <c r="C7" s="182" t="s">
        <v>111</v>
      </c>
      <c r="D7" s="182" t="s">
        <v>112</v>
      </c>
      <c r="E7" s="182" t="s">
        <v>113</v>
      </c>
      <c r="F7" s="182" t="s">
        <v>114</v>
      </c>
      <c r="G7" s="182" t="s">
        <v>119</v>
      </c>
      <c r="H7" s="182" t="s">
        <v>150</v>
      </c>
      <c r="I7" s="182" t="s">
        <v>151</v>
      </c>
      <c r="J7" s="183" t="s">
        <v>115</v>
      </c>
      <c r="N7" s="181" t="s">
        <v>4</v>
      </c>
      <c r="O7" s="182" t="str">
        <f>C7</f>
        <v>Resi BTL single unit</v>
      </c>
      <c r="P7" s="182" t="str">
        <f t="shared" ref="P7:Q7" si="0">D7</f>
        <v>Resi Large Loan</v>
      </c>
      <c r="Q7" s="182" t="str">
        <f t="shared" si="0"/>
        <v>Resi Portfolio</v>
      </c>
      <c r="R7" s="182" t="s">
        <v>114</v>
      </c>
      <c r="S7" s="182" t="str">
        <f>G7</f>
        <v>Permitted/Light Dev</v>
      </c>
      <c r="T7" s="182" t="str">
        <f>H7</f>
        <v>Semi &amp; Full Commercial</v>
      </c>
      <c r="U7" s="182" t="str">
        <f>I7</f>
        <v xml:space="preserve">Semi &amp; Full Commercial Large Loan </v>
      </c>
      <c r="V7" s="182" t="str">
        <f>J7</f>
        <v>2nd charge</v>
      </c>
      <c r="W7" s="181" t="s">
        <v>143</v>
      </c>
      <c r="Z7" s="182" t="str">
        <f>O7</f>
        <v>Resi BTL single unit</v>
      </c>
      <c r="AA7" s="182" t="str">
        <f t="shared" ref="AA7:AG7" si="1">P7</f>
        <v>Resi Large Loan</v>
      </c>
      <c r="AB7" s="182" t="str">
        <f t="shared" si="1"/>
        <v>Resi Portfolio</v>
      </c>
      <c r="AC7" s="182" t="s">
        <v>114</v>
      </c>
      <c r="AD7" s="182" t="str">
        <f t="shared" si="1"/>
        <v>Permitted/Light Dev</v>
      </c>
      <c r="AE7" s="182" t="str">
        <f t="shared" si="1"/>
        <v>Semi &amp; Full Commercial</v>
      </c>
      <c r="AF7" s="182" t="str">
        <f t="shared" si="1"/>
        <v xml:space="preserve">Semi &amp; Full Commercial Large Loan </v>
      </c>
      <c r="AG7" s="182" t="str">
        <f t="shared" si="1"/>
        <v>2nd charge</v>
      </c>
    </row>
    <row r="8" spans="2:33" x14ac:dyDescent="0.25">
      <c r="B8" s="307">
        <v>0.6</v>
      </c>
      <c r="C8" s="374">
        <v>4.0000000000000001E-3</v>
      </c>
      <c r="D8" s="374">
        <v>5.0000000000000001E-3</v>
      </c>
      <c r="E8" s="374">
        <v>4.4999999999999997E-3</v>
      </c>
      <c r="F8" s="374">
        <v>4.4999999999999997E-3</v>
      </c>
      <c r="G8" s="374">
        <v>4.4999999999999997E-3</v>
      </c>
      <c r="H8" s="374">
        <v>4.4999999999999997E-3</v>
      </c>
      <c r="I8" s="374">
        <v>5.0000000000000001E-3</v>
      </c>
      <c r="J8" s="375">
        <v>4.4999999999999997E-3</v>
      </c>
      <c r="N8" s="184">
        <v>0.6</v>
      </c>
      <c r="O8" s="190">
        <f>CEILING($D$2/(1-IF('Input Sheet'!$C$34="",$C$13,'Input Sheet'!$C$34)-(C8+'Input Sheet'!$C$42)*('Input Sheet'!$I$7)),1000)</f>
        <v>0</v>
      </c>
      <c r="P8" s="190">
        <f>CEILING($D$2/(1-IF('Input Sheet'!$C$34="",$C$13,'Input Sheet'!$C$34)-(D8+'Input Sheet'!$C$42)*('Input Sheet'!$I$7)),1000)</f>
        <v>0</v>
      </c>
      <c r="Q8" s="190">
        <f>CEILING($D$2/(1-IF('Input Sheet'!$C$34="",$C$13,'Input Sheet'!$C$34)-(E8+'Input Sheet'!$C$42)*('Input Sheet'!$I$7)),1000)</f>
        <v>0</v>
      </c>
      <c r="R8" s="190">
        <f>CEILING($D$2/(1-IF('Input Sheet'!$C$34="",$C$13,'Input Sheet'!$C$34)-(F8+'Input Sheet'!$C$42)*('Input Sheet'!$I$7)),1000)</f>
        <v>0</v>
      </c>
      <c r="S8" s="190">
        <f>CEILING($D$2/(1-IF('Input Sheet'!$C$34="",$C$13,'Input Sheet'!$C$34)-(G8+'Input Sheet'!$C$42)*('Input Sheet'!$I$7)),1000)</f>
        <v>0</v>
      </c>
      <c r="T8" s="190">
        <f>CEILING($D$2/(1-IF('Input Sheet'!$C$34="",$C$13,'Input Sheet'!$C$34)-(H8+'Input Sheet'!$C$42)*('Input Sheet'!$I$7)),1000)</f>
        <v>0</v>
      </c>
      <c r="U8" s="190">
        <f>CEILING($D$2/(1-IF('Input Sheet'!$C$34="",$C$13,'Input Sheet'!$C$34)-(I8+'Input Sheet'!$C$42)*('Input Sheet'!$I$7)),1000)</f>
        <v>0</v>
      </c>
      <c r="V8" s="190">
        <f>CEILING($D$2/(1-IF('Input Sheet'!$C$34="",$C$13,'Input Sheet'!$C$34)-(J8+'Input Sheet'!$C$42)*('Input Sheet'!$I$7)),1000)</f>
        <v>0</v>
      </c>
      <c r="W8" s="184">
        <v>0.6</v>
      </c>
      <c r="Z8" s="76" t="e">
        <f t="shared" ref="Z8:Z10" si="2">(O8/$F$2)</f>
        <v>#DIV/0!</v>
      </c>
      <c r="AA8" s="76" t="e">
        <f t="shared" ref="AA8:AC10" si="3">(P8/$F$2)</f>
        <v>#DIV/0!</v>
      </c>
      <c r="AB8" s="76" t="e">
        <f t="shared" si="3"/>
        <v>#DIV/0!</v>
      </c>
      <c r="AC8" s="76" t="e">
        <f t="shared" si="3"/>
        <v>#DIV/0!</v>
      </c>
      <c r="AD8" s="76" t="e">
        <f t="shared" ref="AD8:AG10" si="4">(S8/$F$2)</f>
        <v>#DIV/0!</v>
      </c>
      <c r="AE8" s="76" t="e">
        <f t="shared" si="4"/>
        <v>#DIV/0!</v>
      </c>
      <c r="AF8" s="76" t="e">
        <f t="shared" si="4"/>
        <v>#DIV/0!</v>
      </c>
      <c r="AG8" s="76" t="e">
        <f t="shared" si="4"/>
        <v>#DIV/0!</v>
      </c>
    </row>
    <row r="9" spans="2:33" x14ac:dyDescent="0.25">
      <c r="B9" s="306">
        <v>0.7</v>
      </c>
      <c r="C9" s="372">
        <v>5.0000000000000001E-3</v>
      </c>
      <c r="D9" s="372">
        <v>6.0000000000000001E-3</v>
      </c>
      <c r="E9" s="372">
        <v>5.4999999999999997E-3</v>
      </c>
      <c r="F9" s="372">
        <v>5.4999999999999997E-3</v>
      </c>
      <c r="G9" s="372">
        <v>5.4999999999999997E-3</v>
      </c>
      <c r="H9" s="372">
        <v>5.4999999999999997E-3</v>
      </c>
      <c r="I9" s="372">
        <v>6.0000000000000001E-3</v>
      </c>
      <c r="J9" s="373">
        <v>5.4999999999999997E-3</v>
      </c>
      <c r="N9" s="184">
        <f>IF('Input Sheet'!C17="Yes",100%,70%)</f>
        <v>0.7</v>
      </c>
      <c r="O9" s="190">
        <f>CEILING($D$2/(1-IF('Input Sheet'!$C$34="",$C$13,'Input Sheet'!$C$34)-(C9+'Input Sheet'!$C$42)*('Input Sheet'!$I$7)),1000)</f>
        <v>0</v>
      </c>
      <c r="P9" s="190">
        <f>CEILING($D$2/(1-IF('Input Sheet'!$C$34="",$C$13,'Input Sheet'!$C$34)-(D9+'Input Sheet'!$C$42)*('Input Sheet'!$I$7)),1000)</f>
        <v>0</v>
      </c>
      <c r="Q9" s="190">
        <f>CEILING($D$2/(1-IF('Input Sheet'!$C$34="",$C$13,'Input Sheet'!$C$34)-(E9+'Input Sheet'!$C$42)*('Input Sheet'!$I$7)),1000)</f>
        <v>0</v>
      </c>
      <c r="R9" s="190">
        <f>CEILING($D$2/(1-IF('Input Sheet'!$C$34="",$C$13,'Input Sheet'!$C$34)-(F9+'Input Sheet'!$C$42)*('Input Sheet'!$I$7)),1000)</f>
        <v>0</v>
      </c>
      <c r="S9" s="190">
        <f>CEILING($D$2/(1-IF('Input Sheet'!$C$34="",$C$13,'Input Sheet'!$C$34)-(G9+'Input Sheet'!$C$42)*('Input Sheet'!$I$7)),1000)</f>
        <v>0</v>
      </c>
      <c r="T9" s="190">
        <f>CEILING($D$2/(1-IF('Input Sheet'!$C$34="",$C$13,'Input Sheet'!$C$34)-(H9+'Input Sheet'!$C$42)*('Input Sheet'!$I$7)),1000)</f>
        <v>0</v>
      </c>
      <c r="U9" s="190">
        <f>CEILING($D$2/(1-IF('Input Sheet'!$C$34="",$C$13,'Input Sheet'!$C$34)-(I9+'Input Sheet'!$C$42)*('Input Sheet'!$I$7)),1000)</f>
        <v>0</v>
      </c>
      <c r="V9" s="190">
        <f>CEILING($D$2/(1-IF('Input Sheet'!$C$34="",$C$13,'Input Sheet'!$C$34)-(J9+'Input Sheet'!$C$42)*('Input Sheet'!$I$7)),1000)</f>
        <v>0</v>
      </c>
      <c r="W9" s="184">
        <v>0.7</v>
      </c>
      <c r="Z9" s="76" t="e">
        <f t="shared" si="2"/>
        <v>#DIV/0!</v>
      </c>
      <c r="AA9" s="76" t="e">
        <f t="shared" si="3"/>
        <v>#DIV/0!</v>
      </c>
      <c r="AB9" s="76" t="e">
        <f t="shared" si="3"/>
        <v>#DIV/0!</v>
      </c>
      <c r="AC9" s="76" t="e">
        <f t="shared" si="3"/>
        <v>#DIV/0!</v>
      </c>
      <c r="AD9" s="76" t="e">
        <f t="shared" si="4"/>
        <v>#DIV/0!</v>
      </c>
      <c r="AE9" s="76" t="e">
        <f t="shared" si="4"/>
        <v>#DIV/0!</v>
      </c>
      <c r="AF9" s="76" t="e">
        <f t="shared" si="4"/>
        <v>#DIV/0!</v>
      </c>
      <c r="AG9" s="76" t="e">
        <f t="shared" si="4"/>
        <v>#DIV/0!</v>
      </c>
    </row>
    <row r="10" spans="2:33" x14ac:dyDescent="0.25">
      <c r="B10" s="307">
        <v>0.75</v>
      </c>
      <c r="C10" s="374">
        <v>6.0000000000000001E-3</v>
      </c>
      <c r="D10" s="374">
        <v>7.0000000000000001E-3</v>
      </c>
      <c r="E10" s="374">
        <v>6.4999999999999997E-3</v>
      </c>
      <c r="F10" s="374">
        <v>6.4999999999999997E-3</v>
      </c>
      <c r="G10" s="374">
        <v>6.4999999999999997E-3</v>
      </c>
      <c r="H10" s="374">
        <v>6.4999999999999997E-3</v>
      </c>
      <c r="I10" s="374">
        <v>7.0000000000000001E-3</v>
      </c>
      <c r="J10" s="375" t="s">
        <v>172</v>
      </c>
      <c r="N10" s="184">
        <v>1</v>
      </c>
      <c r="O10" s="190">
        <f>CEILING($D$2/(1-IF('Input Sheet'!$C$34="",$C$13,'Input Sheet'!$C$34)-(C10+'Input Sheet'!$C$42)*('Input Sheet'!$I$7)),1000)</f>
        <v>0</v>
      </c>
      <c r="P10" s="190">
        <f>CEILING($D$2/(1-IF('Input Sheet'!$C$34="",$C$13,'Input Sheet'!$C$34)-(D10+'Input Sheet'!$C$42)*('Input Sheet'!$I$7)),1000)</f>
        <v>0</v>
      </c>
      <c r="Q10" s="190">
        <f>CEILING($D$2/(1-IF('Input Sheet'!$C$34="",$C$13,'Input Sheet'!$C$34)-(E10+'Input Sheet'!$C$42)*('Input Sheet'!$I$7)),1000)</f>
        <v>0</v>
      </c>
      <c r="R10" s="190">
        <f>CEILING($D$2/(1-IF('Input Sheet'!$C$34="",$C$13,'Input Sheet'!$C$34)-(F10+'Input Sheet'!$C$42)*('Input Sheet'!$I$7)),1000)</f>
        <v>0</v>
      </c>
      <c r="S10" s="190">
        <f>CEILING($D$2/(1-IF('Input Sheet'!$C$34="",$C$13,'Input Sheet'!$C$34)-(G10+'Input Sheet'!$C$42)*('Input Sheet'!$I$7)),1000)</f>
        <v>0</v>
      </c>
      <c r="T10" s="190">
        <f>CEILING($D$2/(1-IF('Input Sheet'!$C$34="",$C$13,'Input Sheet'!$C$34)-(H10+'Input Sheet'!$C$42)*('Input Sheet'!$I$7)),1000)</f>
        <v>0</v>
      </c>
      <c r="U10" s="190">
        <f>CEILING($D$2/(1-IF('Input Sheet'!$C$34="",$C$13,'Input Sheet'!$C$34)-(I10+'Input Sheet'!$C$42)*('Input Sheet'!$I$7)),1000)</f>
        <v>0</v>
      </c>
      <c r="V10" s="190" t="s">
        <v>131</v>
      </c>
      <c r="W10" s="184">
        <v>0.75</v>
      </c>
      <c r="X10" s="74"/>
      <c r="Y10" s="74"/>
      <c r="Z10" s="76" t="e">
        <f t="shared" si="2"/>
        <v>#DIV/0!</v>
      </c>
      <c r="AA10" s="76" t="e">
        <f t="shared" si="3"/>
        <v>#DIV/0!</v>
      </c>
      <c r="AB10" s="76" t="e">
        <f t="shared" si="3"/>
        <v>#DIV/0!</v>
      </c>
      <c r="AC10" s="76" t="e">
        <f t="shared" si="3"/>
        <v>#DIV/0!</v>
      </c>
      <c r="AD10" s="76" t="e">
        <f t="shared" si="4"/>
        <v>#DIV/0!</v>
      </c>
      <c r="AE10" s="76" t="e">
        <f t="shared" si="4"/>
        <v>#DIV/0!</v>
      </c>
      <c r="AF10" s="76" t="e">
        <f t="shared" si="4"/>
        <v>#DIV/0!</v>
      </c>
      <c r="AG10" s="76" t="e">
        <f t="shared" si="4"/>
        <v>#VALUE!</v>
      </c>
    </row>
    <row r="11" spans="2:33" x14ac:dyDescent="0.25">
      <c r="B11" s="308" t="s">
        <v>136</v>
      </c>
      <c r="C11" s="376">
        <v>4000000</v>
      </c>
      <c r="D11" s="376">
        <v>20000000</v>
      </c>
      <c r="E11" s="376">
        <v>50000000</v>
      </c>
      <c r="F11" s="376">
        <v>30000000</v>
      </c>
      <c r="G11" s="376">
        <v>20000000</v>
      </c>
      <c r="H11" s="376">
        <v>3000000</v>
      </c>
      <c r="I11" s="376">
        <v>15000000</v>
      </c>
      <c r="J11" s="377">
        <v>4000000</v>
      </c>
      <c r="N11" s="185" t="s">
        <v>136</v>
      </c>
      <c r="O11" s="186">
        <v>3000000</v>
      </c>
      <c r="P11" s="186">
        <v>20000000</v>
      </c>
      <c r="Q11" s="186">
        <v>50000000</v>
      </c>
      <c r="R11" s="186">
        <v>30000000</v>
      </c>
      <c r="S11" s="186">
        <v>20000000</v>
      </c>
      <c r="T11" s="186">
        <v>2000000</v>
      </c>
      <c r="U11" s="186">
        <v>15000000</v>
      </c>
      <c r="V11" s="882">
        <v>4000000</v>
      </c>
    </row>
    <row r="12" spans="2:33" x14ac:dyDescent="0.25">
      <c r="B12" s="304" t="s">
        <v>137</v>
      </c>
      <c r="C12" s="693">
        <v>100000</v>
      </c>
      <c r="D12" s="693">
        <v>4000001</v>
      </c>
      <c r="E12" s="693">
        <v>100000</v>
      </c>
      <c r="F12" s="693">
        <v>100000</v>
      </c>
      <c r="G12" s="693">
        <v>100000</v>
      </c>
      <c r="H12" s="693">
        <v>100000</v>
      </c>
      <c r="I12" s="693">
        <v>3000001</v>
      </c>
      <c r="J12" s="693">
        <v>100000</v>
      </c>
      <c r="N12" s="187" t="s">
        <v>137</v>
      </c>
      <c r="O12" s="188">
        <v>100000</v>
      </c>
      <c r="P12" s="188">
        <v>3000000</v>
      </c>
      <c r="Q12" s="188">
        <v>100000</v>
      </c>
      <c r="R12" s="188">
        <v>100000</v>
      </c>
      <c r="S12" s="188">
        <v>100000</v>
      </c>
      <c r="T12" s="188">
        <v>100000</v>
      </c>
      <c r="U12" s="188">
        <v>2000000</v>
      </c>
      <c r="V12" s="883">
        <v>100000</v>
      </c>
    </row>
    <row r="13" spans="2:33" x14ac:dyDescent="0.25">
      <c r="B13" s="694" t="s">
        <v>27</v>
      </c>
      <c r="C13" s="695">
        <v>0.02</v>
      </c>
      <c r="D13" s="695"/>
      <c r="E13" s="695"/>
      <c r="F13" s="695"/>
      <c r="G13" s="695"/>
      <c r="H13" s="695"/>
      <c r="I13" s="695"/>
      <c r="J13" s="695"/>
      <c r="Z13" s="76"/>
      <c r="AA13" s="76"/>
      <c r="AB13" s="76"/>
      <c r="AC13" s="76"/>
      <c r="AD13" s="76"/>
      <c r="AE13" s="76"/>
      <c r="AF13" s="76"/>
      <c r="AG13" s="76"/>
    </row>
    <row r="14" spans="2:33" ht="34.5" customHeight="1" x14ac:dyDescent="0.25">
      <c r="N14" s="192" t="s">
        <v>147</v>
      </c>
      <c r="O14" s="193" t="str" cm="1">
        <f t="array" ref="O14">IF(('Input Sheet'!$C$13="Residential")*('Input Sheet'!C17&lt;&gt;"Yes"),
   _xlfn.LET(
      _xlpm.data, O8:S10,
      _xlpm.colHeaders, Rates!O7:S7,
      _xlpm.limits, Z8:AD10,
      _xlpm.limitsRef, N8:N10,
      _xlpm.matchHeader, 'Input Sheet'!$C$14,
      _xlpm.colIndex, _xlfn.XMATCH(_xlpm.matchHeader, _xlpm.colHeaders),
      _xlpm.filtered,
         _xlfn._xlws.FILTER(
            INDEX(_xlpm.data,,_xlpm.colIndex),
            INDEX(_xlpm.limits,,_xlpm.colIndex) &lt;= _xlpm.limitsRef
         ),
      IF(COUNTA(_xlpm.filtered), INDEX(_xlpm.filtered,1), Q11)
   ),
"")</f>
        <v/>
      </c>
      <c r="Q14" s="310" t="s">
        <v>145</v>
      </c>
      <c r="R14" s="311" t="s">
        <v>4</v>
      </c>
      <c r="S14" s="312" t="s">
        <v>144</v>
      </c>
      <c r="Z14" s="76"/>
      <c r="AA14" s="76"/>
      <c r="AB14" s="76"/>
      <c r="AC14" s="76"/>
      <c r="AD14" s="76"/>
      <c r="AE14" s="76"/>
      <c r="AF14" s="76"/>
      <c r="AG14" s="76"/>
    </row>
    <row r="15" spans="2:33" x14ac:dyDescent="0.25">
      <c r="N15" s="192" t="s">
        <v>29</v>
      </c>
      <c r="O15" s="193" t="str" cm="1">
        <f t="array" ref="O15">IF('Input Sheet'!$C$13="Semi &amp; Full Commercial",
   _xlfn.LET(
      _xlpm.data, Q8:U10,
      _xlpm.limits, AB8:AF10,
      _xlpm.refVals, N8:N10,
      _xlpm.colHeaders, Rates!Q7:U7,
      _xlpm.matchHeader, 'Input Sheet'!$C$14,
      _xlpm.colIndex, _xlfn.XMATCH(_xlpm.matchHeader, _xlpm.colHeaders),
      _xlpm.valuesCol, INDEX(_xlpm.data,,_xlpm.colIndex),
      _xlpm.limitsCol, INDEX(_xlpm.limits,,_xlpm.colIndex),
      _xlpm.matches, _xlfn._xlws.FILTER(_xlpm.valuesCol, _xlpm.limitsCol &lt;= _xlpm.refVals),
      IF(COUNTA(_xlpm.matches), INDEX(_xlpm.matches,1), "")
   ),
"")</f>
        <v/>
      </c>
      <c r="P15" s="197"/>
      <c r="Q15" s="313">
        <f>IF($D$2&lt;1,0,IF('Input Sheet'!$C$17="Yes",Rates!O16,IF('Input Sheet'!$C$13="Residential",MIN(Rates!O14,$F$2*75%),MIN(Rates!O15,$F$2*75%))))</f>
        <v>0</v>
      </c>
      <c r="R15" s="688" t="e">
        <f>Rates!$Q15/F2</f>
        <v>#DIV/0!</v>
      </c>
      <c r="S15" s="314" t="e">
        <f>IF('Input Sheet'!$C$17="No",
    IF(Rates!$R15&lt;=N8, N8,
        IF(Rates!$R15&lt;=N9, N9,
            IF(Rates!$R15&lt;=N10, 75%, "")
        )
    ),
    IF(Rates!$R15&lt;=N8, N8,
        IF(Rates!$R15&lt;=N9, 70%, N9)
    )
)</f>
        <v>#DIV/0!</v>
      </c>
      <c r="Z15" s="76"/>
      <c r="AA15" s="76"/>
      <c r="AB15" s="76"/>
      <c r="AC15" s="76"/>
      <c r="AD15" s="76"/>
      <c r="AE15" s="76"/>
      <c r="AF15" s="76"/>
      <c r="AG15" s="76"/>
    </row>
    <row r="16" spans="2:33" ht="15.75" thickBot="1" x14ac:dyDescent="0.3">
      <c r="N16" s="192" t="s">
        <v>135</v>
      </c>
      <c r="O16" s="193" t="str" cm="1">
        <f t="array" ref="O16">IF('Input Sheet'!$C$17="Yes",
   _xlfn.LET(
      _xlpm.AG, AG8:AG9,
      _xlpm.N, N8:N9,
      _xlpm.V, V8:V9,
      _xlpm.J, J2,
      _xlpm.addVal, 'Input Sheet'!$C$19,
      _xlpm.matches, IFERROR(
         _xlfn._xlws.FILTER(_xlpm.V, (_xlpm.AG + _xlpm.J) &lt;= _xlpm.N),
         ""
      ),
      IF(_xlpm.matches&lt;&gt;"", INDEX(_xlpm.matches, 1) + _xlpm.addVal)
   ),
"")</f>
        <v/>
      </c>
      <c r="Q16" s="177"/>
      <c r="R16" s="76"/>
      <c r="Z16" s="76"/>
      <c r="AA16" s="76"/>
      <c r="AB16" s="76"/>
      <c r="AC16" s="76"/>
      <c r="AD16" s="76"/>
      <c r="AE16" s="76"/>
      <c r="AF16" s="76"/>
      <c r="AG16" s="76"/>
    </row>
    <row r="17" spans="2:33" x14ac:dyDescent="0.25">
      <c r="O17" s="686"/>
      <c r="P17" s="1201" t="s">
        <v>223</v>
      </c>
      <c r="Q17" s="1202"/>
      <c r="R17" s="1202"/>
      <c r="S17" s="1203"/>
      <c r="Z17" s="76"/>
      <c r="AA17" s="76"/>
      <c r="AB17" s="1199" t="s">
        <v>146</v>
      </c>
      <c r="AC17" s="1199"/>
      <c r="AD17" s="1199"/>
      <c r="AE17" s="1199"/>
      <c r="AF17" s="76"/>
      <c r="AG17" s="76"/>
    </row>
    <row r="18" spans="2:33" ht="15" customHeight="1" thickBot="1" x14ac:dyDescent="0.4">
      <c r="B18" s="189"/>
      <c r="C18" s="1199" t="s">
        <v>148</v>
      </c>
      <c r="D18" s="1199"/>
      <c r="E18" s="1199"/>
      <c r="F18" s="1199"/>
      <c r="G18" s="1199"/>
      <c r="H18" s="189"/>
      <c r="P18" s="1204"/>
      <c r="Q18" s="1205"/>
      <c r="R18" s="1205"/>
      <c r="S18" s="1206"/>
      <c r="Z18" s="76"/>
      <c r="AA18" s="76"/>
      <c r="AB18" s="1199"/>
      <c r="AC18" s="1199"/>
      <c r="AD18" s="1199"/>
      <c r="AE18" s="1199"/>
      <c r="AF18" s="76"/>
      <c r="AG18" s="76"/>
    </row>
    <row r="19" spans="2:33" ht="15" customHeight="1" x14ac:dyDescent="0.35">
      <c r="B19" s="189"/>
      <c r="C19" s="1199"/>
      <c r="D19" s="1199"/>
      <c r="E19" s="1199"/>
      <c r="F19" s="1199"/>
      <c r="G19" s="1199"/>
      <c r="H19" s="189"/>
      <c r="P19" s="178"/>
      <c r="Q19" s="177"/>
      <c r="R19" s="76"/>
      <c r="Z19" s="76"/>
      <c r="AA19" s="76"/>
      <c r="AB19" s="76"/>
      <c r="AC19" s="76"/>
      <c r="AD19" s="76"/>
      <c r="AE19" s="76"/>
      <c r="AF19" s="76"/>
      <c r="AG19" s="76"/>
    </row>
    <row r="20" spans="2:33" x14ac:dyDescent="0.25">
      <c r="Z20" s="76"/>
      <c r="AA20" s="76"/>
      <c r="AB20" s="76"/>
      <c r="AC20" s="76"/>
      <c r="AD20" s="76"/>
      <c r="AE20" s="76"/>
      <c r="AF20" s="76"/>
      <c r="AG20" s="76"/>
    </row>
    <row r="21" spans="2:33" ht="75" x14ac:dyDescent="0.25">
      <c r="B21" s="181"/>
      <c r="C21" s="182" t="s">
        <v>111</v>
      </c>
      <c r="D21" s="182" t="s">
        <v>112</v>
      </c>
      <c r="E21" s="182" t="s">
        <v>113</v>
      </c>
      <c r="F21" s="182" t="s">
        <v>114</v>
      </c>
      <c r="G21" s="182" t="s">
        <v>119</v>
      </c>
      <c r="H21" s="182" t="s">
        <v>150</v>
      </c>
      <c r="I21" s="182" t="s">
        <v>151</v>
      </c>
      <c r="J21" s="183" t="s">
        <v>115</v>
      </c>
      <c r="N21" s="181"/>
      <c r="O21" s="182" t="str">
        <f>C21</f>
        <v>Resi BTL single unit</v>
      </c>
      <c r="P21" s="182" t="str">
        <f t="shared" ref="P21" si="5">D21</f>
        <v>Resi Large Loan</v>
      </c>
      <c r="Q21" s="182" t="str">
        <f t="shared" ref="Q21" si="6">E21</f>
        <v>Resi Portfolio</v>
      </c>
      <c r="R21" s="182" t="s">
        <v>114</v>
      </c>
      <c r="S21" s="182" t="str">
        <f>G21</f>
        <v>Permitted/Light Dev</v>
      </c>
      <c r="T21" s="182" t="str">
        <f>H21</f>
        <v>Semi &amp; Full Commercial</v>
      </c>
      <c r="U21" s="182" t="str">
        <f>I21</f>
        <v xml:space="preserve">Semi &amp; Full Commercial Large Loan </v>
      </c>
      <c r="V21" s="182" t="str">
        <f>J21</f>
        <v>2nd charge</v>
      </c>
      <c r="W21" s="181" t="s">
        <v>143</v>
      </c>
      <c r="Z21" s="182" t="str">
        <f>O21</f>
        <v>Resi BTL single unit</v>
      </c>
      <c r="AA21" s="182" t="str">
        <f t="shared" ref="AA21" si="7">P21</f>
        <v>Resi Large Loan</v>
      </c>
      <c r="AB21" s="182" t="str">
        <f t="shared" ref="AB21" si="8">Q21</f>
        <v>Resi Portfolio</v>
      </c>
      <c r="AC21" s="182" t="s">
        <v>114</v>
      </c>
      <c r="AD21" s="182" t="str">
        <f t="shared" ref="AD21" si="9">S21</f>
        <v>Permitted/Light Dev</v>
      </c>
      <c r="AE21" s="182" t="str">
        <f t="shared" ref="AE21" si="10">T21</f>
        <v>Semi &amp; Full Commercial</v>
      </c>
      <c r="AF21" s="182" t="str">
        <f t="shared" ref="AF21" si="11">U21</f>
        <v xml:space="preserve">Semi &amp; Full Commercial Large Loan </v>
      </c>
      <c r="AG21" s="182" t="str">
        <f t="shared" ref="AG21" si="12">V21</f>
        <v>2nd charge</v>
      </c>
    </row>
    <row r="22" spans="2:33" x14ac:dyDescent="0.25">
      <c r="B22" s="222" t="s">
        <v>790</v>
      </c>
      <c r="C22" s="879">
        <v>7.4999999999999997E-3</v>
      </c>
      <c r="D22" s="879">
        <v>8.5000000000000006E-3</v>
      </c>
      <c r="E22" s="879">
        <v>8.0000000000000002E-3</v>
      </c>
      <c r="F22" s="879">
        <v>8.0000000000000002E-3</v>
      </c>
      <c r="G22" s="879">
        <v>8.0000000000000002E-3</v>
      </c>
      <c r="H22" s="879">
        <v>8.0000000000000002E-3</v>
      </c>
      <c r="I22" s="879">
        <v>8.5000000000000006E-3</v>
      </c>
      <c r="J22" s="879">
        <v>8.0000000000000002E-3</v>
      </c>
      <c r="N22" s="184">
        <v>0.6</v>
      </c>
      <c r="O22" s="190">
        <f>CEILING($D$2/(1-IF('Input Sheet'!$C$34="",$C$27,'Input Sheet'!$C$34)-(C22)*('Input Sheet'!$L$7)),1000)</f>
        <v>0</v>
      </c>
      <c r="P22" s="190">
        <f>CEILING($D$2/(1-IF('Input Sheet'!$C$34="",$C$27,'Input Sheet'!$C$34)-(D22)*('Input Sheet'!$L$7)),1000)</f>
        <v>0</v>
      </c>
      <c r="Q22" s="190">
        <f>CEILING($D$2/(1-IF('Input Sheet'!$C$34="",$C$27,'Input Sheet'!$C$34)-(E22)*('Input Sheet'!$L$7)),1000)</f>
        <v>0</v>
      </c>
      <c r="R22" s="190">
        <f>CEILING($D$2/(1-IF('Input Sheet'!$C$34="",$C$27,'Input Sheet'!$C$34)-(F22)*('Input Sheet'!$L$7)),1000)</f>
        <v>0</v>
      </c>
      <c r="S22" s="190">
        <f>CEILING($D$2/(1-IF('Input Sheet'!$C$34="",$C$27,'Input Sheet'!$C$34)-(G22)*('Input Sheet'!$L$7)),1000)</f>
        <v>0</v>
      </c>
      <c r="T22" s="190">
        <f>CEILING($D$2/(1-IF('Input Sheet'!$C$34="",$C$27,'Input Sheet'!$C$34)-(H22)*('Input Sheet'!$L$7)),1000)</f>
        <v>0</v>
      </c>
      <c r="U22" s="190">
        <f>CEILING($D$2/(1-IF('Input Sheet'!$C$34="",$C$27,'Input Sheet'!$C$34)-(I22)*('Input Sheet'!$L$7)),1000)</f>
        <v>0</v>
      </c>
      <c r="V22" s="190">
        <f>CEILING($D$2/(1-IF('Input Sheet'!$C$34="",$C$27,'Input Sheet'!$C$34)-(J22)*('Input Sheet'!$L$7)),1000)</f>
        <v>0</v>
      </c>
      <c r="W22" s="184">
        <v>0.6</v>
      </c>
      <c r="Z22" s="76" t="e">
        <f t="shared" ref="Z22:Z24" si="13">(O22/$F$2)</f>
        <v>#DIV/0!</v>
      </c>
      <c r="AA22" s="76" t="e">
        <f t="shared" ref="AA22:AA24" si="14">(P22/$F$2)</f>
        <v>#DIV/0!</v>
      </c>
      <c r="AB22" s="76" t="e">
        <f t="shared" ref="AB22:AC24" si="15">(Q22/$F$2)</f>
        <v>#DIV/0!</v>
      </c>
      <c r="AC22" s="76" t="e">
        <f t="shared" si="15"/>
        <v>#DIV/0!</v>
      </c>
      <c r="AD22" s="76" t="e">
        <f t="shared" ref="AD22:AD24" si="16">(S22/$F$2)</f>
        <v>#DIV/0!</v>
      </c>
      <c r="AE22" s="76" t="e">
        <f t="shared" ref="AE22:AE24" si="17">(T22/$F$2)</f>
        <v>#DIV/0!</v>
      </c>
      <c r="AF22" s="76" t="e">
        <f t="shared" ref="AF22:AF24" si="18">(U22/$F$2)</f>
        <v>#DIV/0!</v>
      </c>
      <c r="AG22" s="76" t="e">
        <f t="shared" ref="AG22:AG24" si="19">(V22/$F$2)</f>
        <v>#DIV/0!</v>
      </c>
    </row>
    <row r="23" spans="2:33" x14ac:dyDescent="0.25">
      <c r="B23" s="223" t="s">
        <v>791</v>
      </c>
      <c r="C23" s="879">
        <v>8.5000000000000006E-3</v>
      </c>
      <c r="D23" s="879">
        <v>9.4999999999999998E-3</v>
      </c>
      <c r="E23" s="879">
        <v>8.9999999999999993E-3</v>
      </c>
      <c r="F23" s="879">
        <v>8.9999999999999993E-3</v>
      </c>
      <c r="G23" s="879">
        <v>8.9999999999999993E-3</v>
      </c>
      <c r="H23" s="879">
        <v>8.9999999999999993E-3</v>
      </c>
      <c r="I23" s="879">
        <v>9.4999999999999998E-3</v>
      </c>
      <c r="J23" s="879">
        <v>8.9999999999999993E-3</v>
      </c>
      <c r="N23" s="184">
        <f>IF('Input Sheet'!C17="Yes",100%,70%)</f>
        <v>0.7</v>
      </c>
      <c r="O23" s="190">
        <f>CEILING($D$2/(1-IF('Input Sheet'!$C$34="",$C$27,'Input Sheet'!$C$34)-(C23)*('Input Sheet'!$L$7)),1000)</f>
        <v>0</v>
      </c>
      <c r="P23" s="190">
        <f>CEILING($D$2/(1-IF('Input Sheet'!$C$34="",$C$27,'Input Sheet'!$C$34)-(D23)*('Input Sheet'!$L$7)),1000)</f>
        <v>0</v>
      </c>
      <c r="Q23" s="190">
        <f>CEILING($D$2/(1-IF('Input Sheet'!$C$34="",$C$27,'Input Sheet'!$C$34)-(E23)*('Input Sheet'!$L$7)),1000)</f>
        <v>0</v>
      </c>
      <c r="R23" s="190">
        <f>CEILING($D$2/(1-IF('Input Sheet'!$C$34="",$C$27,'Input Sheet'!$C$34)-(F23)*('Input Sheet'!$L$7)),1000)</f>
        <v>0</v>
      </c>
      <c r="S23" s="190">
        <f>CEILING($D$2/(1-IF('Input Sheet'!$C$34="",$C$27,'Input Sheet'!$C$34)-(G23)*('Input Sheet'!$L$7)),1000)</f>
        <v>0</v>
      </c>
      <c r="T23" s="190">
        <f>CEILING($D$2/(1-IF('Input Sheet'!$C$34="",$C$27,'Input Sheet'!$C$34)-(H23)*('Input Sheet'!$L$7)),1000)</f>
        <v>0</v>
      </c>
      <c r="U23" s="190">
        <f>CEILING($D$2/(1-IF('Input Sheet'!$C$34="",$C$27,'Input Sheet'!$C$34)-(I23)*('Input Sheet'!$L$7)),1000)</f>
        <v>0</v>
      </c>
      <c r="V23" s="190">
        <f>CEILING($D$2/(1-IF('Input Sheet'!$C$34="",$C$27,'Input Sheet'!$C$34)-(J23)*('Input Sheet'!$L$7)),1000)</f>
        <v>0</v>
      </c>
      <c r="W23" s="184">
        <v>0.7</v>
      </c>
      <c r="Z23" s="76" t="e">
        <f t="shared" si="13"/>
        <v>#DIV/0!</v>
      </c>
      <c r="AA23" s="76" t="e">
        <f t="shared" si="14"/>
        <v>#DIV/0!</v>
      </c>
      <c r="AB23" s="76" t="e">
        <f t="shared" si="15"/>
        <v>#DIV/0!</v>
      </c>
      <c r="AC23" s="76" t="e">
        <f t="shared" si="15"/>
        <v>#DIV/0!</v>
      </c>
      <c r="AD23" s="76" t="e">
        <f t="shared" si="16"/>
        <v>#DIV/0!</v>
      </c>
      <c r="AE23" s="76" t="e">
        <f t="shared" si="17"/>
        <v>#DIV/0!</v>
      </c>
      <c r="AF23" s="76" t="e">
        <f t="shared" si="18"/>
        <v>#DIV/0!</v>
      </c>
      <c r="AG23" s="76" t="e">
        <f t="shared" si="19"/>
        <v>#DIV/0!</v>
      </c>
    </row>
    <row r="24" spans="2:33" x14ac:dyDescent="0.25">
      <c r="B24" s="222" t="s">
        <v>792</v>
      </c>
      <c r="C24" s="880">
        <v>9.4999999999999998E-3</v>
      </c>
      <c r="D24" s="880">
        <v>1.0500000000000001E-2</v>
      </c>
      <c r="E24" s="880">
        <v>0.01</v>
      </c>
      <c r="F24" s="880">
        <v>0.01</v>
      </c>
      <c r="G24" s="880">
        <v>0.01</v>
      </c>
      <c r="H24" s="880">
        <v>0.01</v>
      </c>
      <c r="I24" s="880">
        <v>1.0500000000000001E-2</v>
      </c>
      <c r="J24" s="375" t="s">
        <v>172</v>
      </c>
      <c r="N24" s="184">
        <v>1</v>
      </c>
      <c r="O24" s="190">
        <f>CEILING($D$2/(1-IF('Input Sheet'!$C$34="",$C$27,'Input Sheet'!$C$34)-(C24)*('Input Sheet'!$L$7)),1000)</f>
        <v>0</v>
      </c>
      <c r="P24" s="190">
        <f>CEILING($D$2/(1-IF('Input Sheet'!$C$34="",$C$27,'Input Sheet'!$C$34)-(D24)*('Input Sheet'!$L$7)),1000)</f>
        <v>0</v>
      </c>
      <c r="Q24" s="190">
        <f>CEILING($D$2/(1-IF('Input Sheet'!$C$34="",$C$27,'Input Sheet'!$C$34)-(E24)*('Input Sheet'!$L$7)),1000)</f>
        <v>0</v>
      </c>
      <c r="R24" s="190">
        <f>CEILING($D$2/(1-IF('Input Sheet'!$C$34="",$C$27,'Input Sheet'!$C$34)-(F24)*('Input Sheet'!$L$7)),1000)</f>
        <v>0</v>
      </c>
      <c r="S24" s="190">
        <f>CEILING($D$2/(1-IF('Input Sheet'!$C$34="",$C$27,'Input Sheet'!$C$34)-(G24)*('Input Sheet'!$L$7)),1000)</f>
        <v>0</v>
      </c>
      <c r="T24" s="190">
        <f>CEILING($D$2/(1-IF('Input Sheet'!$C$34="",$C$27,'Input Sheet'!$C$34)-(H24)*('Input Sheet'!$L$7)),1000)</f>
        <v>0</v>
      </c>
      <c r="U24" s="190">
        <f>CEILING($D$2/(1-IF('Input Sheet'!$C$34="",$C$27,'Input Sheet'!$C$34)-(I24)*('Input Sheet'!$L$7)),1000)</f>
        <v>0</v>
      </c>
      <c r="V24" s="190" t="s">
        <v>131</v>
      </c>
      <c r="W24" s="184">
        <v>0.75</v>
      </c>
      <c r="Z24" s="76" t="e">
        <f t="shared" si="13"/>
        <v>#DIV/0!</v>
      </c>
      <c r="AA24" s="76" t="e">
        <f t="shared" si="14"/>
        <v>#DIV/0!</v>
      </c>
      <c r="AB24" s="76" t="e">
        <f t="shared" si="15"/>
        <v>#DIV/0!</v>
      </c>
      <c r="AC24" s="76" t="e">
        <f t="shared" si="15"/>
        <v>#DIV/0!</v>
      </c>
      <c r="AD24" s="76" t="e">
        <f t="shared" si="16"/>
        <v>#DIV/0!</v>
      </c>
      <c r="AE24" s="76" t="e">
        <f t="shared" si="17"/>
        <v>#DIV/0!</v>
      </c>
      <c r="AF24" s="76" t="e">
        <f t="shared" si="18"/>
        <v>#DIV/0!</v>
      </c>
      <c r="AG24" s="76" t="e">
        <f t="shared" si="19"/>
        <v>#VALUE!</v>
      </c>
    </row>
    <row r="25" spans="2:33" x14ac:dyDescent="0.25">
      <c r="B25" s="185" t="s">
        <v>136</v>
      </c>
      <c r="C25" s="376">
        <v>4000000</v>
      </c>
      <c r="D25" s="376">
        <v>20000000</v>
      </c>
      <c r="E25" s="376">
        <v>50000000</v>
      </c>
      <c r="F25" s="376">
        <v>30000000</v>
      </c>
      <c r="G25" s="376">
        <v>20000000</v>
      </c>
      <c r="H25" s="376">
        <v>3000000</v>
      </c>
      <c r="I25" s="376">
        <v>15000000</v>
      </c>
      <c r="J25" s="377">
        <v>4000000</v>
      </c>
      <c r="N25" s="185" t="s">
        <v>136</v>
      </c>
      <c r="O25" s="186">
        <v>3000000</v>
      </c>
      <c r="P25" s="186">
        <v>20000000</v>
      </c>
      <c r="Q25" s="186">
        <v>50000000</v>
      </c>
      <c r="R25" s="186">
        <v>30000000</v>
      </c>
      <c r="S25" s="186">
        <v>20000000</v>
      </c>
      <c r="T25" s="186">
        <v>2000000</v>
      </c>
      <c r="U25" s="186">
        <v>15000000</v>
      </c>
      <c r="V25" s="882">
        <v>4000000</v>
      </c>
    </row>
    <row r="26" spans="2:33" x14ac:dyDescent="0.25">
      <c r="B26" s="187" t="s">
        <v>137</v>
      </c>
      <c r="C26" s="693">
        <v>100000</v>
      </c>
      <c r="D26" s="693">
        <v>4000001</v>
      </c>
      <c r="E26" s="378">
        <v>100000</v>
      </c>
      <c r="F26" s="378">
        <v>100000</v>
      </c>
      <c r="G26" s="378">
        <v>100000</v>
      </c>
      <c r="H26" s="693">
        <v>100000</v>
      </c>
      <c r="I26" s="693">
        <v>3000001</v>
      </c>
      <c r="J26" s="881">
        <v>100000</v>
      </c>
      <c r="N26" s="187" t="s">
        <v>137</v>
      </c>
      <c r="O26" s="188">
        <v>100000</v>
      </c>
      <c r="P26" s="188">
        <v>3000000</v>
      </c>
      <c r="Q26" s="188">
        <v>100000</v>
      </c>
      <c r="R26" s="188">
        <v>100000</v>
      </c>
      <c r="S26" s="188">
        <v>100000</v>
      </c>
      <c r="T26" s="188">
        <v>100000</v>
      </c>
      <c r="U26" s="188">
        <v>2000000</v>
      </c>
      <c r="V26" s="883">
        <v>100000</v>
      </c>
    </row>
    <row r="27" spans="2:33" x14ac:dyDescent="0.25">
      <c r="B27" s="694" t="s">
        <v>27</v>
      </c>
      <c r="C27" s="695">
        <v>0.02</v>
      </c>
      <c r="D27" s="695"/>
      <c r="E27" s="695"/>
      <c r="F27" s="695"/>
      <c r="G27" s="695"/>
      <c r="H27" s="695"/>
      <c r="I27" s="695"/>
      <c r="J27" s="695"/>
    </row>
    <row r="28" spans="2:33" ht="30" x14ac:dyDescent="0.25">
      <c r="N28" s="192" t="s">
        <v>147</v>
      </c>
      <c r="O28" s="193" t="str" cm="1">
        <f t="array" ref="O28">IF(('Input Sheet'!$C$13="Residential")*('Input Sheet'!C17&lt;&gt;"Yes"),
   _xlfn.LET(
      _xlpm.data, O22:S24,
      _xlpm.colHeaders, Rates!O21:S21,
      _xlpm.limits, Z22:AD24,
      _xlpm.limitsRef, N22:N24,
      _xlpm.matchHeader, 'Input Sheet'!$C$14,
      _xlpm.colIndex, _xlfn.XMATCH(_xlpm.matchHeader, _xlpm.colHeaders),
      _xlpm.filtered,
         _xlfn._xlws.FILTER(
            INDEX(_xlpm.data,,_xlpm.colIndex),
            INDEX(_xlpm.limits,,_xlpm.colIndex) &lt;= _xlpm.limitsRef
         ),
      IF(COUNTA(_xlpm.filtered), INDEX(_xlpm.filtered,1))
   ),
"")</f>
        <v/>
      </c>
      <c r="Q28" s="310" t="s">
        <v>145</v>
      </c>
      <c r="R28" s="312" t="s">
        <v>144</v>
      </c>
      <c r="S28" s="312" t="s">
        <v>144</v>
      </c>
    </row>
    <row r="29" spans="2:33" x14ac:dyDescent="0.25">
      <c r="N29" s="192" t="s">
        <v>29</v>
      </c>
      <c r="O29" s="193" t="str" cm="1">
        <f t="array" ref="O29">IF('Input Sheet'!$C$13="Semi &amp; Full Commercial",
   _xlfn.LET(
      _xlpm.data, Q22:U24,
      _xlpm.limits, AB22:AF24,
      _xlpm.refVals, N22:N24,
      _xlpm.colHeaders, Rates!Q21:U21,
      _xlpm.matchHeader, 'Input Sheet'!$C$14,
      _xlpm.colIndex, _xlfn.XMATCH(_xlpm.matchHeader, _xlpm.colHeaders),
      _xlpm.valuesCol, INDEX(_xlpm.data,,_xlpm.colIndex),
      _xlpm.limitsCol, INDEX(_xlpm.limits,,_xlpm.colIndex),
      _xlpm.thresholdVal, INDEX(thresholds,,_xlpm.colIndex),
      _xlpm.matches, _xlfn._xlws.FILTER(_xlpm.valuesCol, (_xlpm.limitsCol &lt;= _xlpm.refVals) ),
      IF(COUNTA(_xlpm.matches), INDEX(_xlpm.matches,1), "")
   ),
"")</f>
        <v/>
      </c>
      <c r="Q29" s="313">
        <f>IF($D$2&lt;1,0,IF('Input Sheet'!$C$17="Yes",Rates!O30,IF('Input Sheet'!$C$13="Residential",MIN(Rates!O28,$F$2*75%),MIN(Rates!O29,$F$2*75%))))</f>
        <v>0</v>
      </c>
      <c r="R29" s="687" t="e">
        <f>Rates!$Q29/F2</f>
        <v>#DIV/0!</v>
      </c>
      <c r="S29" s="314" t="e">
        <f>IF('Input Sheet'!$C$17="No",
    IF(Rates!$R29&lt;=N22, N22,
        IF(Rates!$R29&lt;=N23, N23,
            IF(Rates!$R29&lt;=N24, 75%, "")
        )
    ),
    IF(Rates!$R29&lt;=N22, N22,
        IF(Rates!$R29&lt;=N23, 70%, N23)
    )
)</f>
        <v>#DIV/0!</v>
      </c>
    </row>
    <row r="30" spans="2:33" ht="15" customHeight="1" x14ac:dyDescent="0.35">
      <c r="D30" s="1199" t="s">
        <v>222</v>
      </c>
      <c r="E30" s="1199"/>
      <c r="F30" s="1199"/>
      <c r="G30" s="1199"/>
      <c r="H30" s="189"/>
      <c r="N30" s="192" t="s">
        <v>135</v>
      </c>
      <c r="O30" s="193" t="str" cm="1">
        <f t="array" ref="O30">IF('Input Sheet'!$C$17="Yes",
   _xlfn.LET(
      _xlpm.AG, AG22:AG23,
      _xlpm.N, N22:N23,
      _xlpm.V, V22:V23,
      _xlpm.J, J16,
      _xlpm.addVal, 'Input Sheet'!$C$19,
      _xlpm.matches, IFERROR(
         _xlfn._xlws.FILTER(_xlpm.V, ((_xlpm.AG + _xlpm.J) &lt;= _xlpm.N) ),
         ""
      ),
      IF(_xlpm.matches&lt;&gt;"", INDEX(_xlpm.matches, 1) + _xlpm.addVal, V25)
   ),
"")</f>
        <v/>
      </c>
    </row>
    <row r="31" spans="2:33" ht="15" customHeight="1" thickBot="1" x14ac:dyDescent="0.4">
      <c r="D31" s="1200"/>
      <c r="E31" s="1200"/>
      <c r="F31" s="1200"/>
      <c r="G31" s="1200"/>
      <c r="H31" s="189"/>
      <c r="O31" s="685"/>
    </row>
    <row r="32" spans="2:33" ht="15" customHeight="1" x14ac:dyDescent="0.25">
      <c r="D32" s="301"/>
      <c r="E32" s="691" t="s">
        <v>465</v>
      </c>
      <c r="F32" s="691" t="s">
        <v>467</v>
      </c>
      <c r="G32" s="691" t="s">
        <v>466</v>
      </c>
      <c r="H32" s="302" t="s">
        <v>4</v>
      </c>
      <c r="I32" s="690"/>
      <c r="J32" s="690"/>
      <c r="P32" s="1201" t="s">
        <v>248</v>
      </c>
      <c r="Q32" s="1202"/>
      <c r="R32" s="1202"/>
      <c r="S32" s="1203"/>
    </row>
    <row r="33" spans="4:21" ht="15.75" customHeight="1" thickBot="1" x14ac:dyDescent="0.3">
      <c r="D33" s="315" t="s">
        <v>192</v>
      </c>
      <c r="E33" s="380">
        <v>4.7899999999999998E-2</v>
      </c>
      <c r="F33" s="379">
        <v>5.6899999999999999E-2</v>
      </c>
      <c r="G33" s="379">
        <v>5.9900000000000002E-2</v>
      </c>
      <c r="H33" s="316">
        <v>0.75</v>
      </c>
      <c r="P33" s="1204"/>
      <c r="Q33" s="1205"/>
      <c r="R33" s="1205"/>
      <c r="S33" s="1206"/>
    </row>
    <row r="34" spans="4:21" x14ac:dyDescent="0.25">
      <c r="D34" s="303" t="s">
        <v>193</v>
      </c>
      <c r="E34" s="380">
        <v>4.99E-2</v>
      </c>
      <c r="F34" s="380">
        <v>5.79E-2</v>
      </c>
      <c r="G34" s="380">
        <v>6.2899999999999998E-2</v>
      </c>
      <c r="H34" s="309">
        <v>0.7</v>
      </c>
    </row>
    <row r="35" spans="4:21" x14ac:dyDescent="0.25">
      <c r="D35" s="689" t="s">
        <v>137</v>
      </c>
      <c r="E35" s="378">
        <v>100000</v>
      </c>
      <c r="F35" s="378">
        <v>3000001</v>
      </c>
      <c r="G35" s="378">
        <v>10000001</v>
      </c>
      <c r="H35" s="378"/>
      <c r="Q35" s="301"/>
      <c r="R35" s="691" t="s">
        <v>465</v>
      </c>
      <c r="S35" s="691" t="s">
        <v>467</v>
      </c>
      <c r="T35" s="691" t="s">
        <v>466</v>
      </c>
      <c r="U35" s="692" t="s">
        <v>4</v>
      </c>
    </row>
    <row r="36" spans="4:21" x14ac:dyDescent="0.25">
      <c r="D36" s="689" t="s">
        <v>136</v>
      </c>
      <c r="E36" s="693">
        <v>3000000</v>
      </c>
      <c r="F36" s="693">
        <v>10000000</v>
      </c>
      <c r="G36" s="693">
        <v>1000000000</v>
      </c>
      <c r="H36" s="693"/>
      <c r="Q36" s="315" t="s">
        <v>192</v>
      </c>
      <c r="R36" s="190">
        <f>CEILING(MIN('Main Calculations'!$D$36/(1-'Main Calculations'!$D$13-('Main Calculations'!$D$30/12*24)-((Rates!E33+BBR-'Main Calculations'!$D$30)/12*('Main Calculations'!$D$29-'Main Calculations'!$D$41))),'Input Sheet'!$C$28,1000000000),1000)</f>
        <v>0</v>
      </c>
      <c r="S36" s="190">
        <f>CEILING(MIN('Main Calculations'!$D$36/(1-'Main Calculations'!$D$13-('Main Calculations'!$D$30/12*24)-((Rates!F33+BBR-'Main Calculations'!$D$30)/12*('Main Calculations'!$D$29-'Main Calculations'!$D$41))),'Input Sheet'!$C$28,1000000000),1000)</f>
        <v>0</v>
      </c>
      <c r="T36" s="190">
        <f>CEILING(MIN('Main Calculations'!$D$36/(1-'Main Calculations'!$D$13-('Main Calculations'!$D$30/12*24)-((Rates!G33+BBR-'Main Calculations'!$D$30)/12*('Main Calculations'!$D$29-'Main Calculations'!$D$41))),'Input Sheet'!$C$28,1000000000),1000)</f>
        <v>0</v>
      </c>
      <c r="U36" s="316">
        <v>0.75</v>
      </c>
    </row>
    <row r="37" spans="4:21" x14ac:dyDescent="0.25">
      <c r="D37" s="694" t="s">
        <v>27</v>
      </c>
      <c r="E37" s="695">
        <v>0.02</v>
      </c>
      <c r="F37" s="695">
        <v>0.02</v>
      </c>
      <c r="G37" s="695">
        <v>0.02</v>
      </c>
      <c r="H37" s="696"/>
      <c r="Q37" s="303" t="s">
        <v>193</v>
      </c>
      <c r="R37" s="191">
        <f>CEILING(MIN('Main Calculations'!$D$36/(1-'Main Calculations'!$D$13-('Main Calculations'!$D$30/12*24)-((Rates!E34+BBR-'Main Calculations'!$D$30)/12*('Main Calculations'!$D$29-'Main Calculations'!$D$41))),'Input Sheet'!$C$28,1000000000),1000)</f>
        <v>0</v>
      </c>
      <c r="S37" s="191">
        <f>CEILING(MIN('Main Calculations'!$D$36/(1-'Main Calculations'!$D$13-('Main Calculations'!$D$30/12*24)-((Rates!F34+BBR-'Main Calculations'!$D$30)/12*('Main Calculations'!$D$29-'Main Calculations'!$D$41))),'Input Sheet'!$C$28,1000000000),1000)</f>
        <v>0</v>
      </c>
      <c r="T37" s="191">
        <f>CEILING(MIN('Main Calculations'!$D$36/(1-'Main Calculations'!$D$13-('Main Calculations'!$D$30/12*24)-((Rates!G34+BBR-'Main Calculations'!$D$30)/12*('Main Calculations'!$D$29-'Main Calculations'!$D$41))),'Input Sheet'!$C$28,1000000000),1000)</f>
        <v>0</v>
      </c>
      <c r="U37" s="309">
        <v>0.7</v>
      </c>
    </row>
    <row r="39" spans="4:21" x14ac:dyDescent="0.25">
      <c r="D39" s="1199" t="s">
        <v>787</v>
      </c>
      <c r="E39" s="1199"/>
      <c r="F39" s="1199"/>
      <c r="G39" s="1199"/>
    </row>
    <row r="40" spans="4:21" x14ac:dyDescent="0.25">
      <c r="D40" s="1200"/>
      <c r="E40" s="1200"/>
      <c r="F40" s="1200"/>
      <c r="G40" s="1200"/>
    </row>
    <row r="41" spans="4:21" ht="15" customHeight="1" x14ac:dyDescent="0.25">
      <c r="D41" s="301"/>
      <c r="E41" s="691" t="s">
        <v>788</v>
      </c>
      <c r="F41" s="302" t="s">
        <v>4</v>
      </c>
      <c r="G41" s="691"/>
    </row>
    <row r="42" spans="4:21" x14ac:dyDescent="0.25">
      <c r="D42" s="315" t="s">
        <v>3</v>
      </c>
      <c r="E42" s="380">
        <v>3.9899999999999998E-2</v>
      </c>
      <c r="F42" s="316">
        <v>0.7</v>
      </c>
      <c r="G42" s="379"/>
    </row>
    <row r="43" spans="4:21" x14ac:dyDescent="0.25">
      <c r="D43" s="689" t="s">
        <v>137</v>
      </c>
      <c r="E43" s="378">
        <v>20000000</v>
      </c>
    </row>
    <row r="44" spans="4:21" x14ac:dyDescent="0.25">
      <c r="D44" s="689" t="s">
        <v>136</v>
      </c>
      <c r="E44" s="693">
        <v>65000000</v>
      </c>
    </row>
    <row r="45" spans="4:21" x14ac:dyDescent="0.25">
      <c r="D45" s="694" t="s">
        <v>27</v>
      </c>
      <c r="E45" s="695">
        <v>0.02</v>
      </c>
    </row>
  </sheetData>
  <mergeCells count="10">
    <mergeCell ref="D39:G40"/>
    <mergeCell ref="P32:S33"/>
    <mergeCell ref="D30:G31"/>
    <mergeCell ref="AB3:AE4"/>
    <mergeCell ref="AB17:AE18"/>
    <mergeCell ref="P17:S18"/>
    <mergeCell ref="C4:G5"/>
    <mergeCell ref="C18:G19"/>
    <mergeCell ref="P3:S4"/>
    <mergeCell ref="H4:I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U55"/>
  <sheetViews>
    <sheetView workbookViewId="0">
      <selection activeCell="T22" sqref="T22"/>
    </sheetView>
  </sheetViews>
  <sheetFormatPr defaultRowHeight="15" x14ac:dyDescent="0.25"/>
  <cols>
    <col min="1" max="1" width="23" bestFit="1" customWidth="1"/>
    <col min="2" max="2" width="7.5703125" bestFit="1" customWidth="1"/>
    <col min="3" max="3" width="15" bestFit="1" customWidth="1"/>
    <col min="4" max="4" width="25.5703125" bestFit="1" customWidth="1"/>
    <col min="5" max="5" width="32" customWidth="1"/>
    <col min="6" max="6" width="43.85546875" bestFit="1" customWidth="1"/>
    <col min="10" max="10" width="21.42578125" customWidth="1"/>
    <col min="12" max="12" width="13.28515625" bestFit="1" customWidth="1"/>
    <col min="15" max="15" width="37.42578125" customWidth="1"/>
    <col min="16" max="16" width="12.140625" bestFit="1" customWidth="1"/>
    <col min="17" max="17" width="20.85546875" bestFit="1" customWidth="1"/>
    <col min="20" max="20" width="19.28515625" bestFit="1" customWidth="1"/>
  </cols>
  <sheetData>
    <row r="1" spans="1:21" x14ac:dyDescent="0.25">
      <c r="A1" s="1211" t="s">
        <v>35</v>
      </c>
      <c r="B1" s="1211"/>
      <c r="C1" s="1211"/>
      <c r="D1" s="1211"/>
      <c r="E1" s="1211"/>
      <c r="F1" s="1211"/>
      <c r="G1" s="1211"/>
    </row>
    <row r="2" spans="1:21" ht="15.75" x14ac:dyDescent="0.25">
      <c r="A2" s="36" t="s">
        <v>10</v>
      </c>
      <c r="B2" s="36" t="s">
        <v>11</v>
      </c>
      <c r="C2" s="36" t="s">
        <v>12</v>
      </c>
      <c r="D2" s="52">
        <f>C51-C3</f>
        <v>-6.4999999999999997E-3</v>
      </c>
      <c r="E2" s="36" t="s">
        <v>789</v>
      </c>
      <c r="F2" s="36"/>
      <c r="I2" t="s">
        <v>107</v>
      </c>
    </row>
    <row r="3" spans="1:21" x14ac:dyDescent="0.25">
      <c r="A3" t="s">
        <v>3</v>
      </c>
      <c r="B3" t="s">
        <v>7</v>
      </c>
      <c r="C3" s="1">
        <v>6.4999999999999997E-3</v>
      </c>
      <c r="E3" s="56">
        <v>0</v>
      </c>
      <c r="F3" s="56"/>
      <c r="I3" t="s">
        <v>108</v>
      </c>
    </row>
    <row r="4" spans="1:21" x14ac:dyDescent="0.25">
      <c r="A4" t="s">
        <v>29</v>
      </c>
      <c r="B4" t="s">
        <v>8</v>
      </c>
      <c r="C4" s="1">
        <v>6.8999999999999999E-3</v>
      </c>
      <c r="E4" s="53">
        <v>1</v>
      </c>
      <c r="F4" s="57"/>
      <c r="J4" t="s">
        <v>111</v>
      </c>
      <c r="K4" t="s">
        <v>111</v>
      </c>
      <c r="Q4" t="s">
        <v>3</v>
      </c>
    </row>
    <row r="5" spans="1:21" x14ac:dyDescent="0.25">
      <c r="A5" t="s">
        <v>30</v>
      </c>
      <c r="B5" t="s">
        <v>21</v>
      </c>
      <c r="C5" s="1">
        <v>7.4999999999999997E-3</v>
      </c>
      <c r="E5" s="54">
        <v>2</v>
      </c>
      <c r="J5" t="s">
        <v>112</v>
      </c>
      <c r="K5" t="s">
        <v>112</v>
      </c>
      <c r="Q5" t="s">
        <v>150</v>
      </c>
    </row>
    <row r="6" spans="1:21" x14ac:dyDescent="0.25">
      <c r="A6" t="s">
        <v>31</v>
      </c>
      <c r="B6" t="s">
        <v>25</v>
      </c>
      <c r="C6" s="1">
        <v>8.5000000000000006E-3</v>
      </c>
      <c r="E6" s="44">
        <v>3</v>
      </c>
      <c r="J6" t="s">
        <v>113</v>
      </c>
      <c r="K6" t="s">
        <v>113</v>
      </c>
      <c r="Q6" t="s">
        <v>170</v>
      </c>
    </row>
    <row r="7" spans="1:21" x14ac:dyDescent="0.25">
      <c r="A7" t="s">
        <v>32</v>
      </c>
      <c r="C7" s="1">
        <v>8.8999999999999999E-3</v>
      </c>
      <c r="E7" s="56">
        <v>4</v>
      </c>
      <c r="J7" t="s">
        <v>114</v>
      </c>
      <c r="K7" t="s">
        <v>114</v>
      </c>
    </row>
    <row r="8" spans="1:21" x14ac:dyDescent="0.25">
      <c r="A8" t="s">
        <v>33</v>
      </c>
      <c r="C8" s="1">
        <v>9.4999999999999998E-3</v>
      </c>
      <c r="E8" s="53">
        <v>5</v>
      </c>
      <c r="J8" t="s">
        <v>119</v>
      </c>
      <c r="K8" t="s">
        <v>119</v>
      </c>
      <c r="U8" t="s">
        <v>111</v>
      </c>
    </row>
    <row r="9" spans="1:21" x14ac:dyDescent="0.25">
      <c r="A9" t="s">
        <v>38</v>
      </c>
      <c r="C9" s="1">
        <v>9.9000000000000008E-3</v>
      </c>
      <c r="E9" s="54">
        <v>6</v>
      </c>
      <c r="J9" t="s">
        <v>150</v>
      </c>
      <c r="K9" t="s">
        <v>150</v>
      </c>
      <c r="O9" s="164" t="s">
        <v>111</v>
      </c>
      <c r="P9" s="80">
        <v>3000000</v>
      </c>
      <c r="Q9" s="80">
        <v>30000</v>
      </c>
      <c r="U9" t="s">
        <v>112</v>
      </c>
    </row>
    <row r="10" spans="1:21" x14ac:dyDescent="0.25">
      <c r="A10" t="s">
        <v>39</v>
      </c>
      <c r="C10" s="1">
        <v>1.0500000000000001E-2</v>
      </c>
      <c r="E10" s="44">
        <v>7</v>
      </c>
      <c r="J10" t="s">
        <v>151</v>
      </c>
      <c r="K10" t="s">
        <v>151</v>
      </c>
      <c r="O10" s="164" t="s">
        <v>112</v>
      </c>
      <c r="P10" s="80">
        <v>20000000</v>
      </c>
      <c r="Q10" s="80">
        <v>3000000</v>
      </c>
      <c r="U10" t="s">
        <v>113</v>
      </c>
    </row>
    <row r="11" spans="1:21" x14ac:dyDescent="0.25">
      <c r="C11" s="1">
        <v>1.09E-2</v>
      </c>
      <c r="E11" s="56">
        <v>8</v>
      </c>
      <c r="J11" t="s">
        <v>115</v>
      </c>
      <c r="O11" s="164" t="s">
        <v>113</v>
      </c>
      <c r="P11" s="80">
        <v>100000000</v>
      </c>
      <c r="Q11" s="80">
        <v>100000</v>
      </c>
      <c r="U11" t="s">
        <v>114</v>
      </c>
    </row>
    <row r="12" spans="1:21" x14ac:dyDescent="0.25">
      <c r="C12" s="1">
        <v>1.15E-2</v>
      </c>
      <c r="E12" s="53">
        <v>9</v>
      </c>
      <c r="O12" s="164" t="s">
        <v>114</v>
      </c>
      <c r="P12" s="80">
        <v>30000000</v>
      </c>
      <c r="Q12" s="80">
        <v>100000</v>
      </c>
      <c r="U12" t="s">
        <v>119</v>
      </c>
    </row>
    <row r="13" spans="1:21" x14ac:dyDescent="0.25">
      <c r="C13" s="1">
        <v>1.1900000000000001E-2</v>
      </c>
      <c r="E13" s="54">
        <v>10</v>
      </c>
      <c r="O13" s="164" t="s">
        <v>119</v>
      </c>
      <c r="P13" s="80">
        <v>20000000</v>
      </c>
      <c r="Q13" s="80">
        <v>100000</v>
      </c>
      <c r="U13" t="s">
        <v>150</v>
      </c>
    </row>
    <row r="14" spans="1:21" x14ac:dyDescent="0.25">
      <c r="C14" s="1">
        <v>1.2E-2</v>
      </c>
      <c r="E14" s="44">
        <v>11</v>
      </c>
      <c r="O14" s="164" t="s">
        <v>150</v>
      </c>
      <c r="P14" s="80">
        <v>2000000</v>
      </c>
      <c r="Q14" s="80">
        <v>100000</v>
      </c>
      <c r="U14" t="s">
        <v>151</v>
      </c>
    </row>
    <row r="15" spans="1:21" x14ac:dyDescent="0.25">
      <c r="C15" s="1">
        <v>1.2500000000000001E-2</v>
      </c>
      <c r="E15" s="56">
        <v>12</v>
      </c>
      <c r="O15" s="164" t="s">
        <v>151</v>
      </c>
      <c r="P15" s="80">
        <v>15000000</v>
      </c>
      <c r="Q15" s="80">
        <v>2000000</v>
      </c>
    </row>
    <row r="16" spans="1:21" x14ac:dyDescent="0.25">
      <c r="C16" s="1">
        <v>1.2999999999999999E-2</v>
      </c>
      <c r="O16" s="164" t="s">
        <v>115</v>
      </c>
      <c r="P16" s="80">
        <v>5000000</v>
      </c>
      <c r="Q16" s="80">
        <v>100000</v>
      </c>
    </row>
    <row r="17" spans="3:21" x14ac:dyDescent="0.25">
      <c r="C17" s="1">
        <v>1.35E-2</v>
      </c>
    </row>
    <row r="18" spans="3:21" x14ac:dyDescent="0.25">
      <c r="C18" s="1">
        <v>1.3899999999999999E-2</v>
      </c>
    </row>
    <row r="19" spans="3:21" x14ac:dyDescent="0.25">
      <c r="C19" s="1">
        <v>1.4E-2</v>
      </c>
      <c r="G19" s="168" t="s">
        <v>140</v>
      </c>
      <c r="H19" s="168" t="s">
        <v>140</v>
      </c>
      <c r="T19" t="s">
        <v>111</v>
      </c>
      <c r="U19" t="s">
        <v>150</v>
      </c>
    </row>
    <row r="20" spans="3:21" x14ac:dyDescent="0.25">
      <c r="C20" s="1"/>
      <c r="G20" s="169">
        <v>0.5</v>
      </c>
      <c r="H20" s="169">
        <v>0.5</v>
      </c>
      <c r="P20" t="str" cm="1">
        <f t="array" ref="P20:P24">IF('Input Sheet'!C13=Dropdowns!Q4,Dropdowns!T19:T23,Dropdowns!U19:U23)</f>
        <v>Semi &amp; Full Commercial</v>
      </c>
      <c r="T20" t="s">
        <v>112</v>
      </c>
      <c r="U20" t="s">
        <v>151</v>
      </c>
    </row>
    <row r="21" spans="3:21" x14ac:dyDescent="0.25">
      <c r="C21" s="1"/>
      <c r="G21" s="169">
        <v>0.6</v>
      </c>
      <c r="H21" s="169">
        <v>0.6</v>
      </c>
      <c r="P21" t="str">
        <v xml:space="preserve">Semi &amp; Full Commercial Large Loan </v>
      </c>
      <c r="T21" t="s">
        <v>113</v>
      </c>
      <c r="U21" t="s">
        <v>113</v>
      </c>
    </row>
    <row r="22" spans="3:21" x14ac:dyDescent="0.25">
      <c r="C22" s="1"/>
      <c r="G22" s="169">
        <v>0.7</v>
      </c>
      <c r="H22" s="169">
        <v>0.7</v>
      </c>
      <c r="P22" t="str">
        <v>Resi Portfolio</v>
      </c>
      <c r="T22" t="s">
        <v>114</v>
      </c>
      <c r="U22" t="s">
        <v>114</v>
      </c>
    </row>
    <row r="23" spans="3:21" x14ac:dyDescent="0.25">
      <c r="C23" s="1"/>
      <c r="G23" s="168"/>
      <c r="H23" s="169">
        <v>0.75</v>
      </c>
      <c r="L23" s="100">
        <f>5.25%/12</f>
        <v>4.3749999999999995E-3</v>
      </c>
      <c r="P23" t="str">
        <v>Dev Exit</v>
      </c>
      <c r="T23" t="s">
        <v>119</v>
      </c>
      <c r="U23" t="s">
        <v>119</v>
      </c>
    </row>
    <row r="24" spans="3:21" x14ac:dyDescent="0.25">
      <c r="C24" s="1"/>
      <c r="P24" t="str">
        <v>Permitted/Light Dev</v>
      </c>
    </row>
    <row r="25" spans="3:21" x14ac:dyDescent="0.25">
      <c r="C25" s="1"/>
    </row>
    <row r="26" spans="3:21" x14ac:dyDescent="0.25">
      <c r="C26" s="1"/>
    </row>
    <row r="27" spans="3:21" x14ac:dyDescent="0.25">
      <c r="C27" s="1"/>
    </row>
    <row r="28" spans="3:21" x14ac:dyDescent="0.25">
      <c r="C28" s="1"/>
    </row>
    <row r="29" spans="3:21" x14ac:dyDescent="0.25">
      <c r="C29" s="1"/>
    </row>
    <row r="30" spans="3:21" x14ac:dyDescent="0.25">
      <c r="C30" s="1"/>
    </row>
    <row r="31" spans="3:21" ht="57.75" x14ac:dyDescent="0.25">
      <c r="C31" s="209" t="s">
        <v>169</v>
      </c>
      <c r="D31" s="209" t="s">
        <v>161</v>
      </c>
      <c r="E31" s="210" t="s">
        <v>162</v>
      </c>
      <c r="F31" s="211" t="s">
        <v>163</v>
      </c>
      <c r="G31" t="s">
        <v>166</v>
      </c>
    </row>
    <row r="32" spans="3:21" x14ac:dyDescent="0.25">
      <c r="C32" t="s">
        <v>108</v>
      </c>
      <c r="D32" t="s">
        <v>108</v>
      </c>
      <c r="E32" t="s">
        <v>108</v>
      </c>
      <c r="F32" t="s">
        <v>108</v>
      </c>
      <c r="G32" t="s">
        <v>167</v>
      </c>
      <c r="O32" t="s">
        <v>152</v>
      </c>
    </row>
    <row r="33" spans="3:7" x14ac:dyDescent="0.25">
      <c r="C33" t="s">
        <v>117</v>
      </c>
      <c r="D33" t="s">
        <v>153</v>
      </c>
      <c r="E33" t="s">
        <v>153</v>
      </c>
      <c r="F33" t="s">
        <v>107</v>
      </c>
      <c r="G33" t="s">
        <v>168</v>
      </c>
    </row>
    <row r="34" spans="3:7" x14ac:dyDescent="0.25">
      <c r="C34" t="s">
        <v>153</v>
      </c>
      <c r="D34" t="s">
        <v>154</v>
      </c>
      <c r="E34" t="s">
        <v>154</v>
      </c>
    </row>
    <row r="35" spans="3:7" x14ac:dyDescent="0.25">
      <c r="C35" t="s">
        <v>154</v>
      </c>
      <c r="D35" t="s">
        <v>155</v>
      </c>
      <c r="E35" t="s">
        <v>155</v>
      </c>
    </row>
    <row r="36" spans="3:7" x14ac:dyDescent="0.25">
      <c r="C36" t="s">
        <v>155</v>
      </c>
      <c r="D36" t="s">
        <v>156</v>
      </c>
      <c r="E36" t="s">
        <v>156</v>
      </c>
    </row>
    <row r="37" spans="3:7" x14ac:dyDescent="0.25">
      <c r="C37" t="s">
        <v>156</v>
      </c>
      <c r="D37" t="s">
        <v>157</v>
      </c>
      <c r="E37" t="s">
        <v>164</v>
      </c>
    </row>
    <row r="38" spans="3:7" x14ac:dyDescent="0.25">
      <c r="C38" t="s">
        <v>157</v>
      </c>
      <c r="D38" t="s">
        <v>158</v>
      </c>
      <c r="E38" t="s">
        <v>165</v>
      </c>
    </row>
    <row r="39" spans="3:7" x14ac:dyDescent="0.25">
      <c r="C39" t="s">
        <v>158</v>
      </c>
      <c r="D39" t="s">
        <v>159</v>
      </c>
    </row>
    <row r="40" spans="3:7" x14ac:dyDescent="0.25">
      <c r="C40" t="s">
        <v>159</v>
      </c>
      <c r="D40" t="s">
        <v>160</v>
      </c>
    </row>
    <row r="41" spans="3:7" x14ac:dyDescent="0.25">
      <c r="C41" t="s">
        <v>160</v>
      </c>
    </row>
    <row r="49" spans="3:3" x14ac:dyDescent="0.25">
      <c r="C49" s="1"/>
    </row>
    <row r="50" spans="3:3" x14ac:dyDescent="0.25">
      <c r="C50" s="1"/>
    </row>
    <row r="51" spans="3:3" x14ac:dyDescent="0.25">
      <c r="C51" s="1"/>
    </row>
    <row r="52" spans="3:3" x14ac:dyDescent="0.25">
      <c r="C52" s="1"/>
    </row>
    <row r="53" spans="3:3" x14ac:dyDescent="0.25">
      <c r="C53" s="1"/>
    </row>
    <row r="54" spans="3:3" x14ac:dyDescent="0.25">
      <c r="C54" s="1"/>
    </row>
    <row r="55" spans="3:3" x14ac:dyDescent="0.25">
      <c r="C55" s="1"/>
    </row>
  </sheetData>
  <mergeCells count="1">
    <mergeCell ref="A1:G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4C957E-388A-4405-BC66-75C921A8E6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25</vt:i4>
      </vt:variant>
    </vt:vector>
  </HeadingPairs>
  <TitlesOfParts>
    <vt:vector size="40" baseType="lpstr">
      <vt:lpstr>Main Calculations</vt:lpstr>
      <vt:lpstr>Input Sheet</vt:lpstr>
      <vt:lpstr>DIP Premier</vt:lpstr>
      <vt:lpstr>Indicative All 3</vt:lpstr>
      <vt:lpstr>Indicative 2 only</vt:lpstr>
      <vt:lpstr>Single Indicative</vt:lpstr>
      <vt:lpstr>DIP</vt:lpstr>
      <vt:lpstr>DIP Fusion</vt:lpstr>
      <vt:lpstr>Multi Property Deal</vt:lpstr>
      <vt:lpstr>Properties List For Indicatives</vt:lpstr>
      <vt:lpstr>Fusion Portfolio</vt:lpstr>
      <vt:lpstr>Payment Schedule</vt:lpstr>
      <vt:lpstr>EBITDA calc_</vt:lpstr>
      <vt:lpstr>Rates</vt:lpstr>
      <vt:lpstr>Dropdowns</vt:lpstr>
      <vt:lpstr>'DIP Fusion'!_ftn1</vt:lpstr>
      <vt:lpstr>'DIP Fusion'!_ftn3</vt:lpstr>
      <vt:lpstr>DIP!_Hlk83203796</vt:lpstr>
      <vt:lpstr>'DIP Fusion'!_Hlk83203796</vt:lpstr>
      <vt:lpstr>DIP!_Hlk84245425</vt:lpstr>
      <vt:lpstr>'DIP Fusion'!_Hlk84245425</vt:lpstr>
      <vt:lpstr>DIP!_Hlk98754409</vt:lpstr>
      <vt:lpstr>'DIP Fusion'!_Hlk98754409</vt:lpstr>
      <vt:lpstr>Application_Type</vt:lpstr>
      <vt:lpstr>BBR</vt:lpstr>
      <vt:lpstr>DIP_Selection</vt:lpstr>
      <vt:lpstr>FusionP</vt:lpstr>
      <vt:lpstr>DIP!Print_Area</vt:lpstr>
      <vt:lpstr>'DIP Fusion'!Print_Area</vt:lpstr>
      <vt:lpstr>'DIP Premier'!Print_Area</vt:lpstr>
      <vt:lpstr>'Indicative 2 only'!Print_Area</vt:lpstr>
      <vt:lpstr>'Indicative All 3'!Print_Area</vt:lpstr>
      <vt:lpstr>'Multi Property Deal'!Print_Area</vt:lpstr>
      <vt:lpstr>'Single Indicative'!Print_Area</vt:lpstr>
      <vt:lpstr>'Indicative 2 only'!Property_Value</vt:lpstr>
      <vt:lpstr>'Indicative All 3'!Property_Value</vt:lpstr>
      <vt:lpstr>'Single Indicative'!Property_Value</vt:lpstr>
      <vt:lpstr>'Indicative 2 only'!Rate_Type</vt:lpstr>
      <vt:lpstr>'Indicative All 3'!Rate_Type</vt:lpstr>
      <vt:lpstr>'Single Indicative'!Rate_Type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Paresh</dc:creator>
  <cp:lastModifiedBy>Kamran Yaqub</cp:lastModifiedBy>
  <cp:lastPrinted>2025-11-04T16:12:57Z</cp:lastPrinted>
  <dcterms:created xsi:type="dcterms:W3CDTF">2015-06-30T10:40:04Z</dcterms:created>
  <dcterms:modified xsi:type="dcterms:W3CDTF">2025-11-28T12:41:58Z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ress" linkTarget="Prop_Address">
    <vt:lpwstr>#REF!</vt:lpwstr>
  </property>
</Properties>
</file>